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C\Documents\My Project\Excel Projects\"/>
    </mc:Choice>
  </mc:AlternateContent>
  <xr:revisionPtr revIDLastSave="0" documentId="13_ncr:1_{55AEF401-C3EE-4893-BB7C-B08A6371BF78}" xr6:coauthVersionLast="47" xr6:coauthVersionMax="47" xr10:uidLastSave="{00000000-0000-0000-0000-000000000000}"/>
  <bookViews>
    <workbookView xWindow="-120" yWindow="-120" windowWidth="20730" windowHeight="11040" activeTab="2" xr2:uid="{00000000-000D-0000-FFFF-FFFF00000000}"/>
  </bookViews>
  <sheets>
    <sheet name="Sales" sheetId="1" r:id="rId1"/>
    <sheet name="Products" sheetId="2" r:id="rId2"/>
    <sheet name="Sales_Agents" sheetId="3" r:id="rId3"/>
    <sheet name="PIVOT TABLE" sheetId="5" r:id="rId4"/>
    <sheet name="DASHBOARD" sheetId="7" r:id="rId5"/>
    <sheet name="Dates" sheetId="4" state="hidden" r:id="rId6"/>
  </sheets>
  <definedNames>
    <definedName name="NativeTimeline_OrderDate">#N/A</definedName>
    <definedName name="Slicer_Product">#N/A</definedName>
  </definedNames>
  <calcPr calcId="191029"/>
  <pivotCaches>
    <pivotCache cacheId="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 l="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3" i="1"/>
  <c r="C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H2" i="1"/>
  <c r="I2" i="1" s="1"/>
  <c r="J2" i="1" s="1"/>
  <c r="H3" i="1"/>
  <c r="I3" i="1" s="1"/>
  <c r="J3" i="1" s="1"/>
  <c r="H4" i="1"/>
  <c r="I4" i="1" s="1"/>
  <c r="J4" i="1" s="1"/>
  <c r="H5" i="1"/>
  <c r="I5" i="1" s="1"/>
  <c r="J5" i="1" s="1"/>
  <c r="H6" i="1"/>
  <c r="I6" i="1" s="1"/>
  <c r="J6" i="1" s="1"/>
  <c r="H7" i="1"/>
  <c r="I7" i="1" s="1"/>
  <c r="J7" i="1" s="1"/>
  <c r="H8" i="1"/>
  <c r="I8" i="1" s="1"/>
  <c r="J8" i="1" s="1"/>
  <c r="H9" i="1"/>
  <c r="I9" i="1" s="1"/>
  <c r="J9" i="1" s="1"/>
  <c r="H10" i="1"/>
  <c r="I10" i="1" s="1"/>
  <c r="J10" i="1" s="1"/>
  <c r="H11" i="1"/>
  <c r="I11" i="1" s="1"/>
  <c r="J11" i="1" s="1"/>
  <c r="H12" i="1"/>
  <c r="I12" i="1" s="1"/>
  <c r="J12" i="1" s="1"/>
  <c r="H13" i="1"/>
  <c r="I13" i="1" s="1"/>
  <c r="J13" i="1" s="1"/>
  <c r="H14" i="1"/>
  <c r="I14" i="1" s="1"/>
  <c r="J14" i="1" s="1"/>
  <c r="H15" i="1"/>
  <c r="I15" i="1" s="1"/>
  <c r="J15" i="1" s="1"/>
  <c r="H16" i="1"/>
  <c r="I16" i="1" s="1"/>
  <c r="J16" i="1" s="1"/>
  <c r="H17" i="1"/>
  <c r="I17" i="1" s="1"/>
  <c r="J17" i="1" s="1"/>
  <c r="H18" i="1"/>
  <c r="I18" i="1" s="1"/>
  <c r="J18" i="1" s="1"/>
  <c r="H19" i="1"/>
  <c r="I19" i="1" s="1"/>
  <c r="J19" i="1" s="1"/>
  <c r="H20" i="1"/>
  <c r="I20" i="1" s="1"/>
  <c r="J20" i="1" s="1"/>
  <c r="H21" i="1"/>
  <c r="I21" i="1" s="1"/>
  <c r="J21" i="1" s="1"/>
  <c r="H22" i="1"/>
  <c r="I22" i="1" s="1"/>
  <c r="J22" i="1" s="1"/>
  <c r="H23" i="1"/>
  <c r="I23" i="1" s="1"/>
  <c r="J23" i="1" s="1"/>
  <c r="H24" i="1"/>
  <c r="I24" i="1" s="1"/>
  <c r="J24" i="1" s="1"/>
  <c r="H25" i="1"/>
  <c r="I25" i="1" s="1"/>
  <c r="J25" i="1" s="1"/>
  <c r="H26" i="1"/>
  <c r="I26" i="1" s="1"/>
  <c r="J26" i="1" s="1"/>
  <c r="H27" i="1"/>
  <c r="I27" i="1" s="1"/>
  <c r="J27" i="1" s="1"/>
  <c r="H28" i="1"/>
  <c r="I28" i="1" s="1"/>
  <c r="J28" i="1" s="1"/>
  <c r="H29" i="1"/>
  <c r="I29" i="1" s="1"/>
  <c r="J29" i="1" s="1"/>
  <c r="H30" i="1"/>
  <c r="I30" i="1" s="1"/>
  <c r="J30" i="1" s="1"/>
  <c r="H31" i="1"/>
  <c r="I31" i="1" s="1"/>
  <c r="J31" i="1" s="1"/>
  <c r="H32" i="1"/>
  <c r="I32" i="1" s="1"/>
  <c r="J32" i="1" s="1"/>
  <c r="H33" i="1"/>
  <c r="I33" i="1" s="1"/>
  <c r="J33" i="1" s="1"/>
  <c r="H34" i="1"/>
  <c r="I34" i="1" s="1"/>
  <c r="J34" i="1" s="1"/>
  <c r="H35" i="1"/>
  <c r="I35" i="1" s="1"/>
  <c r="J35" i="1" s="1"/>
  <c r="H36" i="1"/>
  <c r="I36" i="1" s="1"/>
  <c r="J36" i="1" s="1"/>
  <c r="H37" i="1"/>
  <c r="I37" i="1" s="1"/>
  <c r="J37" i="1" s="1"/>
  <c r="H38" i="1"/>
  <c r="I38" i="1" s="1"/>
  <c r="J38" i="1" s="1"/>
  <c r="H39" i="1"/>
  <c r="I39" i="1" s="1"/>
  <c r="J39" i="1" s="1"/>
  <c r="H40" i="1"/>
  <c r="I40" i="1" s="1"/>
  <c r="J40" i="1" s="1"/>
  <c r="H41" i="1"/>
  <c r="I41" i="1" s="1"/>
  <c r="J41" i="1" s="1"/>
  <c r="H42" i="1"/>
  <c r="I42" i="1" s="1"/>
  <c r="J42" i="1" s="1"/>
  <c r="H43" i="1"/>
  <c r="I43" i="1" s="1"/>
  <c r="J43" i="1" s="1"/>
  <c r="H44" i="1"/>
  <c r="I44" i="1" s="1"/>
  <c r="J44" i="1" s="1"/>
  <c r="H45" i="1"/>
  <c r="I45" i="1" s="1"/>
  <c r="J45" i="1" s="1"/>
  <c r="H46" i="1"/>
  <c r="I46" i="1" s="1"/>
  <c r="J46" i="1" s="1"/>
  <c r="H47" i="1"/>
  <c r="I47" i="1" s="1"/>
  <c r="J47" i="1" s="1"/>
  <c r="H48" i="1"/>
  <c r="I48" i="1" s="1"/>
  <c r="J48" i="1" s="1"/>
  <c r="H49" i="1"/>
  <c r="I49" i="1" s="1"/>
  <c r="J49" i="1" s="1"/>
  <c r="H50" i="1"/>
  <c r="I50" i="1" s="1"/>
  <c r="J50" i="1" s="1"/>
  <c r="H51" i="1"/>
  <c r="I51" i="1" s="1"/>
  <c r="J51" i="1" s="1"/>
  <c r="H52" i="1"/>
  <c r="I52" i="1" s="1"/>
  <c r="J52" i="1" s="1"/>
  <c r="H53" i="1"/>
  <c r="I53" i="1" s="1"/>
  <c r="J53" i="1" s="1"/>
  <c r="H54" i="1"/>
  <c r="I54" i="1" s="1"/>
  <c r="J54" i="1" s="1"/>
  <c r="H55" i="1"/>
  <c r="I55" i="1" s="1"/>
  <c r="J55" i="1" s="1"/>
  <c r="H56" i="1"/>
  <c r="I56" i="1" s="1"/>
  <c r="J56" i="1" s="1"/>
  <c r="H57" i="1"/>
  <c r="I57" i="1" s="1"/>
  <c r="J57" i="1" s="1"/>
  <c r="H58" i="1"/>
  <c r="I58" i="1" s="1"/>
  <c r="J58" i="1" s="1"/>
  <c r="H59" i="1"/>
  <c r="I59" i="1" s="1"/>
  <c r="J59" i="1" s="1"/>
  <c r="H60" i="1"/>
  <c r="I60" i="1" s="1"/>
  <c r="J60" i="1" s="1"/>
  <c r="H61" i="1"/>
  <c r="I61" i="1" s="1"/>
  <c r="J61" i="1" s="1"/>
  <c r="H62" i="1"/>
  <c r="I62" i="1" s="1"/>
  <c r="J62" i="1" s="1"/>
  <c r="H63" i="1"/>
  <c r="I63" i="1" s="1"/>
  <c r="J63" i="1" s="1"/>
  <c r="H64" i="1"/>
  <c r="I64" i="1" s="1"/>
  <c r="J64" i="1" s="1"/>
  <c r="H65" i="1"/>
  <c r="I65" i="1" s="1"/>
  <c r="J65" i="1" s="1"/>
  <c r="H66" i="1"/>
  <c r="I66" i="1" s="1"/>
  <c r="J66" i="1" s="1"/>
  <c r="H67" i="1"/>
  <c r="I67" i="1" s="1"/>
  <c r="J67" i="1" s="1"/>
  <c r="H68" i="1"/>
  <c r="I68" i="1" s="1"/>
  <c r="J68" i="1" s="1"/>
  <c r="H69" i="1"/>
  <c r="I69" i="1" s="1"/>
  <c r="J69" i="1" s="1"/>
  <c r="H70" i="1"/>
  <c r="I70" i="1" s="1"/>
  <c r="J70" i="1" s="1"/>
  <c r="H71" i="1"/>
  <c r="I71" i="1" s="1"/>
  <c r="J71" i="1" s="1"/>
  <c r="H72" i="1"/>
  <c r="I72" i="1" s="1"/>
  <c r="J72" i="1" s="1"/>
  <c r="H73" i="1"/>
  <c r="I73" i="1" s="1"/>
  <c r="J73" i="1" s="1"/>
  <c r="H74" i="1"/>
  <c r="I74" i="1" s="1"/>
  <c r="J74" i="1" s="1"/>
  <c r="H75" i="1"/>
  <c r="I75" i="1" s="1"/>
  <c r="J75" i="1" s="1"/>
  <c r="H76" i="1"/>
  <c r="I76" i="1" s="1"/>
  <c r="J76" i="1" s="1"/>
  <c r="H77" i="1"/>
  <c r="I77" i="1" s="1"/>
  <c r="J77" i="1" s="1"/>
  <c r="H78" i="1"/>
  <c r="I78" i="1" s="1"/>
  <c r="J78" i="1" s="1"/>
  <c r="H79" i="1"/>
  <c r="I79" i="1" s="1"/>
  <c r="J79" i="1" s="1"/>
  <c r="H80" i="1"/>
  <c r="I80" i="1" s="1"/>
  <c r="J80" i="1" s="1"/>
  <c r="H81" i="1"/>
  <c r="I81" i="1" s="1"/>
  <c r="J81" i="1" s="1"/>
  <c r="H82" i="1"/>
  <c r="I82" i="1" s="1"/>
  <c r="J82" i="1" s="1"/>
  <c r="H83" i="1"/>
  <c r="I83" i="1" s="1"/>
  <c r="J83" i="1" s="1"/>
  <c r="H84" i="1"/>
  <c r="I84" i="1" s="1"/>
  <c r="J84" i="1" s="1"/>
  <c r="H85" i="1"/>
  <c r="I85" i="1" s="1"/>
  <c r="J85" i="1" s="1"/>
  <c r="H86" i="1"/>
  <c r="I86" i="1" s="1"/>
  <c r="J86" i="1" s="1"/>
  <c r="H87" i="1"/>
  <c r="I87" i="1" s="1"/>
  <c r="J87" i="1" s="1"/>
  <c r="H88" i="1"/>
  <c r="I88" i="1" s="1"/>
  <c r="J88" i="1" s="1"/>
  <c r="H89" i="1"/>
  <c r="I89" i="1" s="1"/>
  <c r="J89" i="1" s="1"/>
  <c r="H90" i="1"/>
  <c r="I90" i="1" s="1"/>
  <c r="J90" i="1" s="1"/>
  <c r="H91" i="1"/>
  <c r="I91" i="1" s="1"/>
  <c r="J91" i="1" s="1"/>
  <c r="H92" i="1"/>
  <c r="I92" i="1" s="1"/>
  <c r="J92" i="1" s="1"/>
  <c r="H93" i="1"/>
  <c r="I93" i="1" s="1"/>
  <c r="J93" i="1" s="1"/>
  <c r="H94" i="1"/>
  <c r="I94" i="1" s="1"/>
  <c r="J94" i="1" s="1"/>
  <c r="H95" i="1"/>
  <c r="I95" i="1" s="1"/>
  <c r="J95" i="1" s="1"/>
  <c r="H96" i="1"/>
  <c r="I96" i="1" s="1"/>
  <c r="J96" i="1" s="1"/>
  <c r="H97" i="1"/>
  <c r="I97" i="1" s="1"/>
  <c r="J97" i="1" s="1"/>
  <c r="H98" i="1"/>
  <c r="I98" i="1" s="1"/>
  <c r="J98" i="1" s="1"/>
  <c r="H99" i="1"/>
  <c r="I99" i="1" s="1"/>
  <c r="J99" i="1" s="1"/>
  <c r="H100" i="1"/>
  <c r="I100" i="1" s="1"/>
  <c r="J100" i="1" s="1"/>
  <c r="H101" i="1"/>
  <c r="I101" i="1" s="1"/>
  <c r="J101" i="1" s="1"/>
  <c r="H102" i="1"/>
  <c r="I102" i="1" s="1"/>
  <c r="J102" i="1" s="1"/>
  <c r="H103" i="1"/>
  <c r="I103" i="1" s="1"/>
  <c r="J103" i="1" s="1"/>
  <c r="H104" i="1"/>
  <c r="I104" i="1" s="1"/>
  <c r="J104" i="1" s="1"/>
  <c r="H105" i="1"/>
  <c r="I105" i="1" s="1"/>
  <c r="J105" i="1" s="1"/>
  <c r="H106" i="1"/>
  <c r="I106" i="1" s="1"/>
  <c r="J106" i="1" s="1"/>
  <c r="H107" i="1"/>
  <c r="I107" i="1" s="1"/>
  <c r="J107" i="1" s="1"/>
  <c r="H108" i="1"/>
  <c r="I108" i="1" s="1"/>
  <c r="J108" i="1" s="1"/>
  <c r="H109" i="1"/>
  <c r="I109" i="1" s="1"/>
  <c r="J109" i="1" s="1"/>
  <c r="H110" i="1"/>
  <c r="I110" i="1" s="1"/>
  <c r="J110" i="1" s="1"/>
  <c r="H111" i="1"/>
  <c r="I111" i="1" s="1"/>
  <c r="J111" i="1" s="1"/>
  <c r="H112" i="1"/>
  <c r="I112" i="1" s="1"/>
  <c r="J112" i="1" s="1"/>
  <c r="H113" i="1"/>
  <c r="I113" i="1" s="1"/>
  <c r="J113" i="1" s="1"/>
  <c r="H114" i="1"/>
  <c r="I114" i="1" s="1"/>
  <c r="J114" i="1" s="1"/>
  <c r="H115" i="1"/>
  <c r="I115" i="1" s="1"/>
  <c r="J115" i="1" s="1"/>
  <c r="H116" i="1"/>
  <c r="I116" i="1" s="1"/>
  <c r="J116" i="1" s="1"/>
  <c r="H117" i="1"/>
  <c r="I117" i="1" s="1"/>
  <c r="J117" i="1" s="1"/>
  <c r="H118" i="1"/>
  <c r="I118" i="1" s="1"/>
  <c r="J118" i="1" s="1"/>
  <c r="H119" i="1"/>
  <c r="I119" i="1" s="1"/>
  <c r="J119" i="1" s="1"/>
  <c r="H120" i="1"/>
  <c r="I120" i="1" s="1"/>
  <c r="J120" i="1" s="1"/>
  <c r="H121" i="1"/>
  <c r="I121" i="1" s="1"/>
  <c r="J121" i="1" s="1"/>
  <c r="H122" i="1"/>
  <c r="I122" i="1" s="1"/>
  <c r="J122" i="1" s="1"/>
  <c r="H123" i="1"/>
  <c r="I123" i="1" s="1"/>
  <c r="J123" i="1" s="1"/>
  <c r="H124" i="1"/>
  <c r="I124" i="1" s="1"/>
  <c r="J124" i="1" s="1"/>
  <c r="H125" i="1"/>
  <c r="I125" i="1" s="1"/>
  <c r="J125" i="1" s="1"/>
  <c r="H126" i="1"/>
  <c r="I126" i="1" s="1"/>
  <c r="J126" i="1" s="1"/>
  <c r="H127" i="1"/>
  <c r="I127" i="1" s="1"/>
  <c r="J127" i="1" s="1"/>
  <c r="H128" i="1"/>
  <c r="I128" i="1" s="1"/>
  <c r="J128" i="1" s="1"/>
  <c r="H129" i="1"/>
  <c r="I129" i="1" s="1"/>
  <c r="J129" i="1" s="1"/>
  <c r="H130" i="1"/>
  <c r="I130" i="1" s="1"/>
  <c r="J130" i="1" s="1"/>
  <c r="H131" i="1"/>
  <c r="I131" i="1" s="1"/>
  <c r="J131" i="1" s="1"/>
  <c r="H132" i="1"/>
  <c r="I132" i="1" s="1"/>
  <c r="J132" i="1" s="1"/>
  <c r="H133" i="1"/>
  <c r="I133" i="1" s="1"/>
  <c r="J133" i="1" s="1"/>
  <c r="H134" i="1"/>
  <c r="I134" i="1" s="1"/>
  <c r="J134" i="1" s="1"/>
  <c r="H135" i="1"/>
  <c r="I135" i="1" s="1"/>
  <c r="J135" i="1" s="1"/>
  <c r="H136" i="1"/>
  <c r="I136" i="1" s="1"/>
  <c r="J136" i="1" s="1"/>
  <c r="H137" i="1"/>
  <c r="I137" i="1" s="1"/>
  <c r="J137" i="1" s="1"/>
  <c r="H138" i="1"/>
  <c r="I138" i="1" s="1"/>
  <c r="J138" i="1" s="1"/>
  <c r="H139" i="1"/>
  <c r="I139" i="1" s="1"/>
  <c r="J139" i="1" s="1"/>
  <c r="H140" i="1"/>
  <c r="I140" i="1" s="1"/>
  <c r="J140" i="1" s="1"/>
  <c r="H141" i="1"/>
  <c r="I141" i="1" s="1"/>
  <c r="J141" i="1" s="1"/>
  <c r="H142" i="1"/>
  <c r="I142" i="1" s="1"/>
  <c r="J142" i="1" s="1"/>
  <c r="H143" i="1"/>
  <c r="I143" i="1" s="1"/>
  <c r="J143" i="1" s="1"/>
  <c r="H144" i="1"/>
  <c r="I144" i="1" s="1"/>
  <c r="J144" i="1" s="1"/>
  <c r="H145" i="1"/>
  <c r="I145" i="1" s="1"/>
  <c r="J145" i="1" s="1"/>
  <c r="H146" i="1"/>
  <c r="I146" i="1" s="1"/>
  <c r="J146" i="1" s="1"/>
  <c r="H147" i="1"/>
  <c r="I147" i="1" s="1"/>
  <c r="J147" i="1" s="1"/>
  <c r="H148" i="1"/>
  <c r="I148" i="1" s="1"/>
  <c r="J148" i="1" s="1"/>
  <c r="H149" i="1"/>
  <c r="I149" i="1" s="1"/>
  <c r="J149" i="1" s="1"/>
  <c r="H150" i="1"/>
  <c r="I150" i="1" s="1"/>
  <c r="J150" i="1" s="1"/>
  <c r="H151" i="1"/>
  <c r="I151" i="1" s="1"/>
  <c r="J151" i="1" s="1"/>
  <c r="H152" i="1"/>
  <c r="I152" i="1" s="1"/>
  <c r="J152" i="1" s="1"/>
  <c r="H153" i="1"/>
  <c r="I153" i="1" s="1"/>
  <c r="J153" i="1" s="1"/>
  <c r="H154" i="1"/>
  <c r="I154" i="1" s="1"/>
  <c r="J154" i="1" s="1"/>
  <c r="H155" i="1"/>
  <c r="I155" i="1" s="1"/>
  <c r="J155" i="1" s="1"/>
  <c r="H156" i="1"/>
  <c r="I156" i="1" s="1"/>
  <c r="J156" i="1" s="1"/>
  <c r="H157" i="1"/>
  <c r="I157" i="1" s="1"/>
  <c r="J157" i="1" s="1"/>
  <c r="H158" i="1"/>
  <c r="I158" i="1" s="1"/>
  <c r="J158" i="1" s="1"/>
  <c r="H159" i="1"/>
  <c r="I159" i="1" s="1"/>
  <c r="J159" i="1" s="1"/>
  <c r="H160" i="1"/>
  <c r="I160" i="1" s="1"/>
  <c r="J160" i="1" s="1"/>
  <c r="H161" i="1"/>
  <c r="I161" i="1" s="1"/>
  <c r="J161" i="1" s="1"/>
  <c r="H162" i="1"/>
  <c r="I162" i="1" s="1"/>
  <c r="J162" i="1" s="1"/>
  <c r="H163" i="1"/>
  <c r="I163" i="1" s="1"/>
  <c r="J163" i="1" s="1"/>
  <c r="H164" i="1"/>
  <c r="I164" i="1" s="1"/>
  <c r="J164" i="1" s="1"/>
  <c r="H165" i="1"/>
  <c r="I165" i="1" s="1"/>
  <c r="J165" i="1" s="1"/>
  <c r="H166" i="1"/>
  <c r="I166" i="1" s="1"/>
  <c r="J166" i="1" s="1"/>
  <c r="H167" i="1"/>
  <c r="I167" i="1" s="1"/>
  <c r="J167" i="1" s="1"/>
  <c r="H168" i="1"/>
  <c r="I168" i="1" s="1"/>
  <c r="J168" i="1" s="1"/>
  <c r="H169" i="1"/>
  <c r="I169" i="1" s="1"/>
  <c r="J169" i="1" s="1"/>
  <c r="H170" i="1"/>
  <c r="I170" i="1" s="1"/>
  <c r="J170" i="1" s="1"/>
  <c r="H171" i="1"/>
  <c r="I171" i="1" s="1"/>
  <c r="J171" i="1" s="1"/>
  <c r="H172" i="1"/>
  <c r="I172" i="1" s="1"/>
  <c r="J172" i="1" s="1"/>
  <c r="H173" i="1"/>
  <c r="I173" i="1" s="1"/>
  <c r="J173" i="1" s="1"/>
  <c r="H174" i="1"/>
  <c r="I174" i="1" s="1"/>
  <c r="J174" i="1" s="1"/>
  <c r="H175" i="1"/>
  <c r="I175" i="1" s="1"/>
  <c r="J175" i="1" s="1"/>
  <c r="H176" i="1"/>
  <c r="I176" i="1" s="1"/>
  <c r="J176" i="1" s="1"/>
  <c r="H177" i="1"/>
  <c r="I177" i="1" s="1"/>
  <c r="J177" i="1" s="1"/>
  <c r="H178" i="1"/>
  <c r="I178" i="1" s="1"/>
  <c r="J178" i="1" s="1"/>
  <c r="H179" i="1"/>
  <c r="I179" i="1" s="1"/>
  <c r="J179" i="1" s="1"/>
  <c r="H180" i="1"/>
  <c r="I180" i="1" s="1"/>
  <c r="J180" i="1" s="1"/>
  <c r="H181" i="1"/>
  <c r="I181" i="1" s="1"/>
  <c r="J181" i="1" s="1"/>
  <c r="H182" i="1"/>
  <c r="I182" i="1" s="1"/>
  <c r="J182" i="1" s="1"/>
  <c r="H183" i="1"/>
  <c r="I183" i="1" s="1"/>
  <c r="J183" i="1" s="1"/>
  <c r="H184" i="1"/>
  <c r="I184" i="1" s="1"/>
  <c r="J184" i="1" s="1"/>
  <c r="H185" i="1"/>
  <c r="I185" i="1" s="1"/>
  <c r="J185" i="1" s="1"/>
  <c r="H186" i="1"/>
  <c r="I186" i="1" s="1"/>
  <c r="J186" i="1" s="1"/>
  <c r="H187" i="1"/>
  <c r="I187" i="1" s="1"/>
  <c r="J187" i="1" s="1"/>
  <c r="H188" i="1"/>
  <c r="I188" i="1" s="1"/>
  <c r="J188" i="1" s="1"/>
  <c r="H189" i="1"/>
  <c r="I189" i="1" s="1"/>
  <c r="J189" i="1" s="1"/>
  <c r="H190" i="1"/>
  <c r="I190" i="1" s="1"/>
  <c r="J190" i="1" s="1"/>
  <c r="H191" i="1"/>
  <c r="I191" i="1" s="1"/>
  <c r="J191" i="1" s="1"/>
  <c r="H192" i="1"/>
  <c r="I192" i="1" s="1"/>
  <c r="J192" i="1" s="1"/>
  <c r="H193" i="1"/>
  <c r="I193" i="1" s="1"/>
  <c r="J193" i="1" s="1"/>
  <c r="H194" i="1"/>
  <c r="I194" i="1" s="1"/>
  <c r="J194" i="1" s="1"/>
  <c r="H195" i="1"/>
  <c r="I195" i="1" s="1"/>
  <c r="J195" i="1" s="1"/>
  <c r="H196" i="1"/>
  <c r="I196" i="1" s="1"/>
  <c r="J196" i="1" s="1"/>
  <c r="H197" i="1"/>
  <c r="I197" i="1" s="1"/>
  <c r="J197" i="1" s="1"/>
  <c r="H198" i="1"/>
  <c r="I198" i="1" s="1"/>
  <c r="J198" i="1" s="1"/>
  <c r="H199" i="1"/>
  <c r="I199" i="1" s="1"/>
  <c r="J199" i="1" s="1"/>
  <c r="H200" i="1"/>
  <c r="I200" i="1" s="1"/>
  <c r="J200" i="1" s="1"/>
  <c r="H201" i="1"/>
  <c r="I201" i="1" s="1"/>
  <c r="J201" i="1" s="1"/>
  <c r="H202" i="1"/>
  <c r="I202" i="1" s="1"/>
  <c r="J202" i="1" s="1"/>
  <c r="H203" i="1"/>
  <c r="I203" i="1" s="1"/>
  <c r="J203" i="1" s="1"/>
  <c r="H204" i="1"/>
  <c r="I204" i="1" s="1"/>
  <c r="J204" i="1" s="1"/>
  <c r="H205" i="1"/>
  <c r="I205" i="1" s="1"/>
  <c r="J205" i="1" s="1"/>
  <c r="H206" i="1"/>
  <c r="I206" i="1" s="1"/>
  <c r="J206" i="1" s="1"/>
  <c r="H207" i="1"/>
  <c r="I207" i="1" s="1"/>
  <c r="J207" i="1" s="1"/>
  <c r="H208" i="1"/>
  <c r="I208" i="1" s="1"/>
  <c r="J208" i="1" s="1"/>
  <c r="H209" i="1"/>
  <c r="I209" i="1" s="1"/>
  <c r="J209" i="1" s="1"/>
  <c r="H210" i="1"/>
  <c r="I210" i="1" s="1"/>
  <c r="J210" i="1" s="1"/>
  <c r="H211" i="1"/>
  <c r="I211" i="1" s="1"/>
  <c r="J211" i="1" s="1"/>
  <c r="H212" i="1"/>
  <c r="I212" i="1" s="1"/>
  <c r="J212" i="1" s="1"/>
  <c r="H213" i="1"/>
  <c r="I213" i="1" s="1"/>
  <c r="J213" i="1" s="1"/>
  <c r="H214" i="1"/>
  <c r="I214" i="1" s="1"/>
  <c r="J214" i="1" s="1"/>
  <c r="H215" i="1"/>
  <c r="I215" i="1" s="1"/>
  <c r="J215" i="1" s="1"/>
  <c r="H216" i="1"/>
  <c r="I216" i="1" s="1"/>
  <c r="J216" i="1" s="1"/>
  <c r="H217" i="1"/>
  <c r="I217" i="1" s="1"/>
  <c r="J217" i="1" s="1"/>
  <c r="H218" i="1"/>
  <c r="I218" i="1" s="1"/>
  <c r="J218" i="1" s="1"/>
  <c r="H219" i="1"/>
  <c r="I219" i="1" s="1"/>
  <c r="J219" i="1" s="1"/>
  <c r="H220" i="1"/>
  <c r="I220" i="1" s="1"/>
  <c r="J220" i="1" s="1"/>
  <c r="H221" i="1"/>
  <c r="I221" i="1" s="1"/>
  <c r="J221" i="1" s="1"/>
  <c r="H222" i="1"/>
  <c r="I222" i="1" s="1"/>
  <c r="J222" i="1" s="1"/>
  <c r="H223" i="1"/>
  <c r="I223" i="1" s="1"/>
  <c r="J223" i="1" s="1"/>
  <c r="H224" i="1"/>
  <c r="I224" i="1" s="1"/>
  <c r="J224" i="1" s="1"/>
  <c r="H225" i="1"/>
  <c r="I225" i="1" s="1"/>
  <c r="J225" i="1" s="1"/>
  <c r="H226" i="1"/>
  <c r="I226" i="1" s="1"/>
  <c r="J226" i="1" s="1"/>
  <c r="H227" i="1"/>
  <c r="I227" i="1" s="1"/>
  <c r="J227" i="1" s="1"/>
  <c r="H228" i="1"/>
  <c r="I228" i="1" s="1"/>
  <c r="J228" i="1" s="1"/>
  <c r="H229" i="1"/>
  <c r="I229" i="1" s="1"/>
  <c r="J229" i="1" s="1"/>
  <c r="H230" i="1"/>
  <c r="I230" i="1" s="1"/>
  <c r="J230" i="1" s="1"/>
  <c r="H231" i="1"/>
  <c r="I231" i="1" s="1"/>
  <c r="J231" i="1" s="1"/>
  <c r="H232" i="1"/>
  <c r="I232" i="1" s="1"/>
  <c r="J232" i="1" s="1"/>
  <c r="H233" i="1"/>
  <c r="I233" i="1" s="1"/>
  <c r="J233" i="1" s="1"/>
  <c r="H234" i="1"/>
  <c r="I234" i="1" s="1"/>
  <c r="J234" i="1" s="1"/>
  <c r="H235" i="1"/>
  <c r="I235" i="1" s="1"/>
  <c r="J235" i="1" s="1"/>
  <c r="H236" i="1"/>
  <c r="I236" i="1" s="1"/>
  <c r="J236" i="1" s="1"/>
  <c r="H237" i="1"/>
  <c r="I237" i="1" s="1"/>
  <c r="J237" i="1" s="1"/>
  <c r="H238" i="1"/>
  <c r="I238" i="1" s="1"/>
  <c r="J238" i="1" s="1"/>
  <c r="H239" i="1"/>
  <c r="I239" i="1" s="1"/>
  <c r="J239" i="1" s="1"/>
  <c r="H240" i="1"/>
  <c r="I240" i="1" s="1"/>
  <c r="J240" i="1" s="1"/>
  <c r="H241" i="1"/>
  <c r="I241" i="1" s="1"/>
  <c r="J241" i="1" s="1"/>
  <c r="H242" i="1"/>
  <c r="I242" i="1" s="1"/>
  <c r="J242" i="1" s="1"/>
  <c r="H243" i="1"/>
  <c r="I243" i="1" s="1"/>
  <c r="J243" i="1" s="1"/>
  <c r="H244" i="1"/>
  <c r="I244" i="1" s="1"/>
  <c r="J244" i="1" s="1"/>
  <c r="H245" i="1"/>
  <c r="I245" i="1" s="1"/>
  <c r="J245" i="1" s="1"/>
  <c r="H246" i="1"/>
  <c r="I246" i="1" s="1"/>
  <c r="J246" i="1" s="1"/>
  <c r="H247" i="1"/>
  <c r="I247" i="1" s="1"/>
  <c r="J247" i="1" s="1"/>
  <c r="H248" i="1"/>
  <c r="I248" i="1" s="1"/>
  <c r="J248" i="1" s="1"/>
  <c r="H249" i="1"/>
  <c r="I249" i="1" s="1"/>
  <c r="J249" i="1" s="1"/>
  <c r="H250" i="1"/>
  <c r="I250" i="1" s="1"/>
  <c r="J250" i="1" s="1"/>
  <c r="H251" i="1"/>
  <c r="I251" i="1" s="1"/>
  <c r="J251" i="1" s="1"/>
  <c r="H252" i="1"/>
  <c r="I252" i="1" s="1"/>
  <c r="J252" i="1" s="1"/>
  <c r="H253" i="1"/>
  <c r="I253" i="1" s="1"/>
  <c r="J253" i="1" s="1"/>
  <c r="H254" i="1"/>
  <c r="I254" i="1" s="1"/>
  <c r="J254" i="1" s="1"/>
  <c r="H255" i="1"/>
  <c r="I255" i="1" s="1"/>
  <c r="J255" i="1" s="1"/>
  <c r="H256" i="1"/>
  <c r="I256" i="1" s="1"/>
  <c r="J256" i="1" s="1"/>
  <c r="H257" i="1"/>
  <c r="I257" i="1" s="1"/>
  <c r="J257" i="1" s="1"/>
  <c r="H258" i="1"/>
  <c r="I258" i="1" s="1"/>
  <c r="J258" i="1" s="1"/>
  <c r="H259" i="1"/>
  <c r="I259" i="1" s="1"/>
  <c r="J259" i="1" s="1"/>
  <c r="H260" i="1"/>
  <c r="I260" i="1" s="1"/>
  <c r="J260" i="1" s="1"/>
  <c r="H261" i="1"/>
  <c r="I261" i="1" s="1"/>
  <c r="J261" i="1" s="1"/>
  <c r="H262" i="1"/>
  <c r="I262" i="1" s="1"/>
  <c r="J262" i="1" s="1"/>
  <c r="H263" i="1"/>
  <c r="I263" i="1" s="1"/>
  <c r="J263" i="1" s="1"/>
  <c r="H264" i="1"/>
  <c r="I264" i="1" s="1"/>
  <c r="J264" i="1" s="1"/>
  <c r="H265" i="1"/>
  <c r="I265" i="1" s="1"/>
  <c r="J265" i="1" s="1"/>
  <c r="H266" i="1"/>
  <c r="I266" i="1" s="1"/>
  <c r="J266" i="1" s="1"/>
  <c r="H267" i="1"/>
  <c r="I267" i="1" s="1"/>
  <c r="J267" i="1" s="1"/>
  <c r="H268" i="1"/>
  <c r="I268" i="1" s="1"/>
  <c r="J268" i="1" s="1"/>
  <c r="H269" i="1"/>
  <c r="I269" i="1" s="1"/>
  <c r="J269" i="1" s="1"/>
  <c r="H270" i="1"/>
  <c r="I270" i="1" s="1"/>
  <c r="J270" i="1" s="1"/>
  <c r="H271" i="1"/>
  <c r="I271" i="1" s="1"/>
  <c r="J271" i="1" s="1"/>
  <c r="H272" i="1"/>
  <c r="I272" i="1" s="1"/>
  <c r="J272" i="1" s="1"/>
  <c r="H273" i="1"/>
  <c r="I273" i="1" s="1"/>
  <c r="J273" i="1" s="1"/>
  <c r="H274" i="1"/>
  <c r="I274" i="1" s="1"/>
  <c r="J274" i="1" s="1"/>
  <c r="H275" i="1"/>
  <c r="I275" i="1" s="1"/>
  <c r="J275" i="1" s="1"/>
  <c r="H276" i="1"/>
  <c r="I276" i="1" s="1"/>
  <c r="J276" i="1" s="1"/>
  <c r="H277" i="1"/>
  <c r="I277" i="1" s="1"/>
  <c r="J277" i="1" s="1"/>
  <c r="H278" i="1"/>
  <c r="I278" i="1" s="1"/>
  <c r="J278" i="1" s="1"/>
  <c r="H279" i="1"/>
  <c r="I279" i="1" s="1"/>
  <c r="J279" i="1" s="1"/>
  <c r="H280" i="1"/>
  <c r="I280" i="1" s="1"/>
  <c r="J280" i="1" s="1"/>
  <c r="H281" i="1"/>
  <c r="I281" i="1" s="1"/>
  <c r="J281" i="1" s="1"/>
  <c r="H282" i="1"/>
  <c r="I282" i="1" s="1"/>
  <c r="J282" i="1" s="1"/>
  <c r="H283" i="1"/>
  <c r="I283" i="1" s="1"/>
  <c r="J283" i="1" s="1"/>
  <c r="H284" i="1"/>
  <c r="I284" i="1" s="1"/>
  <c r="J284" i="1" s="1"/>
  <c r="H285" i="1"/>
  <c r="I285" i="1" s="1"/>
  <c r="J285" i="1" s="1"/>
  <c r="H286" i="1"/>
  <c r="I286" i="1" s="1"/>
  <c r="J286" i="1" s="1"/>
  <c r="H287" i="1"/>
  <c r="I287" i="1" s="1"/>
  <c r="J287" i="1" s="1"/>
  <c r="H288" i="1"/>
  <c r="I288" i="1" s="1"/>
  <c r="J288" i="1" s="1"/>
  <c r="H289" i="1"/>
  <c r="I289" i="1" s="1"/>
  <c r="J289" i="1" s="1"/>
  <c r="H290" i="1"/>
  <c r="I290" i="1" s="1"/>
  <c r="J290" i="1" s="1"/>
  <c r="H291" i="1"/>
  <c r="I291" i="1" s="1"/>
  <c r="J291" i="1" s="1"/>
  <c r="H292" i="1"/>
  <c r="I292" i="1" s="1"/>
  <c r="J292" i="1" s="1"/>
  <c r="H293" i="1"/>
  <c r="I293" i="1" s="1"/>
  <c r="J293" i="1" s="1"/>
  <c r="H294" i="1"/>
  <c r="I294" i="1" s="1"/>
  <c r="J294" i="1" s="1"/>
  <c r="H295" i="1"/>
  <c r="I295" i="1" s="1"/>
  <c r="J295" i="1" s="1"/>
  <c r="H296" i="1"/>
  <c r="I296" i="1" s="1"/>
  <c r="J296" i="1" s="1"/>
  <c r="H297" i="1"/>
  <c r="I297" i="1" s="1"/>
  <c r="J297" i="1" s="1"/>
  <c r="H298" i="1"/>
  <c r="I298" i="1" s="1"/>
  <c r="J298" i="1" s="1"/>
  <c r="H299" i="1"/>
  <c r="I299" i="1" s="1"/>
  <c r="J299" i="1" s="1"/>
  <c r="H300" i="1"/>
  <c r="I300" i="1" s="1"/>
  <c r="J300" i="1" s="1"/>
  <c r="H301" i="1"/>
  <c r="I301" i="1" s="1"/>
  <c r="J301" i="1" s="1"/>
  <c r="H302" i="1"/>
  <c r="I302" i="1" s="1"/>
  <c r="J302" i="1" s="1"/>
  <c r="H303" i="1"/>
  <c r="I303" i="1" s="1"/>
  <c r="J303" i="1" s="1"/>
  <c r="H304" i="1"/>
  <c r="I304" i="1" s="1"/>
  <c r="J304" i="1" s="1"/>
  <c r="H305" i="1"/>
  <c r="I305" i="1" s="1"/>
  <c r="J305" i="1" s="1"/>
  <c r="H306" i="1"/>
  <c r="I306" i="1" s="1"/>
  <c r="J306" i="1" s="1"/>
  <c r="H307" i="1"/>
  <c r="I307" i="1" s="1"/>
  <c r="J307" i="1" s="1"/>
  <c r="H308" i="1"/>
  <c r="I308" i="1" s="1"/>
  <c r="J308" i="1" s="1"/>
  <c r="H309" i="1"/>
  <c r="I309" i="1" s="1"/>
  <c r="J309" i="1" s="1"/>
  <c r="H310" i="1"/>
  <c r="I310" i="1" s="1"/>
  <c r="J310" i="1" s="1"/>
  <c r="H311" i="1"/>
  <c r="I311" i="1" s="1"/>
  <c r="J311" i="1" s="1"/>
  <c r="H312" i="1"/>
  <c r="I312" i="1" s="1"/>
  <c r="J312" i="1" s="1"/>
  <c r="H313" i="1"/>
  <c r="I313" i="1" s="1"/>
  <c r="J313" i="1" s="1"/>
  <c r="H314" i="1"/>
  <c r="I314" i="1" s="1"/>
  <c r="J314" i="1" s="1"/>
  <c r="H315" i="1"/>
  <c r="I315" i="1" s="1"/>
  <c r="J315" i="1" s="1"/>
  <c r="H316" i="1"/>
  <c r="I316" i="1" s="1"/>
  <c r="J316" i="1" s="1"/>
  <c r="H317" i="1"/>
  <c r="I317" i="1" s="1"/>
  <c r="J317" i="1" s="1"/>
  <c r="H318" i="1"/>
  <c r="I318" i="1" s="1"/>
  <c r="J318" i="1" s="1"/>
  <c r="H319" i="1"/>
  <c r="I319" i="1" s="1"/>
  <c r="J319" i="1" s="1"/>
  <c r="H320" i="1"/>
  <c r="I320" i="1" s="1"/>
  <c r="J320" i="1" s="1"/>
  <c r="H321" i="1"/>
  <c r="I321" i="1" s="1"/>
  <c r="J321" i="1" s="1"/>
  <c r="H322" i="1"/>
  <c r="I322" i="1" s="1"/>
  <c r="J322" i="1" s="1"/>
  <c r="H323" i="1"/>
  <c r="I323" i="1" s="1"/>
  <c r="J323" i="1" s="1"/>
  <c r="H324" i="1"/>
  <c r="I324" i="1" s="1"/>
  <c r="J324" i="1" s="1"/>
  <c r="H325" i="1"/>
  <c r="I325" i="1" s="1"/>
  <c r="J325" i="1" s="1"/>
  <c r="H326" i="1"/>
  <c r="I326" i="1" s="1"/>
  <c r="J326" i="1" s="1"/>
  <c r="H327" i="1"/>
  <c r="I327" i="1" s="1"/>
  <c r="J327" i="1" s="1"/>
  <c r="H328" i="1"/>
  <c r="I328" i="1" s="1"/>
  <c r="J328" i="1" s="1"/>
  <c r="H329" i="1"/>
  <c r="I329" i="1" s="1"/>
  <c r="J329" i="1" s="1"/>
  <c r="H330" i="1"/>
  <c r="I330" i="1" s="1"/>
  <c r="J330" i="1" s="1"/>
  <c r="H331" i="1"/>
  <c r="I331" i="1" s="1"/>
  <c r="J331" i="1" s="1"/>
  <c r="H332" i="1"/>
  <c r="I332" i="1" s="1"/>
  <c r="J332" i="1" s="1"/>
  <c r="H333" i="1"/>
  <c r="I333" i="1" s="1"/>
  <c r="J333" i="1" s="1"/>
  <c r="H334" i="1"/>
  <c r="I334" i="1" s="1"/>
  <c r="J334" i="1" s="1"/>
  <c r="H335" i="1"/>
  <c r="I335" i="1" s="1"/>
  <c r="J335" i="1" s="1"/>
  <c r="H336" i="1"/>
  <c r="I336" i="1" s="1"/>
  <c r="J336" i="1" s="1"/>
  <c r="H337" i="1"/>
  <c r="I337" i="1" s="1"/>
  <c r="J337" i="1" s="1"/>
  <c r="H338" i="1"/>
  <c r="I338" i="1" s="1"/>
  <c r="J338" i="1" s="1"/>
  <c r="H339" i="1"/>
  <c r="I339" i="1" s="1"/>
  <c r="J339" i="1" s="1"/>
  <c r="H340" i="1"/>
  <c r="I340" i="1" s="1"/>
  <c r="J340" i="1" s="1"/>
  <c r="H341" i="1"/>
  <c r="I341" i="1" s="1"/>
  <c r="J341" i="1" s="1"/>
  <c r="H342" i="1"/>
  <c r="I342" i="1" s="1"/>
  <c r="J342" i="1" s="1"/>
  <c r="H343" i="1"/>
  <c r="I343" i="1" s="1"/>
  <c r="J343" i="1" s="1"/>
  <c r="H344" i="1"/>
  <c r="I344" i="1" s="1"/>
  <c r="J344" i="1" s="1"/>
  <c r="H345" i="1"/>
  <c r="I345" i="1" s="1"/>
  <c r="J345" i="1" s="1"/>
  <c r="H346" i="1"/>
  <c r="I346" i="1" s="1"/>
  <c r="J346" i="1" s="1"/>
  <c r="H347" i="1"/>
  <c r="I347" i="1" s="1"/>
  <c r="J347" i="1" s="1"/>
  <c r="H348" i="1"/>
  <c r="I348" i="1" s="1"/>
  <c r="J348" i="1" s="1"/>
  <c r="H349" i="1"/>
  <c r="I349" i="1" s="1"/>
  <c r="J349" i="1" s="1"/>
  <c r="H350" i="1"/>
  <c r="I350" i="1" s="1"/>
  <c r="J350" i="1" s="1"/>
  <c r="H351" i="1"/>
  <c r="I351" i="1" s="1"/>
  <c r="J351" i="1" s="1"/>
  <c r="H352" i="1"/>
  <c r="I352" i="1" s="1"/>
  <c r="J352" i="1" s="1"/>
  <c r="H353" i="1"/>
  <c r="I353" i="1" s="1"/>
  <c r="J353" i="1" s="1"/>
  <c r="H354" i="1"/>
  <c r="I354" i="1" s="1"/>
  <c r="J354" i="1" s="1"/>
  <c r="H355" i="1"/>
  <c r="I355" i="1" s="1"/>
  <c r="J355" i="1" s="1"/>
  <c r="H356" i="1"/>
  <c r="I356" i="1" s="1"/>
  <c r="J356" i="1" s="1"/>
  <c r="H357" i="1"/>
  <c r="I357" i="1" s="1"/>
  <c r="J357" i="1" s="1"/>
  <c r="H358" i="1"/>
  <c r="I358" i="1" s="1"/>
  <c r="J358" i="1" s="1"/>
  <c r="H359" i="1"/>
  <c r="I359" i="1" s="1"/>
  <c r="J359" i="1" s="1"/>
  <c r="H360" i="1"/>
  <c r="I360" i="1" s="1"/>
  <c r="J360" i="1" s="1"/>
  <c r="H361" i="1"/>
  <c r="I361" i="1" s="1"/>
  <c r="J361" i="1" s="1"/>
  <c r="H362" i="1"/>
  <c r="I362" i="1" s="1"/>
  <c r="J362" i="1" s="1"/>
  <c r="H363" i="1"/>
  <c r="I363" i="1" s="1"/>
  <c r="J363" i="1" s="1"/>
  <c r="H364" i="1"/>
  <c r="I364" i="1" s="1"/>
  <c r="J364" i="1" s="1"/>
  <c r="H365" i="1"/>
  <c r="I365" i="1" s="1"/>
  <c r="J365" i="1" s="1"/>
  <c r="H366" i="1"/>
  <c r="I366" i="1" s="1"/>
  <c r="J366" i="1" s="1"/>
  <c r="H367" i="1"/>
  <c r="I367" i="1" s="1"/>
  <c r="J367" i="1" s="1"/>
  <c r="H368" i="1"/>
  <c r="I368" i="1" s="1"/>
  <c r="J368" i="1" s="1"/>
  <c r="H369" i="1"/>
  <c r="I369" i="1" s="1"/>
  <c r="J369" i="1" s="1"/>
  <c r="H370" i="1"/>
  <c r="I370" i="1" s="1"/>
  <c r="J370" i="1" s="1"/>
  <c r="H371" i="1"/>
  <c r="I371" i="1" s="1"/>
  <c r="J371" i="1" s="1"/>
  <c r="H372" i="1"/>
  <c r="I372" i="1" s="1"/>
  <c r="J372" i="1" s="1"/>
  <c r="H373" i="1"/>
  <c r="I373" i="1" s="1"/>
  <c r="J373" i="1" s="1"/>
  <c r="H374" i="1"/>
  <c r="I374" i="1" s="1"/>
  <c r="J374" i="1" s="1"/>
  <c r="H375" i="1"/>
  <c r="I375" i="1" s="1"/>
  <c r="J375" i="1" s="1"/>
  <c r="H376" i="1"/>
  <c r="I376" i="1" s="1"/>
  <c r="J376" i="1" s="1"/>
  <c r="H377" i="1"/>
  <c r="I377" i="1" s="1"/>
  <c r="J377" i="1" s="1"/>
  <c r="H378" i="1"/>
  <c r="I378" i="1" s="1"/>
  <c r="J378" i="1" s="1"/>
  <c r="H379" i="1"/>
  <c r="I379" i="1" s="1"/>
  <c r="J379" i="1" s="1"/>
  <c r="H380" i="1"/>
  <c r="I380" i="1" s="1"/>
  <c r="J380" i="1" s="1"/>
  <c r="H381" i="1"/>
  <c r="I381" i="1" s="1"/>
  <c r="J381" i="1" s="1"/>
  <c r="H382" i="1"/>
  <c r="I382" i="1" s="1"/>
  <c r="J382" i="1" s="1"/>
  <c r="H383" i="1"/>
  <c r="I383" i="1" s="1"/>
  <c r="J383" i="1" s="1"/>
  <c r="H384" i="1"/>
  <c r="I384" i="1" s="1"/>
  <c r="J384" i="1" s="1"/>
  <c r="H385" i="1"/>
  <c r="I385" i="1" s="1"/>
  <c r="J385" i="1" s="1"/>
  <c r="H386" i="1"/>
  <c r="I386" i="1" s="1"/>
  <c r="J386" i="1" s="1"/>
  <c r="H387" i="1"/>
  <c r="I387" i="1" s="1"/>
  <c r="J387" i="1" s="1"/>
  <c r="H388" i="1"/>
  <c r="I388" i="1" s="1"/>
  <c r="J388" i="1" s="1"/>
  <c r="H389" i="1"/>
  <c r="I389" i="1" s="1"/>
  <c r="J389" i="1" s="1"/>
  <c r="H390" i="1"/>
  <c r="I390" i="1" s="1"/>
  <c r="J390" i="1" s="1"/>
  <c r="H391" i="1"/>
  <c r="I391" i="1" s="1"/>
  <c r="J391" i="1" s="1"/>
  <c r="H392" i="1"/>
  <c r="I392" i="1" s="1"/>
  <c r="J392" i="1" s="1"/>
  <c r="H393" i="1"/>
  <c r="I393" i="1" s="1"/>
  <c r="J393" i="1" s="1"/>
  <c r="H394" i="1"/>
  <c r="I394" i="1" s="1"/>
  <c r="J394" i="1" s="1"/>
  <c r="H395" i="1"/>
  <c r="I395" i="1" s="1"/>
  <c r="J395" i="1" s="1"/>
  <c r="H396" i="1"/>
  <c r="I396" i="1" s="1"/>
  <c r="J396" i="1" s="1"/>
  <c r="H397" i="1"/>
  <c r="I397" i="1" s="1"/>
  <c r="J397" i="1" s="1"/>
  <c r="H398" i="1"/>
  <c r="I398" i="1" s="1"/>
  <c r="J398" i="1" s="1"/>
  <c r="H399" i="1"/>
  <c r="I399" i="1" s="1"/>
  <c r="J399" i="1" s="1"/>
  <c r="H400" i="1"/>
  <c r="I400" i="1" s="1"/>
  <c r="J400" i="1" s="1"/>
  <c r="H401" i="1"/>
  <c r="I401" i="1" s="1"/>
  <c r="J401" i="1" s="1"/>
  <c r="H402" i="1"/>
  <c r="I402" i="1" s="1"/>
  <c r="J402" i="1" s="1"/>
  <c r="H403" i="1"/>
  <c r="I403" i="1" s="1"/>
  <c r="J403" i="1" s="1"/>
  <c r="H404" i="1"/>
  <c r="I404" i="1" s="1"/>
  <c r="J404" i="1" s="1"/>
  <c r="H405" i="1"/>
  <c r="I405" i="1" s="1"/>
  <c r="J405" i="1" s="1"/>
  <c r="H406" i="1"/>
  <c r="I406" i="1" s="1"/>
  <c r="J406" i="1" s="1"/>
  <c r="H407" i="1"/>
  <c r="I407" i="1" s="1"/>
  <c r="J407" i="1" s="1"/>
  <c r="H408" i="1"/>
  <c r="I408" i="1" s="1"/>
  <c r="J408" i="1" s="1"/>
  <c r="H409" i="1"/>
  <c r="I409" i="1" s="1"/>
  <c r="J409" i="1" s="1"/>
  <c r="H410" i="1"/>
  <c r="I410" i="1" s="1"/>
  <c r="J410" i="1" s="1"/>
  <c r="H411" i="1"/>
  <c r="I411" i="1" s="1"/>
  <c r="J411" i="1" s="1"/>
  <c r="H412" i="1"/>
  <c r="I412" i="1" s="1"/>
  <c r="J412" i="1" s="1"/>
  <c r="H413" i="1"/>
  <c r="I413" i="1" s="1"/>
  <c r="J413" i="1" s="1"/>
  <c r="H414" i="1"/>
  <c r="I414" i="1" s="1"/>
  <c r="J414" i="1" s="1"/>
  <c r="H415" i="1"/>
  <c r="I415" i="1" s="1"/>
  <c r="J415" i="1" s="1"/>
  <c r="H416" i="1"/>
  <c r="I416" i="1" s="1"/>
  <c r="J416" i="1" s="1"/>
  <c r="H417" i="1"/>
  <c r="I417" i="1" s="1"/>
  <c r="J417" i="1" s="1"/>
  <c r="H418" i="1"/>
  <c r="I418" i="1" s="1"/>
  <c r="J418" i="1" s="1"/>
  <c r="H419" i="1"/>
  <c r="I419" i="1" s="1"/>
  <c r="J419" i="1" s="1"/>
  <c r="H420" i="1"/>
  <c r="I420" i="1" s="1"/>
  <c r="J420" i="1" s="1"/>
  <c r="H421" i="1"/>
  <c r="I421" i="1" s="1"/>
  <c r="J421" i="1" s="1"/>
  <c r="H422" i="1"/>
  <c r="I422" i="1" s="1"/>
  <c r="J422" i="1" s="1"/>
  <c r="H423" i="1"/>
  <c r="I423" i="1" s="1"/>
  <c r="J423" i="1" s="1"/>
  <c r="H424" i="1"/>
  <c r="I424" i="1" s="1"/>
  <c r="J424" i="1" s="1"/>
  <c r="H425" i="1"/>
  <c r="I425" i="1" s="1"/>
  <c r="J425" i="1" s="1"/>
  <c r="H426" i="1"/>
  <c r="I426" i="1" s="1"/>
  <c r="J426" i="1" s="1"/>
  <c r="H427" i="1"/>
  <c r="I427" i="1" s="1"/>
  <c r="J427" i="1" s="1"/>
  <c r="H428" i="1"/>
  <c r="I428" i="1" s="1"/>
  <c r="J428" i="1" s="1"/>
  <c r="H429" i="1"/>
  <c r="I429" i="1" s="1"/>
  <c r="J429" i="1" s="1"/>
  <c r="H430" i="1"/>
  <c r="I430" i="1" s="1"/>
  <c r="J430" i="1" s="1"/>
  <c r="H431" i="1"/>
  <c r="I431" i="1" s="1"/>
  <c r="J431" i="1" s="1"/>
  <c r="H432" i="1"/>
  <c r="I432" i="1" s="1"/>
  <c r="J432" i="1" s="1"/>
  <c r="H433" i="1"/>
  <c r="I433" i="1" s="1"/>
  <c r="J433" i="1" s="1"/>
  <c r="H434" i="1"/>
  <c r="I434" i="1" s="1"/>
  <c r="J434" i="1" s="1"/>
  <c r="H435" i="1"/>
  <c r="I435" i="1" s="1"/>
  <c r="J435" i="1" s="1"/>
  <c r="H436" i="1"/>
  <c r="I436" i="1" s="1"/>
  <c r="J436" i="1" s="1"/>
  <c r="H437" i="1"/>
  <c r="I437" i="1" s="1"/>
  <c r="J437" i="1" s="1"/>
  <c r="H438" i="1"/>
  <c r="I438" i="1" s="1"/>
  <c r="J438" i="1" s="1"/>
  <c r="H439" i="1"/>
  <c r="I439" i="1" s="1"/>
  <c r="J439" i="1" s="1"/>
  <c r="H440" i="1"/>
  <c r="I440" i="1" s="1"/>
  <c r="J440" i="1" s="1"/>
  <c r="H441" i="1"/>
  <c r="I441" i="1" s="1"/>
  <c r="J441" i="1" s="1"/>
  <c r="H442" i="1"/>
  <c r="I442" i="1" s="1"/>
  <c r="J442" i="1" s="1"/>
  <c r="H443" i="1"/>
  <c r="I443" i="1" s="1"/>
  <c r="J443" i="1" s="1"/>
  <c r="H444" i="1"/>
  <c r="I444" i="1" s="1"/>
  <c r="J444" i="1" s="1"/>
  <c r="H445" i="1"/>
  <c r="I445" i="1" s="1"/>
  <c r="J445" i="1" s="1"/>
  <c r="H446" i="1"/>
  <c r="I446" i="1" s="1"/>
  <c r="J446" i="1" s="1"/>
  <c r="H447" i="1"/>
  <c r="I447" i="1" s="1"/>
  <c r="J447" i="1" s="1"/>
  <c r="H448" i="1"/>
  <c r="I448" i="1" s="1"/>
  <c r="J448" i="1" s="1"/>
  <c r="H449" i="1"/>
  <c r="I449" i="1" s="1"/>
  <c r="J449" i="1" s="1"/>
  <c r="H450" i="1"/>
  <c r="I450" i="1" s="1"/>
  <c r="J450" i="1" s="1"/>
  <c r="H451" i="1"/>
  <c r="I451" i="1" s="1"/>
  <c r="J451" i="1" s="1"/>
  <c r="H452" i="1"/>
  <c r="I452" i="1" s="1"/>
  <c r="J452" i="1" s="1"/>
  <c r="H453" i="1"/>
  <c r="I453" i="1" s="1"/>
  <c r="J453" i="1" s="1"/>
  <c r="H454" i="1"/>
  <c r="I454" i="1" s="1"/>
  <c r="J454" i="1" s="1"/>
  <c r="H455" i="1"/>
  <c r="I455" i="1" s="1"/>
  <c r="J455" i="1" s="1"/>
  <c r="H456" i="1"/>
  <c r="I456" i="1" s="1"/>
  <c r="J456" i="1" s="1"/>
  <c r="H457" i="1"/>
  <c r="I457" i="1" s="1"/>
  <c r="J457" i="1" s="1"/>
  <c r="H458" i="1"/>
  <c r="I458" i="1" s="1"/>
  <c r="J458" i="1" s="1"/>
  <c r="H459" i="1"/>
  <c r="I459" i="1" s="1"/>
  <c r="J459" i="1" s="1"/>
  <c r="H460" i="1"/>
  <c r="I460" i="1" s="1"/>
  <c r="J460" i="1" s="1"/>
  <c r="H461" i="1"/>
  <c r="I461" i="1" s="1"/>
  <c r="J461" i="1" s="1"/>
  <c r="H462" i="1"/>
  <c r="I462" i="1" s="1"/>
  <c r="J462" i="1" s="1"/>
  <c r="H463" i="1"/>
  <c r="I463" i="1" s="1"/>
  <c r="J463" i="1" s="1"/>
  <c r="H464" i="1"/>
  <c r="I464" i="1" s="1"/>
  <c r="J464" i="1" s="1"/>
  <c r="H465" i="1"/>
  <c r="I465" i="1" s="1"/>
  <c r="J465" i="1" s="1"/>
  <c r="H466" i="1"/>
  <c r="I466" i="1" s="1"/>
  <c r="J466" i="1" s="1"/>
  <c r="H467" i="1"/>
  <c r="I467" i="1" s="1"/>
  <c r="J467" i="1" s="1"/>
  <c r="H468" i="1"/>
  <c r="I468" i="1" s="1"/>
  <c r="J468" i="1" s="1"/>
  <c r="H469" i="1"/>
  <c r="I469" i="1" s="1"/>
  <c r="J469" i="1" s="1"/>
  <c r="H470" i="1"/>
  <c r="I470" i="1" s="1"/>
  <c r="J470" i="1" s="1"/>
  <c r="H471" i="1"/>
  <c r="I471" i="1" s="1"/>
  <c r="J471" i="1" s="1"/>
  <c r="H472" i="1"/>
  <c r="I472" i="1" s="1"/>
  <c r="J472" i="1" s="1"/>
  <c r="H473" i="1"/>
  <c r="I473" i="1" s="1"/>
  <c r="J473" i="1" s="1"/>
  <c r="H474" i="1"/>
  <c r="I474" i="1" s="1"/>
  <c r="J474" i="1" s="1"/>
  <c r="H475" i="1"/>
  <c r="I475" i="1" s="1"/>
  <c r="J475" i="1" s="1"/>
  <c r="H476" i="1"/>
  <c r="I476" i="1" s="1"/>
  <c r="J476" i="1" s="1"/>
  <c r="H477" i="1"/>
  <c r="I477" i="1" s="1"/>
  <c r="J477" i="1" s="1"/>
  <c r="H478" i="1"/>
  <c r="I478" i="1" s="1"/>
  <c r="J478" i="1" s="1"/>
  <c r="H479" i="1"/>
  <c r="I479" i="1" s="1"/>
  <c r="J479" i="1" s="1"/>
  <c r="H480" i="1"/>
  <c r="I480" i="1" s="1"/>
  <c r="J480" i="1" s="1"/>
  <c r="H481" i="1"/>
  <c r="I481" i="1" s="1"/>
  <c r="J481" i="1" s="1"/>
  <c r="H482" i="1"/>
  <c r="I482" i="1" s="1"/>
  <c r="J482" i="1" s="1"/>
  <c r="H483" i="1"/>
  <c r="I483" i="1" s="1"/>
  <c r="J483" i="1" s="1"/>
  <c r="H484" i="1"/>
  <c r="I484" i="1" s="1"/>
  <c r="J484" i="1" s="1"/>
  <c r="H485" i="1"/>
  <c r="I485" i="1" s="1"/>
  <c r="J485" i="1" s="1"/>
  <c r="H486" i="1"/>
  <c r="I486" i="1" s="1"/>
  <c r="J486" i="1" s="1"/>
  <c r="H487" i="1"/>
  <c r="I487" i="1" s="1"/>
  <c r="J487" i="1" s="1"/>
  <c r="H488" i="1"/>
  <c r="I488" i="1" s="1"/>
  <c r="J488" i="1" s="1"/>
  <c r="H489" i="1"/>
  <c r="I489" i="1" s="1"/>
  <c r="J489" i="1" s="1"/>
  <c r="H490" i="1"/>
  <c r="I490" i="1" s="1"/>
  <c r="J490" i="1" s="1"/>
  <c r="H491" i="1"/>
  <c r="I491" i="1" s="1"/>
  <c r="J491" i="1" s="1"/>
  <c r="H492" i="1"/>
  <c r="I492" i="1" s="1"/>
  <c r="J492" i="1" s="1"/>
  <c r="H493" i="1"/>
  <c r="I493" i="1" s="1"/>
  <c r="J493" i="1" s="1"/>
  <c r="H494" i="1"/>
  <c r="I494" i="1" s="1"/>
  <c r="J494" i="1" s="1"/>
  <c r="H495" i="1"/>
  <c r="I495" i="1" s="1"/>
  <c r="J495" i="1" s="1"/>
  <c r="H496" i="1"/>
  <c r="I496" i="1" s="1"/>
  <c r="J496" i="1" s="1"/>
  <c r="H497" i="1"/>
  <c r="I497" i="1" s="1"/>
  <c r="J497" i="1" s="1"/>
  <c r="H498" i="1"/>
  <c r="I498" i="1" s="1"/>
  <c r="J498" i="1" s="1"/>
  <c r="H499" i="1"/>
  <c r="I499" i="1" s="1"/>
  <c r="J499" i="1" s="1"/>
  <c r="H500" i="1"/>
  <c r="I500" i="1" s="1"/>
  <c r="J500" i="1" s="1"/>
  <c r="H501" i="1"/>
  <c r="I501" i="1" s="1"/>
  <c r="J501" i="1" s="1"/>
  <c r="H502" i="1"/>
  <c r="I502" i="1" s="1"/>
  <c r="J502" i="1" s="1"/>
  <c r="H503" i="1"/>
  <c r="I503" i="1" s="1"/>
  <c r="J503" i="1" s="1"/>
  <c r="H504" i="1"/>
  <c r="I504" i="1" s="1"/>
  <c r="J504" i="1" s="1"/>
  <c r="H505" i="1"/>
  <c r="I505" i="1" s="1"/>
  <c r="J505" i="1" s="1"/>
  <c r="H506" i="1"/>
  <c r="I506" i="1" s="1"/>
  <c r="J506" i="1" s="1"/>
  <c r="H507" i="1"/>
  <c r="I507" i="1" s="1"/>
  <c r="J507" i="1" s="1"/>
  <c r="H508" i="1"/>
  <c r="I508" i="1" s="1"/>
  <c r="J508" i="1" s="1"/>
  <c r="H509" i="1"/>
  <c r="I509" i="1" s="1"/>
  <c r="J509" i="1" s="1"/>
  <c r="H510" i="1"/>
  <c r="I510" i="1" s="1"/>
  <c r="J510" i="1" s="1"/>
  <c r="H511" i="1"/>
  <c r="I511" i="1" s="1"/>
  <c r="J511" i="1" s="1"/>
  <c r="H512" i="1"/>
  <c r="I512" i="1" s="1"/>
  <c r="J512" i="1" s="1"/>
  <c r="H513" i="1"/>
  <c r="I513" i="1" s="1"/>
  <c r="J513" i="1" s="1"/>
  <c r="H514" i="1"/>
  <c r="I514" i="1" s="1"/>
  <c r="J514" i="1" s="1"/>
  <c r="H515" i="1"/>
  <c r="I515" i="1" s="1"/>
  <c r="J515" i="1" s="1"/>
  <c r="H516" i="1"/>
  <c r="I516" i="1" s="1"/>
  <c r="J516" i="1" s="1"/>
  <c r="H517" i="1"/>
  <c r="I517" i="1" s="1"/>
  <c r="J517" i="1" s="1"/>
  <c r="H518" i="1"/>
  <c r="I518" i="1" s="1"/>
  <c r="J518" i="1" s="1"/>
  <c r="H519" i="1"/>
  <c r="I519" i="1" s="1"/>
  <c r="J519" i="1" s="1"/>
  <c r="H520" i="1"/>
  <c r="I520" i="1" s="1"/>
  <c r="J520" i="1" s="1"/>
  <c r="H521" i="1"/>
  <c r="I521" i="1" s="1"/>
  <c r="J521" i="1" s="1"/>
  <c r="H522" i="1"/>
  <c r="I522" i="1" s="1"/>
  <c r="J522" i="1" s="1"/>
  <c r="H523" i="1"/>
  <c r="I523" i="1" s="1"/>
  <c r="J523" i="1" s="1"/>
  <c r="H524" i="1"/>
  <c r="I524" i="1" s="1"/>
  <c r="J524" i="1" s="1"/>
  <c r="H525" i="1"/>
  <c r="I525" i="1" s="1"/>
  <c r="J525" i="1" s="1"/>
  <c r="H526" i="1"/>
  <c r="I526" i="1" s="1"/>
  <c r="J526" i="1" s="1"/>
  <c r="H527" i="1"/>
  <c r="I527" i="1" s="1"/>
  <c r="J527" i="1" s="1"/>
  <c r="H528" i="1"/>
  <c r="I528" i="1" s="1"/>
  <c r="J528" i="1" s="1"/>
  <c r="H529" i="1"/>
  <c r="I529" i="1" s="1"/>
  <c r="J529" i="1" s="1"/>
  <c r="H530" i="1"/>
  <c r="I530" i="1" s="1"/>
  <c r="J530" i="1" s="1"/>
  <c r="H531" i="1"/>
  <c r="I531" i="1" s="1"/>
  <c r="J531" i="1" s="1"/>
  <c r="H532" i="1"/>
  <c r="I532" i="1" s="1"/>
  <c r="J532" i="1" s="1"/>
  <c r="H533" i="1"/>
  <c r="I533" i="1" s="1"/>
  <c r="J533" i="1" s="1"/>
  <c r="H534" i="1"/>
  <c r="I534" i="1" s="1"/>
  <c r="J534" i="1" s="1"/>
  <c r="H535" i="1"/>
  <c r="I535" i="1" s="1"/>
  <c r="J535" i="1" s="1"/>
  <c r="H536" i="1"/>
  <c r="I536" i="1" s="1"/>
  <c r="J536" i="1" s="1"/>
  <c r="H537" i="1"/>
  <c r="I537" i="1" s="1"/>
  <c r="J537" i="1" s="1"/>
  <c r="H538" i="1"/>
  <c r="I538" i="1" s="1"/>
  <c r="J538" i="1" s="1"/>
  <c r="H539" i="1"/>
  <c r="I539" i="1" s="1"/>
  <c r="J539" i="1" s="1"/>
  <c r="H540" i="1"/>
  <c r="I540" i="1" s="1"/>
  <c r="J540" i="1" s="1"/>
  <c r="H541" i="1"/>
  <c r="I541" i="1" s="1"/>
  <c r="J541" i="1" s="1"/>
  <c r="H542" i="1"/>
  <c r="I542" i="1" s="1"/>
  <c r="J542" i="1" s="1"/>
  <c r="H543" i="1"/>
  <c r="I543" i="1" s="1"/>
  <c r="J543" i="1" s="1"/>
  <c r="H544" i="1"/>
  <c r="I544" i="1" s="1"/>
  <c r="J544" i="1" s="1"/>
  <c r="H545" i="1"/>
  <c r="I545" i="1" s="1"/>
  <c r="J545" i="1" s="1"/>
  <c r="H546" i="1"/>
  <c r="I546" i="1" s="1"/>
  <c r="J546" i="1" s="1"/>
  <c r="H547" i="1"/>
  <c r="I547" i="1" s="1"/>
  <c r="J547" i="1" s="1"/>
  <c r="H548" i="1"/>
  <c r="I548" i="1" s="1"/>
  <c r="J548" i="1" s="1"/>
  <c r="H549" i="1"/>
  <c r="I549" i="1" s="1"/>
  <c r="J549" i="1" s="1"/>
  <c r="H550" i="1"/>
  <c r="I550" i="1" s="1"/>
  <c r="J550" i="1" s="1"/>
  <c r="H551" i="1"/>
  <c r="I551" i="1" s="1"/>
  <c r="J551" i="1" s="1"/>
  <c r="H552" i="1"/>
  <c r="I552" i="1" s="1"/>
  <c r="J552" i="1" s="1"/>
  <c r="H553" i="1"/>
  <c r="I553" i="1" s="1"/>
  <c r="J553" i="1" s="1"/>
  <c r="H554" i="1"/>
  <c r="I554" i="1" s="1"/>
  <c r="J554" i="1" s="1"/>
  <c r="H555" i="1"/>
  <c r="I555" i="1" s="1"/>
  <c r="J555" i="1" s="1"/>
  <c r="H556" i="1"/>
  <c r="I556" i="1" s="1"/>
  <c r="J556" i="1" s="1"/>
  <c r="H557" i="1"/>
  <c r="I557" i="1" s="1"/>
  <c r="J557" i="1" s="1"/>
  <c r="H558" i="1"/>
  <c r="I558" i="1" s="1"/>
  <c r="J558" i="1" s="1"/>
  <c r="H559" i="1"/>
  <c r="I559" i="1" s="1"/>
  <c r="J559" i="1" s="1"/>
  <c r="H560" i="1"/>
  <c r="I560" i="1" s="1"/>
  <c r="J560" i="1" s="1"/>
  <c r="H561" i="1"/>
  <c r="I561" i="1" s="1"/>
  <c r="J561" i="1" s="1"/>
  <c r="H562" i="1"/>
  <c r="I562" i="1" s="1"/>
  <c r="J562" i="1" s="1"/>
  <c r="H563" i="1"/>
  <c r="I563" i="1" s="1"/>
  <c r="J563" i="1" s="1"/>
  <c r="H564" i="1"/>
  <c r="I564" i="1" s="1"/>
  <c r="J564" i="1" s="1"/>
  <c r="H565" i="1"/>
  <c r="I565" i="1" s="1"/>
  <c r="J565" i="1" s="1"/>
  <c r="H566" i="1"/>
  <c r="I566" i="1" s="1"/>
  <c r="J566" i="1" s="1"/>
  <c r="H567" i="1"/>
  <c r="I567" i="1" s="1"/>
  <c r="J567" i="1" s="1"/>
  <c r="H568" i="1"/>
  <c r="I568" i="1" s="1"/>
  <c r="J568" i="1" s="1"/>
  <c r="H569" i="1"/>
  <c r="I569" i="1" s="1"/>
  <c r="J569" i="1" s="1"/>
  <c r="H570" i="1"/>
  <c r="I570" i="1" s="1"/>
  <c r="J570" i="1" s="1"/>
  <c r="H571" i="1"/>
  <c r="I571" i="1" s="1"/>
  <c r="J571" i="1" s="1"/>
  <c r="H572" i="1"/>
  <c r="I572" i="1" s="1"/>
  <c r="J572" i="1" s="1"/>
  <c r="H573" i="1"/>
  <c r="I573" i="1" s="1"/>
  <c r="J573" i="1" s="1"/>
  <c r="H574" i="1"/>
  <c r="I574" i="1" s="1"/>
  <c r="J574" i="1" s="1"/>
  <c r="H575" i="1"/>
  <c r="I575" i="1" s="1"/>
  <c r="J575" i="1" s="1"/>
  <c r="H576" i="1"/>
  <c r="I576" i="1" s="1"/>
  <c r="J576" i="1" s="1"/>
  <c r="H577" i="1"/>
  <c r="I577" i="1" s="1"/>
  <c r="J577" i="1" s="1"/>
  <c r="H578" i="1"/>
  <c r="I578" i="1" s="1"/>
  <c r="J578" i="1" s="1"/>
  <c r="H579" i="1"/>
  <c r="I579" i="1" s="1"/>
  <c r="J579" i="1" s="1"/>
  <c r="H580" i="1"/>
  <c r="I580" i="1" s="1"/>
  <c r="J580" i="1" s="1"/>
  <c r="H581" i="1"/>
  <c r="I581" i="1" s="1"/>
  <c r="J581" i="1" s="1"/>
  <c r="H582" i="1"/>
  <c r="I582" i="1" s="1"/>
  <c r="J582" i="1" s="1"/>
  <c r="H583" i="1"/>
  <c r="I583" i="1" s="1"/>
  <c r="J583" i="1" s="1"/>
  <c r="H584" i="1"/>
  <c r="I584" i="1" s="1"/>
  <c r="J584" i="1" s="1"/>
  <c r="H585" i="1"/>
  <c r="I585" i="1" s="1"/>
  <c r="J585" i="1" s="1"/>
  <c r="H586" i="1"/>
  <c r="I586" i="1" s="1"/>
  <c r="J586" i="1" s="1"/>
  <c r="H587" i="1"/>
  <c r="I587" i="1" s="1"/>
  <c r="J587" i="1" s="1"/>
  <c r="H588" i="1"/>
  <c r="I588" i="1" s="1"/>
  <c r="J588" i="1" s="1"/>
  <c r="H589" i="1"/>
  <c r="I589" i="1" s="1"/>
  <c r="J589" i="1" s="1"/>
  <c r="H590" i="1"/>
  <c r="I590" i="1" s="1"/>
  <c r="J590" i="1" s="1"/>
  <c r="H591" i="1"/>
  <c r="I591" i="1" s="1"/>
  <c r="J591" i="1" s="1"/>
  <c r="H592" i="1"/>
  <c r="I592" i="1" s="1"/>
  <c r="J592" i="1" s="1"/>
  <c r="H593" i="1"/>
  <c r="I593" i="1" s="1"/>
  <c r="J593" i="1" s="1"/>
  <c r="H594" i="1"/>
  <c r="I594" i="1" s="1"/>
  <c r="J594" i="1" s="1"/>
  <c r="H595" i="1"/>
  <c r="I595" i="1" s="1"/>
  <c r="J595" i="1" s="1"/>
  <c r="H596" i="1"/>
  <c r="I596" i="1" s="1"/>
  <c r="J596" i="1" s="1"/>
  <c r="H597" i="1"/>
  <c r="I597" i="1" s="1"/>
  <c r="J597" i="1" s="1"/>
  <c r="H598" i="1"/>
  <c r="I598" i="1" s="1"/>
  <c r="J598" i="1" s="1"/>
  <c r="H599" i="1"/>
  <c r="I599" i="1" s="1"/>
  <c r="J599" i="1" s="1"/>
  <c r="H600" i="1"/>
  <c r="I600" i="1" s="1"/>
  <c r="J600" i="1" s="1"/>
  <c r="H601" i="1"/>
  <c r="I601" i="1" s="1"/>
  <c r="J601" i="1" s="1"/>
  <c r="H602" i="1"/>
  <c r="I602" i="1" s="1"/>
  <c r="J602" i="1" s="1"/>
  <c r="H603" i="1"/>
  <c r="I603" i="1" s="1"/>
  <c r="J603" i="1" s="1"/>
  <c r="H604" i="1"/>
  <c r="I604" i="1" s="1"/>
  <c r="J604" i="1" s="1"/>
  <c r="H605" i="1"/>
  <c r="I605" i="1" s="1"/>
  <c r="J605" i="1" s="1"/>
  <c r="H606" i="1"/>
  <c r="I606" i="1" s="1"/>
  <c r="J606" i="1" s="1"/>
  <c r="H607" i="1"/>
  <c r="I607" i="1" s="1"/>
  <c r="J607" i="1" s="1"/>
  <c r="H608" i="1"/>
  <c r="I608" i="1" s="1"/>
  <c r="J608" i="1" s="1"/>
  <c r="H609" i="1"/>
  <c r="I609" i="1" s="1"/>
  <c r="J609" i="1" s="1"/>
  <c r="H610" i="1"/>
  <c r="I610" i="1" s="1"/>
  <c r="J610" i="1" s="1"/>
  <c r="H611" i="1"/>
  <c r="I611" i="1" s="1"/>
  <c r="J611" i="1" s="1"/>
  <c r="H612" i="1"/>
  <c r="I612" i="1" s="1"/>
  <c r="J612" i="1" s="1"/>
  <c r="H613" i="1"/>
  <c r="I613" i="1" s="1"/>
  <c r="J613" i="1" s="1"/>
  <c r="H614" i="1"/>
  <c r="I614" i="1" s="1"/>
  <c r="J614" i="1" s="1"/>
  <c r="H615" i="1"/>
  <c r="I615" i="1" s="1"/>
  <c r="J615" i="1" s="1"/>
  <c r="H616" i="1"/>
  <c r="I616" i="1" s="1"/>
  <c r="J616" i="1" s="1"/>
  <c r="H617" i="1"/>
  <c r="I617" i="1" s="1"/>
  <c r="J617" i="1" s="1"/>
  <c r="H618" i="1"/>
  <c r="I618" i="1" s="1"/>
  <c r="J618" i="1" s="1"/>
  <c r="H619" i="1"/>
  <c r="I619" i="1" s="1"/>
  <c r="J619" i="1" s="1"/>
  <c r="H620" i="1"/>
  <c r="I620" i="1" s="1"/>
  <c r="J620" i="1" s="1"/>
  <c r="H621" i="1"/>
  <c r="I621" i="1" s="1"/>
  <c r="J621" i="1" s="1"/>
  <c r="H622" i="1"/>
  <c r="I622" i="1" s="1"/>
  <c r="J622" i="1" s="1"/>
  <c r="H623" i="1"/>
  <c r="I623" i="1" s="1"/>
  <c r="J623" i="1" s="1"/>
  <c r="H624" i="1"/>
  <c r="I624" i="1" s="1"/>
  <c r="J624" i="1" s="1"/>
  <c r="H625" i="1"/>
  <c r="I625" i="1" s="1"/>
  <c r="J625" i="1" s="1"/>
  <c r="H626" i="1"/>
  <c r="I626" i="1" s="1"/>
  <c r="J626" i="1" s="1"/>
  <c r="H627" i="1"/>
  <c r="I627" i="1" s="1"/>
  <c r="J627" i="1" s="1"/>
  <c r="H628" i="1"/>
  <c r="I628" i="1" s="1"/>
  <c r="J628" i="1" s="1"/>
  <c r="H629" i="1"/>
  <c r="I629" i="1" s="1"/>
  <c r="J629" i="1" s="1"/>
  <c r="H630" i="1"/>
  <c r="I630" i="1" s="1"/>
  <c r="J630" i="1" s="1"/>
  <c r="H631" i="1"/>
  <c r="I631" i="1" s="1"/>
  <c r="J631" i="1" s="1"/>
  <c r="H632" i="1"/>
  <c r="I632" i="1" s="1"/>
  <c r="J632" i="1" s="1"/>
  <c r="H633" i="1"/>
  <c r="I633" i="1" s="1"/>
  <c r="J633" i="1" s="1"/>
  <c r="H634" i="1"/>
  <c r="I634" i="1" s="1"/>
  <c r="J634" i="1" s="1"/>
  <c r="H635" i="1"/>
  <c r="I635" i="1" s="1"/>
  <c r="J635" i="1" s="1"/>
  <c r="H636" i="1"/>
  <c r="I636" i="1" s="1"/>
  <c r="J636" i="1" s="1"/>
  <c r="H637" i="1"/>
  <c r="I637" i="1" s="1"/>
  <c r="J637" i="1" s="1"/>
  <c r="H638" i="1"/>
  <c r="I638" i="1" s="1"/>
  <c r="J638" i="1" s="1"/>
  <c r="H639" i="1"/>
  <c r="I639" i="1" s="1"/>
  <c r="J639" i="1" s="1"/>
  <c r="H640" i="1"/>
  <c r="I640" i="1" s="1"/>
  <c r="J640" i="1" s="1"/>
  <c r="H641" i="1"/>
  <c r="I641" i="1" s="1"/>
  <c r="J641" i="1" s="1"/>
  <c r="H642" i="1"/>
  <c r="I642" i="1" s="1"/>
  <c r="J642" i="1" s="1"/>
  <c r="H643" i="1"/>
  <c r="I643" i="1" s="1"/>
  <c r="J643" i="1" s="1"/>
  <c r="H644" i="1"/>
  <c r="I644" i="1" s="1"/>
  <c r="J644" i="1" s="1"/>
  <c r="H645" i="1"/>
  <c r="I645" i="1" s="1"/>
  <c r="J645" i="1" s="1"/>
  <c r="H646" i="1"/>
  <c r="I646" i="1" s="1"/>
  <c r="J646" i="1" s="1"/>
  <c r="H647" i="1"/>
  <c r="I647" i="1" s="1"/>
  <c r="J647" i="1" s="1"/>
  <c r="H648" i="1"/>
  <c r="I648" i="1" s="1"/>
  <c r="J648" i="1" s="1"/>
  <c r="H649" i="1"/>
  <c r="I649" i="1" s="1"/>
  <c r="J649" i="1" s="1"/>
  <c r="H650" i="1"/>
  <c r="I650" i="1" s="1"/>
  <c r="J650" i="1" s="1"/>
  <c r="H651" i="1"/>
  <c r="I651" i="1" s="1"/>
  <c r="J651" i="1" s="1"/>
  <c r="H652" i="1"/>
  <c r="I652" i="1" s="1"/>
  <c r="J652" i="1" s="1"/>
  <c r="H653" i="1"/>
  <c r="I653" i="1" s="1"/>
  <c r="J653" i="1" s="1"/>
  <c r="H654" i="1"/>
  <c r="I654" i="1" s="1"/>
  <c r="J654" i="1" s="1"/>
  <c r="H655" i="1"/>
  <c r="I655" i="1" s="1"/>
  <c r="J655" i="1" s="1"/>
  <c r="H656" i="1"/>
  <c r="I656" i="1" s="1"/>
  <c r="J656" i="1" s="1"/>
  <c r="H657" i="1"/>
  <c r="I657" i="1" s="1"/>
  <c r="J657" i="1" s="1"/>
  <c r="H658" i="1"/>
  <c r="I658" i="1" s="1"/>
  <c r="J658" i="1" s="1"/>
  <c r="H659" i="1"/>
  <c r="I659" i="1" s="1"/>
  <c r="J659" i="1" s="1"/>
  <c r="H660" i="1"/>
  <c r="I660" i="1" s="1"/>
  <c r="J660" i="1" s="1"/>
  <c r="H661" i="1"/>
  <c r="I661" i="1" s="1"/>
  <c r="J661" i="1" s="1"/>
  <c r="H662" i="1"/>
  <c r="I662" i="1" s="1"/>
  <c r="J662" i="1" s="1"/>
  <c r="H663" i="1"/>
  <c r="I663" i="1" s="1"/>
  <c r="J663" i="1" s="1"/>
  <c r="H664" i="1"/>
  <c r="I664" i="1" s="1"/>
  <c r="J664" i="1" s="1"/>
  <c r="H665" i="1"/>
  <c r="I665" i="1" s="1"/>
  <c r="J665" i="1" s="1"/>
  <c r="H666" i="1"/>
  <c r="I666" i="1" s="1"/>
  <c r="J666" i="1" s="1"/>
  <c r="H667" i="1"/>
  <c r="I667" i="1" s="1"/>
  <c r="J667" i="1" s="1"/>
  <c r="H668" i="1"/>
  <c r="I668" i="1" s="1"/>
  <c r="J668" i="1" s="1"/>
  <c r="H669" i="1"/>
  <c r="I669" i="1" s="1"/>
  <c r="J669" i="1" s="1"/>
  <c r="H670" i="1"/>
  <c r="I670" i="1" s="1"/>
  <c r="J670" i="1" s="1"/>
  <c r="H671" i="1"/>
  <c r="I671" i="1" s="1"/>
  <c r="J671" i="1" s="1"/>
  <c r="H672" i="1"/>
  <c r="I672" i="1" s="1"/>
  <c r="J672" i="1" s="1"/>
  <c r="H673" i="1"/>
  <c r="I673" i="1" s="1"/>
  <c r="J673" i="1" s="1"/>
  <c r="H674" i="1"/>
  <c r="I674" i="1" s="1"/>
  <c r="J674" i="1" s="1"/>
  <c r="H675" i="1"/>
  <c r="I675" i="1" s="1"/>
  <c r="J675" i="1" s="1"/>
  <c r="H676" i="1"/>
  <c r="I676" i="1" s="1"/>
  <c r="J676" i="1" s="1"/>
  <c r="H677" i="1"/>
  <c r="I677" i="1" s="1"/>
  <c r="J677" i="1" s="1"/>
  <c r="H678" i="1"/>
  <c r="I678" i="1" s="1"/>
  <c r="J678" i="1" s="1"/>
  <c r="H679" i="1"/>
  <c r="I679" i="1" s="1"/>
  <c r="J679" i="1" s="1"/>
  <c r="H680" i="1"/>
  <c r="I680" i="1" s="1"/>
  <c r="J680" i="1" s="1"/>
  <c r="H681" i="1"/>
  <c r="I681" i="1" s="1"/>
  <c r="J681" i="1" s="1"/>
  <c r="H682" i="1"/>
  <c r="I682" i="1" s="1"/>
  <c r="J682" i="1" s="1"/>
  <c r="H683" i="1"/>
  <c r="I683" i="1" s="1"/>
  <c r="J683" i="1" s="1"/>
  <c r="H684" i="1"/>
  <c r="I684" i="1" s="1"/>
  <c r="J684" i="1" s="1"/>
  <c r="H685" i="1"/>
  <c r="I685" i="1" s="1"/>
  <c r="J685" i="1" s="1"/>
  <c r="H686" i="1"/>
  <c r="I686" i="1" s="1"/>
  <c r="J686" i="1" s="1"/>
  <c r="H687" i="1"/>
  <c r="I687" i="1" s="1"/>
  <c r="J687" i="1" s="1"/>
  <c r="H688" i="1"/>
  <c r="I688" i="1" s="1"/>
  <c r="J688" i="1" s="1"/>
  <c r="H689" i="1"/>
  <c r="I689" i="1" s="1"/>
  <c r="J689" i="1" s="1"/>
  <c r="H690" i="1"/>
  <c r="I690" i="1" s="1"/>
  <c r="J690" i="1" s="1"/>
  <c r="H691" i="1"/>
  <c r="I691" i="1" s="1"/>
  <c r="J691" i="1" s="1"/>
  <c r="H692" i="1"/>
  <c r="I692" i="1" s="1"/>
  <c r="J692" i="1" s="1"/>
  <c r="H693" i="1"/>
  <c r="I693" i="1" s="1"/>
  <c r="J693" i="1" s="1"/>
  <c r="H694" i="1"/>
  <c r="I694" i="1" s="1"/>
  <c r="J694" i="1" s="1"/>
  <c r="H695" i="1"/>
  <c r="I695" i="1" s="1"/>
  <c r="J695" i="1" s="1"/>
  <c r="H696" i="1"/>
  <c r="I696" i="1" s="1"/>
  <c r="J696" i="1" s="1"/>
  <c r="H697" i="1"/>
  <c r="I697" i="1" s="1"/>
  <c r="J697" i="1" s="1"/>
  <c r="H698" i="1"/>
  <c r="I698" i="1" s="1"/>
  <c r="J698" i="1" s="1"/>
  <c r="H699" i="1"/>
  <c r="I699" i="1" s="1"/>
  <c r="J699" i="1" s="1"/>
  <c r="H700" i="1"/>
  <c r="I700" i="1" s="1"/>
  <c r="J700" i="1" s="1"/>
  <c r="H701" i="1"/>
  <c r="I701" i="1" s="1"/>
  <c r="J701" i="1" s="1"/>
  <c r="H702" i="1"/>
  <c r="I702" i="1" s="1"/>
  <c r="J702" i="1" s="1"/>
  <c r="H703" i="1"/>
  <c r="I703" i="1" s="1"/>
  <c r="J703" i="1" s="1"/>
  <c r="H704" i="1"/>
  <c r="I704" i="1" s="1"/>
  <c r="J704" i="1" s="1"/>
  <c r="H705" i="1"/>
  <c r="I705" i="1" s="1"/>
  <c r="J705" i="1" s="1"/>
  <c r="H706" i="1"/>
  <c r="I706" i="1" s="1"/>
  <c r="J706" i="1" s="1"/>
  <c r="H707" i="1"/>
  <c r="I707" i="1" s="1"/>
  <c r="J707" i="1" s="1"/>
  <c r="H708" i="1"/>
  <c r="I708" i="1" s="1"/>
  <c r="J708" i="1" s="1"/>
  <c r="H709" i="1"/>
  <c r="I709" i="1" s="1"/>
  <c r="J709" i="1" s="1"/>
  <c r="H710" i="1"/>
  <c r="I710" i="1" s="1"/>
  <c r="J710" i="1" s="1"/>
  <c r="H711" i="1"/>
  <c r="I711" i="1" s="1"/>
  <c r="J711" i="1" s="1"/>
  <c r="H712" i="1"/>
  <c r="I712" i="1" s="1"/>
  <c r="J712" i="1" s="1"/>
  <c r="H713" i="1"/>
  <c r="I713" i="1" s="1"/>
  <c r="J713" i="1" s="1"/>
  <c r="H714" i="1"/>
  <c r="I714" i="1" s="1"/>
  <c r="J714" i="1" s="1"/>
  <c r="H715" i="1"/>
  <c r="I715" i="1" s="1"/>
  <c r="J715" i="1" s="1"/>
  <c r="H716" i="1"/>
  <c r="I716" i="1" s="1"/>
  <c r="J716" i="1" s="1"/>
  <c r="H717" i="1"/>
  <c r="I717" i="1" s="1"/>
  <c r="J717" i="1" s="1"/>
  <c r="H718" i="1"/>
  <c r="I718" i="1" s="1"/>
  <c r="J718" i="1" s="1"/>
  <c r="H719" i="1"/>
  <c r="I719" i="1" s="1"/>
  <c r="J719" i="1" s="1"/>
  <c r="H720" i="1"/>
  <c r="I720" i="1" s="1"/>
  <c r="J720" i="1" s="1"/>
  <c r="H721" i="1"/>
  <c r="I721" i="1" s="1"/>
  <c r="J721" i="1" s="1"/>
  <c r="H722" i="1"/>
  <c r="I722" i="1" s="1"/>
  <c r="J722" i="1" s="1"/>
  <c r="H723" i="1"/>
  <c r="I723" i="1" s="1"/>
  <c r="J723" i="1" s="1"/>
  <c r="H724" i="1"/>
  <c r="I724" i="1" s="1"/>
  <c r="J724" i="1" s="1"/>
  <c r="H725" i="1"/>
  <c r="I725" i="1" s="1"/>
  <c r="J725" i="1" s="1"/>
  <c r="H726" i="1"/>
  <c r="I726" i="1" s="1"/>
  <c r="J726" i="1" s="1"/>
  <c r="H727" i="1"/>
  <c r="I727" i="1" s="1"/>
  <c r="J727" i="1" s="1"/>
  <c r="H728" i="1"/>
  <c r="I728" i="1" s="1"/>
  <c r="J728" i="1" s="1"/>
  <c r="H729" i="1"/>
  <c r="I729" i="1" s="1"/>
  <c r="J729" i="1" s="1"/>
  <c r="H730" i="1"/>
  <c r="I730" i="1" s="1"/>
  <c r="J730" i="1" s="1"/>
  <c r="H731" i="1"/>
  <c r="I731" i="1" s="1"/>
  <c r="J731" i="1" s="1"/>
  <c r="H732" i="1"/>
  <c r="I732" i="1" s="1"/>
  <c r="J732" i="1" s="1"/>
  <c r="H733" i="1"/>
  <c r="I733" i="1" s="1"/>
  <c r="J733" i="1" s="1"/>
  <c r="H734" i="1"/>
  <c r="I734" i="1" s="1"/>
  <c r="J734" i="1" s="1"/>
  <c r="H735" i="1"/>
  <c r="I735" i="1" s="1"/>
  <c r="J735" i="1" s="1"/>
  <c r="H736" i="1"/>
  <c r="I736" i="1" s="1"/>
  <c r="J736" i="1" s="1"/>
  <c r="H737" i="1"/>
  <c r="I737" i="1" s="1"/>
  <c r="J737" i="1" s="1"/>
  <c r="H738" i="1"/>
  <c r="I738" i="1" s="1"/>
  <c r="J738" i="1" s="1"/>
  <c r="H739" i="1"/>
  <c r="I739" i="1" s="1"/>
  <c r="J739" i="1" s="1"/>
  <c r="H740" i="1"/>
  <c r="I740" i="1" s="1"/>
  <c r="J740" i="1" s="1"/>
  <c r="H741" i="1"/>
  <c r="I741" i="1" s="1"/>
  <c r="J741" i="1" s="1"/>
  <c r="H742" i="1"/>
  <c r="I742" i="1" s="1"/>
  <c r="J742" i="1" s="1"/>
  <c r="H743" i="1"/>
  <c r="I743" i="1" s="1"/>
  <c r="J743" i="1" s="1"/>
  <c r="H744" i="1"/>
  <c r="I744" i="1" s="1"/>
  <c r="J744" i="1" s="1"/>
  <c r="H745" i="1"/>
  <c r="I745" i="1" s="1"/>
  <c r="J745" i="1" s="1"/>
  <c r="H746" i="1"/>
  <c r="I746" i="1" s="1"/>
  <c r="J746" i="1" s="1"/>
  <c r="H747" i="1"/>
  <c r="I747" i="1" s="1"/>
  <c r="J747" i="1" s="1"/>
  <c r="H748" i="1"/>
  <c r="I748" i="1" s="1"/>
  <c r="J748" i="1" s="1"/>
  <c r="H749" i="1"/>
  <c r="I749" i="1" s="1"/>
  <c r="J749" i="1" s="1"/>
  <c r="H750" i="1"/>
  <c r="I750" i="1" s="1"/>
  <c r="J750" i="1" s="1"/>
  <c r="H751" i="1"/>
  <c r="I751" i="1" s="1"/>
  <c r="J751" i="1" s="1"/>
  <c r="H752" i="1"/>
  <c r="I752" i="1" s="1"/>
  <c r="J752" i="1" s="1"/>
  <c r="H753" i="1"/>
  <c r="I753" i="1" s="1"/>
  <c r="J753" i="1" s="1"/>
  <c r="H754" i="1"/>
  <c r="I754" i="1" s="1"/>
  <c r="J754" i="1" s="1"/>
  <c r="H755" i="1"/>
  <c r="I755" i="1" s="1"/>
  <c r="J755" i="1" s="1"/>
  <c r="H756" i="1"/>
  <c r="I756" i="1" s="1"/>
  <c r="J756" i="1" s="1"/>
  <c r="H757" i="1"/>
  <c r="I757" i="1" s="1"/>
  <c r="J757" i="1" s="1"/>
  <c r="H758" i="1"/>
  <c r="I758" i="1" s="1"/>
  <c r="J758" i="1" s="1"/>
  <c r="H759" i="1"/>
  <c r="I759" i="1" s="1"/>
  <c r="J759" i="1" s="1"/>
  <c r="H760" i="1"/>
  <c r="I760" i="1" s="1"/>
  <c r="J760" i="1" s="1"/>
  <c r="H761" i="1"/>
  <c r="I761" i="1" s="1"/>
  <c r="J761" i="1" s="1"/>
  <c r="H762" i="1"/>
  <c r="I762" i="1" s="1"/>
  <c r="J762" i="1" s="1"/>
  <c r="H763" i="1"/>
  <c r="I763" i="1" s="1"/>
  <c r="J763" i="1" s="1"/>
  <c r="H764" i="1"/>
  <c r="I764" i="1" s="1"/>
  <c r="J764" i="1" s="1"/>
  <c r="H765" i="1"/>
  <c r="I765" i="1" s="1"/>
  <c r="J765" i="1" s="1"/>
  <c r="H766" i="1"/>
  <c r="I766" i="1" s="1"/>
  <c r="J766" i="1" s="1"/>
  <c r="H767" i="1"/>
  <c r="I767" i="1" s="1"/>
  <c r="J767" i="1" s="1"/>
  <c r="H768" i="1"/>
  <c r="I768" i="1" s="1"/>
  <c r="J768" i="1" s="1"/>
  <c r="H769" i="1"/>
  <c r="I769" i="1" s="1"/>
  <c r="J769" i="1" s="1"/>
  <c r="H770" i="1"/>
  <c r="I770" i="1" s="1"/>
  <c r="J770" i="1" s="1"/>
  <c r="H771" i="1"/>
  <c r="I771" i="1" s="1"/>
  <c r="J771" i="1" s="1"/>
  <c r="H772" i="1"/>
  <c r="I772" i="1" s="1"/>
  <c r="J772" i="1" s="1"/>
  <c r="H773" i="1"/>
  <c r="I773" i="1" s="1"/>
  <c r="J773" i="1" s="1"/>
  <c r="H774" i="1"/>
  <c r="I774" i="1" s="1"/>
  <c r="J774" i="1" s="1"/>
  <c r="H775" i="1"/>
  <c r="I775" i="1" s="1"/>
  <c r="J775" i="1" s="1"/>
  <c r="H776" i="1"/>
  <c r="I776" i="1" s="1"/>
  <c r="J776" i="1" s="1"/>
  <c r="H777" i="1"/>
  <c r="I777" i="1" s="1"/>
  <c r="J777" i="1" s="1"/>
  <c r="H778" i="1"/>
  <c r="I778" i="1" s="1"/>
  <c r="J778" i="1" s="1"/>
  <c r="H779" i="1"/>
  <c r="I779" i="1" s="1"/>
  <c r="J779" i="1" s="1"/>
  <c r="H780" i="1"/>
  <c r="I780" i="1" s="1"/>
  <c r="J780" i="1" s="1"/>
  <c r="H781" i="1"/>
  <c r="I781" i="1" s="1"/>
  <c r="J781" i="1" s="1"/>
  <c r="H782" i="1"/>
  <c r="I782" i="1" s="1"/>
  <c r="J782" i="1" s="1"/>
  <c r="H783" i="1"/>
  <c r="I783" i="1" s="1"/>
  <c r="J783" i="1" s="1"/>
  <c r="H784" i="1"/>
  <c r="I784" i="1" s="1"/>
  <c r="J784" i="1" s="1"/>
  <c r="H785" i="1"/>
  <c r="I785" i="1" s="1"/>
  <c r="J785" i="1" s="1"/>
  <c r="H786" i="1"/>
  <c r="I786" i="1" s="1"/>
  <c r="J786" i="1" s="1"/>
  <c r="H787" i="1"/>
  <c r="I787" i="1" s="1"/>
  <c r="J787" i="1" s="1"/>
  <c r="H788" i="1"/>
  <c r="I788" i="1" s="1"/>
  <c r="J788" i="1" s="1"/>
  <c r="H789" i="1"/>
  <c r="I789" i="1" s="1"/>
  <c r="J789" i="1" s="1"/>
  <c r="H790" i="1"/>
  <c r="I790" i="1" s="1"/>
  <c r="J790" i="1" s="1"/>
  <c r="H791" i="1"/>
  <c r="I791" i="1" s="1"/>
  <c r="J791" i="1" s="1"/>
  <c r="H792" i="1"/>
  <c r="I792" i="1" s="1"/>
  <c r="J792" i="1" s="1"/>
  <c r="H793" i="1"/>
  <c r="I793" i="1" s="1"/>
  <c r="J793" i="1" s="1"/>
  <c r="H794" i="1"/>
  <c r="I794" i="1" s="1"/>
  <c r="J794" i="1" s="1"/>
  <c r="H795" i="1"/>
  <c r="I795" i="1" s="1"/>
  <c r="J795" i="1" s="1"/>
  <c r="H796" i="1"/>
  <c r="I796" i="1" s="1"/>
  <c r="J796" i="1" s="1"/>
  <c r="H797" i="1"/>
  <c r="I797" i="1" s="1"/>
  <c r="J797" i="1" s="1"/>
  <c r="H798" i="1"/>
  <c r="I798" i="1" s="1"/>
  <c r="J798" i="1" s="1"/>
  <c r="H799" i="1"/>
  <c r="I799" i="1" s="1"/>
  <c r="J799" i="1" s="1"/>
  <c r="H800" i="1"/>
  <c r="I800" i="1" s="1"/>
  <c r="J800" i="1" s="1"/>
  <c r="H801" i="1"/>
  <c r="I801" i="1" s="1"/>
  <c r="J801" i="1" s="1"/>
  <c r="H802" i="1"/>
  <c r="I802" i="1" s="1"/>
  <c r="J802" i="1" s="1"/>
  <c r="H803" i="1"/>
  <c r="I803" i="1" s="1"/>
  <c r="J803" i="1" s="1"/>
  <c r="H804" i="1"/>
  <c r="I804" i="1" s="1"/>
  <c r="J804" i="1" s="1"/>
  <c r="H805" i="1"/>
  <c r="I805" i="1" s="1"/>
  <c r="J805" i="1" s="1"/>
  <c r="H806" i="1"/>
  <c r="I806" i="1" s="1"/>
  <c r="J806" i="1" s="1"/>
  <c r="H807" i="1"/>
  <c r="I807" i="1" s="1"/>
  <c r="J807" i="1" s="1"/>
  <c r="H808" i="1"/>
  <c r="I808" i="1" s="1"/>
  <c r="J808" i="1" s="1"/>
  <c r="H809" i="1"/>
  <c r="I809" i="1" s="1"/>
  <c r="J809" i="1" s="1"/>
  <c r="H810" i="1"/>
  <c r="I810" i="1" s="1"/>
  <c r="J810" i="1" s="1"/>
  <c r="H811" i="1"/>
  <c r="I811" i="1" s="1"/>
  <c r="J811" i="1" s="1"/>
  <c r="H812" i="1"/>
  <c r="I812" i="1" s="1"/>
  <c r="J812" i="1" s="1"/>
  <c r="H813" i="1"/>
  <c r="I813" i="1" s="1"/>
  <c r="J813" i="1" s="1"/>
  <c r="H814" i="1"/>
  <c r="I814" i="1" s="1"/>
  <c r="J814" i="1" s="1"/>
  <c r="H815" i="1"/>
  <c r="I815" i="1" s="1"/>
  <c r="J815" i="1" s="1"/>
  <c r="H816" i="1"/>
  <c r="I816" i="1" s="1"/>
  <c r="J816" i="1" s="1"/>
  <c r="H817" i="1"/>
  <c r="I817" i="1" s="1"/>
  <c r="J817" i="1" s="1"/>
  <c r="H818" i="1"/>
  <c r="I818" i="1" s="1"/>
  <c r="J818" i="1" s="1"/>
  <c r="H819" i="1"/>
  <c r="I819" i="1" s="1"/>
  <c r="J819" i="1" s="1"/>
  <c r="H820" i="1"/>
  <c r="I820" i="1" s="1"/>
  <c r="J820" i="1" s="1"/>
  <c r="H821" i="1"/>
  <c r="I821" i="1" s="1"/>
  <c r="J821" i="1" s="1"/>
  <c r="H822" i="1"/>
  <c r="I822" i="1" s="1"/>
  <c r="J822" i="1" s="1"/>
  <c r="H823" i="1"/>
  <c r="I823" i="1" s="1"/>
  <c r="J823" i="1" s="1"/>
  <c r="H824" i="1"/>
  <c r="I824" i="1" s="1"/>
  <c r="J824" i="1" s="1"/>
  <c r="H825" i="1"/>
  <c r="I825" i="1" s="1"/>
  <c r="J825" i="1" s="1"/>
  <c r="H826" i="1"/>
  <c r="I826" i="1" s="1"/>
  <c r="J826" i="1" s="1"/>
  <c r="H827" i="1"/>
  <c r="I827" i="1" s="1"/>
  <c r="J827" i="1" s="1"/>
  <c r="H828" i="1"/>
  <c r="I828" i="1" s="1"/>
  <c r="J828" i="1" s="1"/>
  <c r="H829" i="1"/>
  <c r="I829" i="1" s="1"/>
  <c r="J829" i="1" s="1"/>
  <c r="H830" i="1"/>
  <c r="I830" i="1" s="1"/>
  <c r="J830" i="1" s="1"/>
  <c r="H831" i="1"/>
  <c r="I831" i="1" s="1"/>
  <c r="J831" i="1" s="1"/>
  <c r="H832" i="1"/>
  <c r="I832" i="1" s="1"/>
  <c r="J832" i="1" s="1"/>
  <c r="H833" i="1"/>
  <c r="I833" i="1" s="1"/>
  <c r="J833" i="1" s="1"/>
  <c r="H834" i="1"/>
  <c r="I834" i="1" s="1"/>
  <c r="J834" i="1" s="1"/>
  <c r="H835" i="1"/>
  <c r="I835" i="1" s="1"/>
  <c r="J835" i="1" s="1"/>
  <c r="H836" i="1"/>
  <c r="I836" i="1" s="1"/>
  <c r="J836" i="1" s="1"/>
  <c r="H837" i="1"/>
  <c r="I837" i="1" s="1"/>
  <c r="J837" i="1" s="1"/>
  <c r="H838" i="1"/>
  <c r="I838" i="1" s="1"/>
  <c r="J838" i="1" s="1"/>
  <c r="H839" i="1"/>
  <c r="I839" i="1" s="1"/>
  <c r="J839" i="1" s="1"/>
  <c r="H840" i="1"/>
  <c r="I840" i="1" s="1"/>
  <c r="J840" i="1" s="1"/>
  <c r="H841" i="1"/>
  <c r="I841" i="1" s="1"/>
  <c r="J841" i="1" s="1"/>
  <c r="H842" i="1"/>
  <c r="I842" i="1" s="1"/>
  <c r="J842" i="1" s="1"/>
  <c r="H843" i="1"/>
  <c r="I843" i="1" s="1"/>
  <c r="J843" i="1" s="1"/>
  <c r="H844" i="1"/>
  <c r="I844" i="1" s="1"/>
  <c r="J844" i="1" s="1"/>
  <c r="H845" i="1"/>
  <c r="I845" i="1" s="1"/>
  <c r="J845" i="1" s="1"/>
  <c r="H846" i="1"/>
  <c r="I846" i="1" s="1"/>
  <c r="J846" i="1" s="1"/>
  <c r="H847" i="1"/>
  <c r="I847" i="1" s="1"/>
  <c r="J847" i="1" s="1"/>
  <c r="H848" i="1"/>
  <c r="I848" i="1" s="1"/>
  <c r="J848" i="1" s="1"/>
  <c r="H849" i="1"/>
  <c r="I849" i="1" s="1"/>
  <c r="J849" i="1" s="1"/>
  <c r="H850" i="1"/>
  <c r="I850" i="1" s="1"/>
  <c r="J850" i="1" s="1"/>
  <c r="H851" i="1"/>
  <c r="I851" i="1" s="1"/>
  <c r="J851" i="1" s="1"/>
  <c r="H852" i="1"/>
  <c r="I852" i="1" s="1"/>
  <c r="J852" i="1" s="1"/>
  <c r="H853" i="1"/>
  <c r="I853" i="1" s="1"/>
  <c r="J853" i="1" s="1"/>
  <c r="H854" i="1"/>
  <c r="I854" i="1" s="1"/>
  <c r="J854" i="1" s="1"/>
  <c r="H855" i="1"/>
  <c r="I855" i="1" s="1"/>
  <c r="J855" i="1" s="1"/>
  <c r="H856" i="1"/>
  <c r="I856" i="1" s="1"/>
  <c r="J856" i="1" s="1"/>
  <c r="H857" i="1"/>
  <c r="I857" i="1" s="1"/>
  <c r="J857" i="1" s="1"/>
  <c r="H858" i="1"/>
  <c r="I858" i="1" s="1"/>
  <c r="J858" i="1" s="1"/>
  <c r="H859" i="1"/>
  <c r="I859" i="1" s="1"/>
  <c r="J859" i="1" s="1"/>
  <c r="H860" i="1"/>
  <c r="I860" i="1" s="1"/>
  <c r="J860" i="1" s="1"/>
  <c r="H861" i="1"/>
  <c r="I861" i="1" s="1"/>
  <c r="J861" i="1" s="1"/>
  <c r="H862" i="1"/>
  <c r="I862" i="1" s="1"/>
  <c r="J862" i="1" s="1"/>
  <c r="H863" i="1"/>
  <c r="I863" i="1" s="1"/>
  <c r="J863" i="1" s="1"/>
  <c r="H864" i="1"/>
  <c r="I864" i="1" s="1"/>
  <c r="J864" i="1" s="1"/>
  <c r="H865" i="1"/>
  <c r="I865" i="1" s="1"/>
  <c r="J865" i="1" s="1"/>
  <c r="H866" i="1"/>
  <c r="I866" i="1" s="1"/>
  <c r="J866" i="1" s="1"/>
  <c r="H867" i="1"/>
  <c r="I867" i="1" s="1"/>
  <c r="J867" i="1" s="1"/>
  <c r="H868" i="1"/>
  <c r="I868" i="1" s="1"/>
  <c r="J868" i="1" s="1"/>
  <c r="H869" i="1"/>
  <c r="I869" i="1" s="1"/>
  <c r="J869" i="1" s="1"/>
  <c r="H870" i="1"/>
  <c r="I870" i="1" s="1"/>
  <c r="J870" i="1" s="1"/>
  <c r="H871" i="1"/>
  <c r="I871" i="1" s="1"/>
  <c r="J871" i="1" s="1"/>
  <c r="H872" i="1"/>
  <c r="I872" i="1" s="1"/>
  <c r="J872" i="1" s="1"/>
  <c r="H873" i="1"/>
  <c r="I873" i="1" s="1"/>
  <c r="J873" i="1" s="1"/>
  <c r="H874" i="1"/>
  <c r="I874" i="1" s="1"/>
  <c r="J874" i="1" s="1"/>
  <c r="H875" i="1"/>
  <c r="I875" i="1" s="1"/>
  <c r="J875" i="1" s="1"/>
  <c r="H876" i="1"/>
  <c r="I876" i="1" s="1"/>
  <c r="J876" i="1" s="1"/>
  <c r="H877" i="1"/>
  <c r="I877" i="1" s="1"/>
  <c r="J877" i="1" s="1"/>
  <c r="H878" i="1"/>
  <c r="I878" i="1" s="1"/>
  <c r="J878" i="1" s="1"/>
  <c r="H879" i="1"/>
  <c r="I879" i="1" s="1"/>
  <c r="J879" i="1" s="1"/>
  <c r="H880" i="1"/>
  <c r="I880" i="1" s="1"/>
  <c r="J880" i="1" s="1"/>
  <c r="H881" i="1"/>
  <c r="I881" i="1" s="1"/>
  <c r="J881" i="1" s="1"/>
  <c r="H882" i="1"/>
  <c r="I882" i="1" s="1"/>
  <c r="J882" i="1" s="1"/>
  <c r="H883" i="1"/>
  <c r="I883" i="1" s="1"/>
  <c r="J883" i="1" s="1"/>
  <c r="H884" i="1"/>
  <c r="I884" i="1" s="1"/>
  <c r="J884" i="1" s="1"/>
  <c r="H885" i="1"/>
  <c r="I885" i="1" s="1"/>
  <c r="J885" i="1" s="1"/>
  <c r="H886" i="1"/>
  <c r="I886" i="1" s="1"/>
  <c r="J886" i="1" s="1"/>
  <c r="H887" i="1"/>
  <c r="I887" i="1" s="1"/>
  <c r="J887" i="1" s="1"/>
  <c r="H888" i="1"/>
  <c r="I888" i="1" s="1"/>
  <c r="J888" i="1" s="1"/>
  <c r="H889" i="1"/>
  <c r="I889" i="1" s="1"/>
  <c r="J889" i="1" s="1"/>
  <c r="H890" i="1"/>
  <c r="I890" i="1" s="1"/>
  <c r="J890" i="1" s="1"/>
  <c r="H891" i="1"/>
  <c r="I891" i="1" s="1"/>
  <c r="J891" i="1" s="1"/>
  <c r="H892" i="1"/>
  <c r="I892" i="1" s="1"/>
  <c r="J892" i="1" s="1"/>
  <c r="H893" i="1"/>
  <c r="I893" i="1" s="1"/>
  <c r="J893" i="1" s="1"/>
  <c r="H894" i="1"/>
  <c r="I894" i="1" s="1"/>
  <c r="J894" i="1" s="1"/>
  <c r="H895" i="1"/>
  <c r="I895" i="1" s="1"/>
  <c r="J895" i="1" s="1"/>
  <c r="H896" i="1"/>
  <c r="I896" i="1" s="1"/>
  <c r="J896" i="1" s="1"/>
  <c r="H897" i="1"/>
  <c r="I897" i="1" s="1"/>
  <c r="J897" i="1" s="1"/>
  <c r="H898" i="1"/>
  <c r="I898" i="1" s="1"/>
  <c r="J898" i="1" s="1"/>
  <c r="H899" i="1"/>
  <c r="I899" i="1" s="1"/>
  <c r="J899" i="1" s="1"/>
  <c r="H900" i="1"/>
  <c r="I900" i="1" s="1"/>
  <c r="J900" i="1" s="1"/>
  <c r="H901" i="1"/>
  <c r="I901" i="1" s="1"/>
  <c r="J901" i="1" s="1"/>
  <c r="H902" i="1"/>
  <c r="I902" i="1" s="1"/>
  <c r="J902" i="1" s="1"/>
  <c r="H903" i="1"/>
  <c r="I903" i="1" s="1"/>
  <c r="J903" i="1" s="1"/>
  <c r="H904" i="1"/>
  <c r="I904" i="1" s="1"/>
  <c r="J904" i="1" s="1"/>
  <c r="H905" i="1"/>
  <c r="I905" i="1" s="1"/>
  <c r="J905" i="1" s="1"/>
  <c r="H906" i="1"/>
  <c r="I906" i="1" s="1"/>
  <c r="J906" i="1" s="1"/>
  <c r="H907" i="1"/>
  <c r="I907" i="1" s="1"/>
  <c r="J907" i="1" s="1"/>
  <c r="H908" i="1"/>
  <c r="I908" i="1" s="1"/>
  <c r="J908" i="1" s="1"/>
  <c r="H909" i="1"/>
  <c r="I909" i="1" s="1"/>
  <c r="J909" i="1" s="1"/>
  <c r="H910" i="1"/>
  <c r="I910" i="1" s="1"/>
  <c r="J910" i="1" s="1"/>
  <c r="H911" i="1"/>
  <c r="I911" i="1" s="1"/>
  <c r="J911" i="1" s="1"/>
  <c r="H912" i="1"/>
  <c r="I912" i="1" s="1"/>
  <c r="J912" i="1" s="1"/>
  <c r="H913" i="1"/>
  <c r="I913" i="1" s="1"/>
  <c r="J913" i="1" s="1"/>
  <c r="H914" i="1"/>
  <c r="I914" i="1" s="1"/>
  <c r="J914" i="1" s="1"/>
  <c r="H915" i="1"/>
  <c r="I915" i="1" s="1"/>
  <c r="J915" i="1" s="1"/>
  <c r="H916" i="1"/>
  <c r="I916" i="1" s="1"/>
  <c r="J916" i="1" s="1"/>
  <c r="H917" i="1"/>
  <c r="I917" i="1" s="1"/>
  <c r="J917" i="1" s="1"/>
  <c r="H918" i="1"/>
  <c r="I918" i="1" s="1"/>
  <c r="J918" i="1" s="1"/>
  <c r="H919" i="1"/>
  <c r="I919" i="1" s="1"/>
  <c r="J919" i="1" s="1"/>
  <c r="H920" i="1"/>
  <c r="I920" i="1" s="1"/>
  <c r="J920" i="1" s="1"/>
  <c r="H921" i="1"/>
  <c r="I921" i="1" s="1"/>
  <c r="J921" i="1" s="1"/>
  <c r="H922" i="1"/>
  <c r="I922" i="1" s="1"/>
  <c r="J922" i="1" s="1"/>
  <c r="H923" i="1"/>
  <c r="I923" i="1" s="1"/>
  <c r="J923" i="1" s="1"/>
  <c r="H924" i="1"/>
  <c r="I924" i="1" s="1"/>
  <c r="J924" i="1" s="1"/>
  <c r="H925" i="1"/>
  <c r="I925" i="1" s="1"/>
  <c r="J925" i="1" s="1"/>
  <c r="H926" i="1"/>
  <c r="I926" i="1" s="1"/>
  <c r="J926" i="1" s="1"/>
  <c r="H927" i="1"/>
  <c r="I927" i="1" s="1"/>
  <c r="J927" i="1" s="1"/>
  <c r="H928" i="1"/>
  <c r="I928" i="1" s="1"/>
  <c r="J928" i="1" s="1"/>
  <c r="H929" i="1"/>
  <c r="I929" i="1" s="1"/>
  <c r="J929" i="1" s="1"/>
  <c r="H930" i="1"/>
  <c r="I930" i="1" s="1"/>
  <c r="J930" i="1" s="1"/>
  <c r="H931" i="1"/>
  <c r="I931" i="1" s="1"/>
  <c r="J931" i="1" s="1"/>
  <c r="H932" i="1"/>
  <c r="I932" i="1" s="1"/>
  <c r="J932" i="1" s="1"/>
  <c r="H933" i="1"/>
  <c r="I933" i="1" s="1"/>
  <c r="J933" i="1" s="1"/>
  <c r="H934" i="1"/>
  <c r="I934" i="1" s="1"/>
  <c r="J934" i="1" s="1"/>
  <c r="H935" i="1"/>
  <c r="I935" i="1" s="1"/>
  <c r="J935" i="1" s="1"/>
  <c r="H936" i="1"/>
  <c r="I936" i="1" s="1"/>
  <c r="J936" i="1" s="1"/>
  <c r="H937" i="1"/>
  <c r="I937" i="1" s="1"/>
  <c r="J937" i="1" s="1"/>
  <c r="H938" i="1"/>
  <c r="I938" i="1" s="1"/>
  <c r="J938" i="1" s="1"/>
  <c r="H939" i="1"/>
  <c r="I939" i="1" s="1"/>
  <c r="J939" i="1" s="1"/>
  <c r="H940" i="1"/>
  <c r="I940" i="1" s="1"/>
  <c r="J940" i="1" s="1"/>
  <c r="H941" i="1"/>
  <c r="I941" i="1" s="1"/>
  <c r="J941" i="1" s="1"/>
  <c r="H942" i="1"/>
  <c r="I942" i="1" s="1"/>
  <c r="J942" i="1" s="1"/>
  <c r="H943" i="1"/>
  <c r="I943" i="1" s="1"/>
  <c r="J943" i="1" s="1"/>
  <c r="H944" i="1"/>
  <c r="I944" i="1" s="1"/>
  <c r="J944" i="1" s="1"/>
  <c r="H945" i="1"/>
  <c r="I945" i="1" s="1"/>
  <c r="J945" i="1" s="1"/>
  <c r="H946" i="1"/>
  <c r="I946" i="1" s="1"/>
  <c r="J946" i="1" s="1"/>
  <c r="H947" i="1"/>
  <c r="I947" i="1" s="1"/>
  <c r="J947" i="1" s="1"/>
  <c r="H948" i="1"/>
  <c r="I948" i="1" s="1"/>
  <c r="J948" i="1" s="1"/>
  <c r="H949" i="1"/>
  <c r="I949" i="1" s="1"/>
  <c r="J949" i="1" s="1"/>
  <c r="H950" i="1"/>
  <c r="I950" i="1" s="1"/>
  <c r="J950" i="1" s="1"/>
  <c r="H951" i="1"/>
  <c r="I951" i="1" s="1"/>
  <c r="J951" i="1" s="1"/>
  <c r="H952" i="1"/>
  <c r="I952" i="1" s="1"/>
  <c r="J952" i="1" s="1"/>
  <c r="H953" i="1"/>
  <c r="I953" i="1" s="1"/>
  <c r="J953" i="1" s="1"/>
  <c r="H954" i="1"/>
  <c r="I954" i="1" s="1"/>
  <c r="J954" i="1" s="1"/>
  <c r="H955" i="1"/>
  <c r="I955" i="1" s="1"/>
  <c r="J955" i="1" s="1"/>
  <c r="H956" i="1"/>
  <c r="I956" i="1" s="1"/>
  <c r="J956" i="1" s="1"/>
  <c r="H957" i="1"/>
  <c r="I957" i="1" s="1"/>
  <c r="J957" i="1" s="1"/>
  <c r="H958" i="1"/>
  <c r="I958" i="1" s="1"/>
  <c r="J958" i="1" s="1"/>
  <c r="H959" i="1"/>
  <c r="I959" i="1" s="1"/>
  <c r="J959" i="1" s="1"/>
  <c r="H960" i="1"/>
  <c r="I960" i="1" s="1"/>
  <c r="J960" i="1" s="1"/>
  <c r="H961" i="1"/>
  <c r="I961" i="1" s="1"/>
  <c r="J961" i="1" s="1"/>
  <c r="H962" i="1"/>
  <c r="I962" i="1" s="1"/>
  <c r="J962" i="1" s="1"/>
  <c r="H963" i="1"/>
  <c r="I963" i="1" s="1"/>
  <c r="J963" i="1" s="1"/>
  <c r="H964" i="1"/>
  <c r="I964" i="1" s="1"/>
  <c r="J964" i="1" s="1"/>
  <c r="H965" i="1"/>
  <c r="I965" i="1" s="1"/>
  <c r="J965" i="1" s="1"/>
  <c r="H966" i="1"/>
  <c r="I966" i="1" s="1"/>
  <c r="J966" i="1" s="1"/>
  <c r="H967" i="1"/>
  <c r="I967" i="1" s="1"/>
  <c r="J967" i="1" s="1"/>
  <c r="H968" i="1"/>
  <c r="I968" i="1" s="1"/>
  <c r="J968" i="1" s="1"/>
  <c r="H969" i="1"/>
  <c r="I969" i="1" s="1"/>
  <c r="J969" i="1" s="1"/>
  <c r="H970" i="1"/>
  <c r="I970" i="1" s="1"/>
  <c r="J970" i="1" s="1"/>
  <c r="H971" i="1"/>
  <c r="I971" i="1" s="1"/>
  <c r="J971" i="1" s="1"/>
  <c r="H972" i="1"/>
  <c r="I972" i="1" s="1"/>
  <c r="J972" i="1" s="1"/>
  <c r="H973" i="1"/>
  <c r="I973" i="1" s="1"/>
  <c r="J973" i="1" s="1"/>
  <c r="H974" i="1"/>
  <c r="I974" i="1" s="1"/>
  <c r="J974" i="1" s="1"/>
  <c r="H975" i="1"/>
  <c r="I975" i="1" s="1"/>
  <c r="J975" i="1" s="1"/>
  <c r="H976" i="1"/>
  <c r="I976" i="1" s="1"/>
  <c r="J976" i="1" s="1"/>
  <c r="H977" i="1"/>
  <c r="I977" i="1" s="1"/>
  <c r="J977" i="1" s="1"/>
  <c r="H978" i="1"/>
  <c r="I978" i="1" s="1"/>
  <c r="J978" i="1" s="1"/>
  <c r="H979" i="1"/>
  <c r="I979" i="1" s="1"/>
  <c r="J979" i="1" s="1"/>
  <c r="H980" i="1"/>
  <c r="I980" i="1" s="1"/>
  <c r="J980" i="1" s="1"/>
  <c r="H981" i="1"/>
  <c r="I981" i="1" s="1"/>
  <c r="J981" i="1" s="1"/>
  <c r="H982" i="1"/>
  <c r="I982" i="1" s="1"/>
  <c r="J982" i="1" s="1"/>
  <c r="H983" i="1"/>
  <c r="I983" i="1" s="1"/>
  <c r="J983" i="1" s="1"/>
  <c r="H984" i="1"/>
  <c r="I984" i="1" s="1"/>
  <c r="J984" i="1" s="1"/>
  <c r="H985" i="1"/>
  <c r="I985" i="1" s="1"/>
  <c r="J985" i="1" s="1"/>
  <c r="H986" i="1"/>
  <c r="I986" i="1" s="1"/>
  <c r="J986" i="1" s="1"/>
  <c r="H987" i="1"/>
  <c r="I987" i="1" s="1"/>
  <c r="J987" i="1" s="1"/>
  <c r="H988" i="1"/>
  <c r="I988" i="1" s="1"/>
  <c r="J988" i="1" s="1"/>
  <c r="H989" i="1"/>
  <c r="I989" i="1" s="1"/>
  <c r="J989" i="1" s="1"/>
  <c r="H990" i="1"/>
  <c r="I990" i="1" s="1"/>
  <c r="J990" i="1" s="1"/>
  <c r="H991" i="1"/>
  <c r="I991" i="1" s="1"/>
  <c r="J991" i="1" s="1"/>
  <c r="H992" i="1"/>
  <c r="I992" i="1" s="1"/>
  <c r="J992" i="1" s="1"/>
  <c r="H993" i="1"/>
  <c r="I993" i="1" s="1"/>
  <c r="J993" i="1" s="1"/>
  <c r="H994" i="1"/>
  <c r="I994" i="1" s="1"/>
  <c r="J994" i="1" s="1"/>
  <c r="H995" i="1"/>
  <c r="I995" i="1" s="1"/>
  <c r="J995" i="1" s="1"/>
  <c r="H996" i="1"/>
  <c r="I996" i="1" s="1"/>
  <c r="J996" i="1" s="1"/>
  <c r="H997" i="1"/>
  <c r="I997" i="1" s="1"/>
  <c r="J997" i="1" s="1"/>
  <c r="H998" i="1"/>
  <c r="I998" i="1" s="1"/>
  <c r="J998" i="1" s="1"/>
  <c r="H999" i="1"/>
  <c r="I999" i="1" s="1"/>
  <c r="J999" i="1" s="1"/>
  <c r="H1000" i="1"/>
  <c r="I1000" i="1" s="1"/>
  <c r="J1000" i="1" s="1"/>
  <c r="H1001" i="1"/>
  <c r="I1001" i="1" s="1"/>
  <c r="J1001" i="1" s="1"/>
  <c r="H1002" i="1"/>
  <c r="I1002" i="1" s="1"/>
  <c r="J1002" i="1" s="1"/>
  <c r="H1003" i="1"/>
  <c r="I1003" i="1" s="1"/>
  <c r="J1003" i="1" s="1"/>
  <c r="H1004" i="1"/>
  <c r="I1004" i="1" s="1"/>
  <c r="J1004" i="1" s="1"/>
  <c r="H1005" i="1"/>
  <c r="I1005" i="1" s="1"/>
  <c r="J1005" i="1" s="1"/>
  <c r="H1006" i="1"/>
  <c r="I1006" i="1" s="1"/>
  <c r="J1006" i="1" s="1"/>
  <c r="H1007" i="1"/>
  <c r="I1007" i="1" s="1"/>
  <c r="J1007" i="1" s="1"/>
  <c r="H1008" i="1"/>
  <c r="I1008" i="1" s="1"/>
  <c r="J1008" i="1" s="1"/>
  <c r="H1009" i="1"/>
  <c r="I1009" i="1" s="1"/>
  <c r="J1009" i="1" s="1"/>
  <c r="H1010" i="1"/>
  <c r="I1010" i="1" s="1"/>
  <c r="J1010" i="1" s="1"/>
  <c r="H1011" i="1"/>
  <c r="I1011" i="1" s="1"/>
  <c r="J1011" i="1" s="1"/>
  <c r="H1012" i="1"/>
  <c r="I1012" i="1" s="1"/>
  <c r="J1012" i="1" s="1"/>
  <c r="H1013" i="1"/>
  <c r="I1013" i="1" s="1"/>
  <c r="J1013" i="1" s="1"/>
  <c r="H1014" i="1"/>
  <c r="I1014" i="1" s="1"/>
  <c r="J1014" i="1" s="1"/>
  <c r="H1015" i="1"/>
  <c r="I1015" i="1" s="1"/>
  <c r="J1015" i="1" s="1"/>
  <c r="H1016" i="1"/>
  <c r="I1016" i="1" s="1"/>
  <c r="J1016" i="1" s="1"/>
  <c r="H1017" i="1"/>
  <c r="I1017" i="1" s="1"/>
  <c r="J1017" i="1" s="1"/>
  <c r="H1018" i="1"/>
  <c r="I1018" i="1" s="1"/>
  <c r="J1018" i="1" s="1"/>
  <c r="H1019" i="1"/>
  <c r="I1019" i="1" s="1"/>
  <c r="J1019" i="1" s="1"/>
  <c r="H1020" i="1"/>
  <c r="I1020" i="1" s="1"/>
  <c r="J1020" i="1" s="1"/>
  <c r="H1021" i="1"/>
  <c r="I1021" i="1" s="1"/>
  <c r="J1021" i="1" s="1"/>
  <c r="H1022" i="1"/>
  <c r="I1022" i="1" s="1"/>
  <c r="J1022" i="1" s="1"/>
  <c r="H1023" i="1"/>
  <c r="I1023" i="1" s="1"/>
  <c r="J1023" i="1" s="1"/>
  <c r="H1024" i="1"/>
  <c r="I1024" i="1" s="1"/>
  <c r="J1024" i="1" s="1"/>
  <c r="H1025" i="1"/>
  <c r="I1025" i="1" s="1"/>
  <c r="J1025" i="1" s="1"/>
  <c r="H1026" i="1"/>
  <c r="I1026" i="1" s="1"/>
  <c r="J1026" i="1" s="1"/>
  <c r="H1027" i="1"/>
  <c r="I1027" i="1" s="1"/>
  <c r="J1027" i="1" s="1"/>
  <c r="H1028" i="1"/>
  <c r="I1028" i="1" s="1"/>
  <c r="J1028" i="1" s="1"/>
  <c r="H1029" i="1"/>
  <c r="I1029" i="1" s="1"/>
  <c r="J1029" i="1" s="1"/>
  <c r="H1030" i="1"/>
  <c r="I1030" i="1" s="1"/>
  <c r="J1030" i="1" s="1"/>
  <c r="H1031" i="1"/>
  <c r="I1031" i="1" s="1"/>
  <c r="J1031" i="1" s="1"/>
  <c r="H1032" i="1"/>
  <c r="I1032" i="1" s="1"/>
  <c r="J1032" i="1" s="1"/>
  <c r="H1033" i="1"/>
  <c r="I1033" i="1" s="1"/>
  <c r="J1033" i="1" s="1"/>
  <c r="H1034" i="1"/>
  <c r="I1034" i="1" s="1"/>
  <c r="J1034" i="1" s="1"/>
  <c r="H1035" i="1"/>
  <c r="I1035" i="1" s="1"/>
  <c r="J1035" i="1" s="1"/>
  <c r="H1036" i="1"/>
  <c r="I1036" i="1" s="1"/>
  <c r="J1036" i="1" s="1"/>
  <c r="H1037" i="1"/>
  <c r="I1037" i="1" s="1"/>
  <c r="J1037" i="1" s="1"/>
  <c r="H1038" i="1"/>
  <c r="I1038" i="1" s="1"/>
  <c r="J1038" i="1" s="1"/>
  <c r="H1039" i="1"/>
  <c r="I1039" i="1" s="1"/>
  <c r="J1039" i="1" s="1"/>
  <c r="H1040" i="1"/>
  <c r="I1040" i="1" s="1"/>
  <c r="J1040" i="1" s="1"/>
  <c r="H1041" i="1"/>
  <c r="I1041" i="1" s="1"/>
  <c r="J1041" i="1" s="1"/>
  <c r="H1042" i="1"/>
  <c r="I1042" i="1" s="1"/>
  <c r="J1042" i="1" s="1"/>
  <c r="H1043" i="1"/>
  <c r="I1043" i="1" s="1"/>
  <c r="J1043" i="1" s="1"/>
  <c r="H1044" i="1"/>
  <c r="I1044" i="1" s="1"/>
  <c r="J1044" i="1" s="1"/>
  <c r="H1045" i="1"/>
  <c r="I1045" i="1" s="1"/>
  <c r="J1045" i="1" s="1"/>
  <c r="H1046" i="1"/>
  <c r="I1046" i="1" s="1"/>
  <c r="J1046" i="1" s="1"/>
  <c r="H1047" i="1"/>
  <c r="I1047" i="1" s="1"/>
  <c r="J1047" i="1" s="1"/>
  <c r="H1048" i="1"/>
  <c r="I1048" i="1" s="1"/>
  <c r="J1048" i="1" s="1"/>
  <c r="H1049" i="1"/>
  <c r="I1049" i="1" s="1"/>
  <c r="J1049" i="1" s="1"/>
  <c r="H1050" i="1"/>
  <c r="I1050" i="1" s="1"/>
  <c r="J1050" i="1" s="1"/>
  <c r="H1051" i="1"/>
  <c r="I1051" i="1" s="1"/>
  <c r="J1051" i="1" s="1"/>
  <c r="H1052" i="1"/>
  <c r="I1052" i="1" s="1"/>
  <c r="J1052" i="1" s="1"/>
  <c r="H1053" i="1"/>
  <c r="I1053" i="1" s="1"/>
  <c r="J1053" i="1" s="1"/>
  <c r="H1054" i="1"/>
  <c r="I1054" i="1" s="1"/>
  <c r="J1054" i="1" s="1"/>
  <c r="H1055" i="1"/>
  <c r="I1055" i="1" s="1"/>
  <c r="J1055" i="1" s="1"/>
  <c r="H1056" i="1"/>
  <c r="I1056" i="1" s="1"/>
  <c r="J1056" i="1" s="1"/>
  <c r="H1057" i="1"/>
  <c r="I1057" i="1" s="1"/>
  <c r="J1057" i="1" s="1"/>
  <c r="H1058" i="1"/>
  <c r="I1058" i="1" s="1"/>
  <c r="J1058" i="1" s="1"/>
  <c r="H1059" i="1"/>
  <c r="I1059" i="1" s="1"/>
  <c r="J1059" i="1" s="1"/>
  <c r="H1060" i="1"/>
  <c r="I1060" i="1" s="1"/>
  <c r="J1060" i="1" s="1"/>
  <c r="H1061" i="1"/>
  <c r="I1061" i="1" s="1"/>
  <c r="J1061" i="1" s="1"/>
  <c r="H1062" i="1"/>
  <c r="I1062" i="1" s="1"/>
  <c r="J1062" i="1" s="1"/>
  <c r="H1063" i="1"/>
  <c r="I1063" i="1" s="1"/>
  <c r="J1063" i="1" s="1"/>
  <c r="H1064" i="1"/>
  <c r="I1064" i="1" s="1"/>
  <c r="J1064" i="1" s="1"/>
  <c r="H1065" i="1"/>
  <c r="I1065" i="1" s="1"/>
  <c r="J1065" i="1" s="1"/>
  <c r="H1066" i="1"/>
  <c r="I1066" i="1" s="1"/>
  <c r="J1066" i="1" s="1"/>
  <c r="H1067" i="1"/>
  <c r="I1067" i="1" s="1"/>
  <c r="J1067" i="1" s="1"/>
  <c r="H1068" i="1"/>
  <c r="I1068" i="1" s="1"/>
  <c r="J1068" i="1" s="1"/>
  <c r="H1069" i="1"/>
  <c r="I1069" i="1" s="1"/>
  <c r="J1069" i="1" s="1"/>
  <c r="H1070" i="1"/>
  <c r="I1070" i="1" s="1"/>
  <c r="J1070" i="1" s="1"/>
  <c r="H1071" i="1"/>
  <c r="I1071" i="1" s="1"/>
  <c r="J1071" i="1" s="1"/>
  <c r="H1072" i="1"/>
  <c r="I1072" i="1" s="1"/>
  <c r="J1072" i="1" s="1"/>
  <c r="H1073" i="1"/>
  <c r="I1073" i="1" s="1"/>
  <c r="J1073" i="1" s="1"/>
  <c r="H1074" i="1"/>
  <c r="I1074" i="1" s="1"/>
  <c r="J1074" i="1" s="1"/>
  <c r="H1075" i="1"/>
  <c r="I1075" i="1" s="1"/>
  <c r="J1075" i="1" s="1"/>
  <c r="H1076" i="1"/>
  <c r="I1076" i="1" s="1"/>
  <c r="J1076" i="1" s="1"/>
  <c r="H1077" i="1"/>
  <c r="I1077" i="1" s="1"/>
  <c r="J1077" i="1" s="1"/>
  <c r="H1078" i="1"/>
  <c r="I1078" i="1" s="1"/>
  <c r="J1078" i="1" s="1"/>
  <c r="H1079" i="1"/>
  <c r="I1079" i="1" s="1"/>
  <c r="J1079" i="1" s="1"/>
  <c r="H1080" i="1"/>
  <c r="I1080" i="1" s="1"/>
  <c r="J1080" i="1" s="1"/>
  <c r="H1081" i="1"/>
  <c r="I1081" i="1" s="1"/>
  <c r="J1081" i="1" s="1"/>
  <c r="H1082" i="1"/>
  <c r="I1082" i="1" s="1"/>
  <c r="J1082" i="1" s="1"/>
  <c r="H1083" i="1"/>
  <c r="I1083" i="1" s="1"/>
  <c r="J1083" i="1" s="1"/>
  <c r="H1084" i="1"/>
  <c r="I1084" i="1" s="1"/>
  <c r="J1084" i="1" s="1"/>
  <c r="H1085" i="1"/>
  <c r="I1085" i="1" s="1"/>
  <c r="J1085" i="1" s="1"/>
  <c r="H1086" i="1"/>
  <c r="I1086" i="1" s="1"/>
  <c r="J1086" i="1" s="1"/>
  <c r="H1087" i="1"/>
  <c r="I1087" i="1" s="1"/>
  <c r="J1087" i="1" s="1"/>
  <c r="H1088" i="1"/>
  <c r="I1088" i="1" s="1"/>
  <c r="J1088" i="1" s="1"/>
  <c r="H1089" i="1"/>
  <c r="I1089" i="1" s="1"/>
  <c r="J1089" i="1" s="1"/>
  <c r="H1090" i="1"/>
  <c r="I1090" i="1" s="1"/>
  <c r="J1090" i="1" s="1"/>
  <c r="H1091" i="1"/>
  <c r="I1091" i="1" s="1"/>
  <c r="J1091" i="1" s="1"/>
  <c r="H1092" i="1"/>
  <c r="I1092" i="1" s="1"/>
  <c r="J1092" i="1" s="1"/>
  <c r="H1093" i="1"/>
  <c r="I1093" i="1" s="1"/>
  <c r="J1093" i="1" s="1"/>
  <c r="H1094" i="1"/>
  <c r="I1094" i="1" s="1"/>
  <c r="J1094" i="1" s="1"/>
  <c r="H1095" i="1"/>
  <c r="I1095" i="1" s="1"/>
  <c r="J1095" i="1" s="1"/>
  <c r="H1096" i="1"/>
  <c r="I1096" i="1" s="1"/>
  <c r="J1096" i="1" s="1"/>
  <c r="H1097" i="1"/>
  <c r="I1097" i="1" s="1"/>
  <c r="J1097" i="1" s="1"/>
  <c r="H1098" i="1"/>
  <c r="I1098" i="1" s="1"/>
  <c r="J1098" i="1" s="1"/>
  <c r="H1099" i="1"/>
  <c r="I1099" i="1" s="1"/>
  <c r="J1099" i="1" s="1"/>
  <c r="H1100" i="1"/>
  <c r="I1100" i="1" s="1"/>
  <c r="J1100" i="1" s="1"/>
  <c r="H1101" i="1"/>
  <c r="I1101" i="1" s="1"/>
  <c r="J1101" i="1" s="1"/>
  <c r="H1102" i="1"/>
  <c r="I1102" i="1" s="1"/>
  <c r="J1102" i="1" s="1"/>
  <c r="H1103" i="1"/>
  <c r="I1103" i="1" s="1"/>
  <c r="J1103" i="1" s="1"/>
  <c r="H1104" i="1"/>
  <c r="I1104" i="1" s="1"/>
  <c r="J1104" i="1" s="1"/>
  <c r="H1105" i="1"/>
  <c r="I1105" i="1" s="1"/>
  <c r="J1105" i="1" s="1"/>
  <c r="H1106" i="1"/>
  <c r="I1106" i="1" s="1"/>
  <c r="J1106" i="1" s="1"/>
  <c r="H1107" i="1"/>
  <c r="I1107" i="1" s="1"/>
  <c r="J1107" i="1" s="1"/>
  <c r="H1108" i="1"/>
  <c r="I1108" i="1" s="1"/>
  <c r="J1108" i="1" s="1"/>
  <c r="H1109" i="1"/>
  <c r="I1109" i="1" s="1"/>
  <c r="J1109" i="1" s="1"/>
  <c r="H1110" i="1"/>
  <c r="I1110" i="1" s="1"/>
  <c r="J1110" i="1" s="1"/>
  <c r="H1111" i="1"/>
  <c r="I1111" i="1" s="1"/>
  <c r="J1111" i="1" s="1"/>
  <c r="H1112" i="1"/>
  <c r="I1112" i="1" s="1"/>
  <c r="J1112" i="1" s="1"/>
  <c r="H1113" i="1"/>
  <c r="I1113" i="1" s="1"/>
  <c r="J1113" i="1" s="1"/>
  <c r="H1114" i="1"/>
  <c r="I1114" i="1" s="1"/>
  <c r="J1114" i="1" s="1"/>
  <c r="H1115" i="1"/>
  <c r="I1115" i="1" s="1"/>
  <c r="J1115" i="1" s="1"/>
  <c r="H1116" i="1"/>
  <c r="I1116" i="1" s="1"/>
  <c r="J1116" i="1" s="1"/>
  <c r="H1117" i="1"/>
  <c r="I1117" i="1" s="1"/>
  <c r="J1117" i="1" s="1"/>
  <c r="H1118" i="1"/>
  <c r="I1118" i="1" s="1"/>
  <c r="J1118" i="1" s="1"/>
  <c r="H1119" i="1"/>
  <c r="I1119" i="1" s="1"/>
  <c r="J1119" i="1" s="1"/>
  <c r="H1120" i="1"/>
  <c r="I1120" i="1" s="1"/>
  <c r="J1120" i="1" s="1"/>
  <c r="H1121" i="1"/>
  <c r="I1121" i="1" s="1"/>
  <c r="J1121" i="1" s="1"/>
  <c r="H1122" i="1"/>
  <c r="I1122" i="1" s="1"/>
  <c r="J1122" i="1" s="1"/>
  <c r="H1123" i="1"/>
  <c r="I1123" i="1" s="1"/>
  <c r="J1123" i="1" s="1"/>
  <c r="H1124" i="1"/>
  <c r="I1124" i="1" s="1"/>
  <c r="J1124" i="1" s="1"/>
  <c r="H1125" i="1"/>
  <c r="I1125" i="1" s="1"/>
  <c r="J1125" i="1" s="1"/>
  <c r="H1126" i="1"/>
  <c r="I1126" i="1" s="1"/>
  <c r="J1126" i="1" s="1"/>
  <c r="H1127" i="1"/>
  <c r="I1127" i="1" s="1"/>
  <c r="J1127" i="1" s="1"/>
  <c r="H1128" i="1"/>
  <c r="I1128" i="1" s="1"/>
  <c r="J1128" i="1" s="1"/>
  <c r="H1129" i="1"/>
  <c r="I1129" i="1" s="1"/>
  <c r="J1129" i="1" s="1"/>
  <c r="H1130" i="1"/>
  <c r="I1130" i="1" s="1"/>
  <c r="J1130" i="1" s="1"/>
  <c r="H1131" i="1"/>
  <c r="I1131" i="1" s="1"/>
  <c r="J1131" i="1" s="1"/>
  <c r="H1132" i="1"/>
  <c r="I1132" i="1" s="1"/>
  <c r="J1132" i="1" s="1"/>
  <c r="H1133" i="1"/>
  <c r="I1133" i="1" s="1"/>
  <c r="J1133" i="1" s="1"/>
  <c r="H1134" i="1"/>
  <c r="I1134" i="1" s="1"/>
  <c r="J1134" i="1" s="1"/>
  <c r="H1135" i="1"/>
  <c r="I1135" i="1" s="1"/>
  <c r="J1135" i="1" s="1"/>
  <c r="H1136" i="1"/>
  <c r="I1136" i="1" s="1"/>
  <c r="J1136" i="1" s="1"/>
  <c r="H1137" i="1"/>
  <c r="I1137" i="1" s="1"/>
  <c r="J1137" i="1" s="1"/>
  <c r="H1138" i="1"/>
  <c r="I1138" i="1" s="1"/>
  <c r="J1138" i="1" s="1"/>
  <c r="H1139" i="1"/>
  <c r="I1139" i="1" s="1"/>
  <c r="J1139" i="1" s="1"/>
  <c r="H1140" i="1"/>
  <c r="I1140" i="1" s="1"/>
  <c r="J1140" i="1" s="1"/>
  <c r="H1141" i="1"/>
  <c r="I1141" i="1" s="1"/>
  <c r="J1141" i="1" s="1"/>
  <c r="H1142" i="1"/>
  <c r="I1142" i="1" s="1"/>
  <c r="J1142" i="1" s="1"/>
  <c r="H1143" i="1"/>
  <c r="I1143" i="1" s="1"/>
  <c r="J1143" i="1" s="1"/>
  <c r="H1144" i="1"/>
  <c r="I1144" i="1" s="1"/>
  <c r="J1144" i="1" s="1"/>
  <c r="H1145" i="1"/>
  <c r="I1145" i="1" s="1"/>
  <c r="J1145" i="1" s="1"/>
  <c r="H1146" i="1"/>
  <c r="I1146" i="1" s="1"/>
  <c r="J1146" i="1" s="1"/>
  <c r="H1147" i="1"/>
  <c r="I1147" i="1" s="1"/>
  <c r="J1147" i="1" s="1"/>
  <c r="H1148" i="1"/>
  <c r="I1148" i="1" s="1"/>
  <c r="J1148" i="1" s="1"/>
  <c r="H1149" i="1"/>
  <c r="I1149" i="1" s="1"/>
  <c r="J1149" i="1" s="1"/>
  <c r="H1150" i="1"/>
  <c r="I1150" i="1" s="1"/>
  <c r="J1150" i="1" s="1"/>
  <c r="H1151" i="1"/>
  <c r="I1151" i="1" s="1"/>
  <c r="J1151" i="1" s="1"/>
  <c r="H1152" i="1"/>
  <c r="I1152" i="1" s="1"/>
  <c r="J1152" i="1" s="1"/>
  <c r="H1153" i="1"/>
  <c r="I1153" i="1" s="1"/>
  <c r="J1153" i="1" s="1"/>
  <c r="H1154" i="1"/>
  <c r="I1154" i="1" s="1"/>
  <c r="J1154" i="1" s="1"/>
  <c r="H1155" i="1"/>
  <c r="I1155" i="1" s="1"/>
  <c r="J1155" i="1" s="1"/>
  <c r="H1156" i="1"/>
  <c r="I1156" i="1" s="1"/>
  <c r="J1156" i="1" s="1"/>
  <c r="H1157" i="1"/>
  <c r="I1157" i="1" s="1"/>
  <c r="J1157" i="1" s="1"/>
  <c r="H1158" i="1"/>
  <c r="I1158" i="1" s="1"/>
  <c r="J1158" i="1" s="1"/>
  <c r="H1159" i="1"/>
  <c r="I1159" i="1" s="1"/>
  <c r="J1159" i="1" s="1"/>
  <c r="H1160" i="1"/>
  <c r="I1160" i="1" s="1"/>
  <c r="J1160" i="1" s="1"/>
  <c r="H1161" i="1"/>
  <c r="I1161" i="1" s="1"/>
  <c r="J1161" i="1" s="1"/>
  <c r="H1162" i="1"/>
  <c r="I1162" i="1" s="1"/>
  <c r="J1162" i="1" s="1"/>
  <c r="H1163" i="1"/>
  <c r="I1163" i="1" s="1"/>
  <c r="J1163" i="1" s="1"/>
  <c r="H1164" i="1"/>
  <c r="I1164" i="1" s="1"/>
  <c r="J1164" i="1" s="1"/>
  <c r="H1165" i="1"/>
  <c r="I1165" i="1" s="1"/>
  <c r="J1165" i="1" s="1"/>
  <c r="H1166" i="1"/>
  <c r="I1166" i="1" s="1"/>
  <c r="J1166" i="1" s="1"/>
  <c r="H1167" i="1"/>
  <c r="I1167" i="1" s="1"/>
  <c r="J1167" i="1" s="1"/>
  <c r="H1168" i="1"/>
  <c r="I1168" i="1" s="1"/>
  <c r="J1168" i="1" s="1"/>
  <c r="H1169" i="1"/>
  <c r="I1169" i="1" s="1"/>
  <c r="J1169" i="1" s="1"/>
  <c r="H1170" i="1"/>
  <c r="I1170" i="1" s="1"/>
  <c r="J1170" i="1" s="1"/>
  <c r="H1171" i="1"/>
  <c r="I1171" i="1" s="1"/>
  <c r="J1171" i="1" s="1"/>
  <c r="H1172" i="1"/>
  <c r="I1172" i="1" s="1"/>
  <c r="J1172" i="1" s="1"/>
  <c r="H1173" i="1"/>
  <c r="I1173" i="1" s="1"/>
  <c r="J1173" i="1" s="1"/>
  <c r="H1174" i="1"/>
  <c r="I1174" i="1" s="1"/>
  <c r="J1174" i="1" s="1"/>
  <c r="H1175" i="1"/>
  <c r="I1175" i="1" s="1"/>
  <c r="J1175" i="1" s="1"/>
  <c r="H1176" i="1"/>
  <c r="I1176" i="1" s="1"/>
  <c r="J1176" i="1" s="1"/>
  <c r="H1177" i="1"/>
  <c r="I1177" i="1" s="1"/>
  <c r="J1177" i="1" s="1"/>
  <c r="H1178" i="1"/>
  <c r="I1178" i="1" s="1"/>
  <c r="J1178" i="1" s="1"/>
  <c r="H1179" i="1"/>
  <c r="I1179" i="1" s="1"/>
  <c r="J1179" i="1" s="1"/>
  <c r="H1180" i="1"/>
  <c r="I1180" i="1" s="1"/>
  <c r="J1180" i="1" s="1"/>
  <c r="H1181" i="1"/>
  <c r="I1181" i="1" s="1"/>
  <c r="J1181" i="1" s="1"/>
  <c r="H1182" i="1"/>
  <c r="I1182" i="1" s="1"/>
  <c r="J1182" i="1" s="1"/>
  <c r="H1183" i="1"/>
  <c r="I1183" i="1" s="1"/>
  <c r="J1183" i="1" s="1"/>
  <c r="H1184" i="1"/>
  <c r="I1184" i="1" s="1"/>
  <c r="J1184" i="1" s="1"/>
  <c r="H1185" i="1"/>
  <c r="I1185" i="1" s="1"/>
  <c r="J1185" i="1" s="1"/>
  <c r="H1186" i="1"/>
  <c r="I1186" i="1" s="1"/>
  <c r="J1186" i="1" s="1"/>
  <c r="H1187" i="1"/>
  <c r="I1187" i="1" s="1"/>
  <c r="J1187" i="1" s="1"/>
  <c r="H1188" i="1"/>
  <c r="I1188" i="1" s="1"/>
  <c r="J1188" i="1" s="1"/>
  <c r="H1189" i="1"/>
  <c r="I1189" i="1" s="1"/>
  <c r="J1189" i="1" s="1"/>
  <c r="H1190" i="1"/>
  <c r="I1190" i="1" s="1"/>
  <c r="J1190" i="1" s="1"/>
  <c r="H1191" i="1"/>
  <c r="I1191" i="1" s="1"/>
  <c r="J1191" i="1" s="1"/>
  <c r="H1192" i="1"/>
  <c r="I1192" i="1" s="1"/>
  <c r="J1192" i="1" s="1"/>
  <c r="H1193" i="1"/>
  <c r="I1193" i="1" s="1"/>
  <c r="J1193" i="1" s="1"/>
  <c r="H1194" i="1"/>
  <c r="I1194" i="1" s="1"/>
  <c r="J1194" i="1" s="1"/>
  <c r="H1195" i="1"/>
  <c r="I1195" i="1" s="1"/>
  <c r="J1195" i="1" s="1"/>
  <c r="H1196" i="1"/>
  <c r="I1196" i="1" s="1"/>
  <c r="J1196" i="1" s="1"/>
  <c r="H1197" i="1"/>
  <c r="I1197" i="1" s="1"/>
  <c r="J1197" i="1" s="1"/>
  <c r="H1198" i="1"/>
  <c r="I1198" i="1" s="1"/>
  <c r="J1198" i="1" s="1"/>
  <c r="H1199" i="1"/>
  <c r="I1199" i="1" s="1"/>
  <c r="J1199" i="1" s="1"/>
  <c r="H1200" i="1"/>
  <c r="I1200" i="1" s="1"/>
  <c r="J1200" i="1" s="1"/>
  <c r="H1201" i="1"/>
  <c r="I1201" i="1" s="1"/>
  <c r="J1201" i="1" s="1"/>
</calcChain>
</file>

<file path=xl/sharedStrings.xml><?xml version="1.0" encoding="utf-8"?>
<sst xmlns="http://schemas.openxmlformats.org/spreadsheetml/2006/main" count="465" uniqueCount="68">
  <si>
    <t>OrderID</t>
  </si>
  <si>
    <t>OrderDate</t>
  </si>
  <si>
    <t>ProductID</t>
  </si>
  <si>
    <t>AgentID</t>
  </si>
  <si>
    <t>Quantity</t>
  </si>
  <si>
    <t>UnitPrice</t>
  </si>
  <si>
    <t>ProductName</t>
  </si>
  <si>
    <t>Category</t>
  </si>
  <si>
    <t>Laptop</t>
  </si>
  <si>
    <t>Electronics</t>
  </si>
  <si>
    <t>Phone</t>
  </si>
  <si>
    <t>Tablet</t>
  </si>
  <si>
    <t>Printer</t>
  </si>
  <si>
    <t>Accessories</t>
  </si>
  <si>
    <t>Monitor</t>
  </si>
  <si>
    <t>AgentName</t>
  </si>
  <si>
    <t>Region</t>
  </si>
  <si>
    <t>Akin</t>
  </si>
  <si>
    <t>West</t>
  </si>
  <si>
    <t>Blessing</t>
  </si>
  <si>
    <t>East</t>
  </si>
  <si>
    <t>Chinedu</t>
  </si>
  <si>
    <t>South</t>
  </si>
  <si>
    <t>Zainab</t>
  </si>
  <si>
    <t>North</t>
  </si>
  <si>
    <t>Date</t>
  </si>
  <si>
    <t>Month</t>
  </si>
  <si>
    <t>Year</t>
  </si>
  <si>
    <t>January</t>
  </si>
  <si>
    <t>February</t>
  </si>
  <si>
    <t>March</t>
  </si>
  <si>
    <t>April</t>
  </si>
  <si>
    <t>May</t>
  </si>
  <si>
    <t>June</t>
  </si>
  <si>
    <t>July</t>
  </si>
  <si>
    <t>August</t>
  </si>
  <si>
    <t>September</t>
  </si>
  <si>
    <t>October</t>
  </si>
  <si>
    <t>November</t>
  </si>
  <si>
    <t>December</t>
  </si>
  <si>
    <t>Total Revenue</t>
  </si>
  <si>
    <t>Product</t>
  </si>
  <si>
    <t>Sales Agent</t>
  </si>
  <si>
    <t>Gross Profit By 30%</t>
  </si>
  <si>
    <t>Profit Margin</t>
  </si>
  <si>
    <t>Sum of Total Revenue</t>
  </si>
  <si>
    <t>Row Labels</t>
  </si>
  <si>
    <t>Grand Total</t>
  </si>
  <si>
    <t>Column Labels</t>
  </si>
  <si>
    <t>TOTAL REVENUE BY REGION AND PRODUCT</t>
  </si>
  <si>
    <t>Nov</t>
  </si>
  <si>
    <t>Sept</t>
  </si>
  <si>
    <t>Jan</t>
  </si>
  <si>
    <t>Apr</t>
  </si>
  <si>
    <t>Dec</t>
  </si>
  <si>
    <t>Jul</t>
  </si>
  <si>
    <t>Aug</t>
  </si>
  <si>
    <t>Feb</t>
  </si>
  <si>
    <t>Oct</t>
  </si>
  <si>
    <t>Jun</t>
  </si>
  <si>
    <t>Mar</t>
  </si>
  <si>
    <t>[&gt;=1000000]₦#,##0,,"M";[&gt;=1000]₦#,##0,"K";₦#,##0</t>
  </si>
  <si>
    <t>TOTAL REVENUE BY SALES AGENT</t>
  </si>
  <si>
    <t>TOTAL REVENUE BY MONTHS</t>
  </si>
  <si>
    <t>Sum of Gross Profit By 30%</t>
  </si>
  <si>
    <t>PRODUCTS BY THEIR GROSS PROFIT</t>
  </si>
  <si>
    <t>Sum of Profit Margin</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</si>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</sst>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yyyy\-mm\-dd"/>
    <numFmt numFmtId="165" formatCode="_-&quot;₦&quot;* #,##0_-;\-&quot;₦&quot;* #,##0_-;_-&quot;₦&quot;* &quot;-&quot;??_-;_-@_-"/>
    <numFmt numFmtId="166" formatCode="[&gt;=1000000]&quot;₦&quot;#,##0.0,,&quot;M&quot;;[&gt;=1000]&quot;₦&quot;#,##0.0,&quot;K&quot;;&quot;₦&quot;#,##0"/>
    <numFmt numFmtId="167" formatCode="#,##0.0,&quot;K&quot;"/>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DCDCDE"/>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64" fontId="0" fillId="0" borderId="0" xfId="0" applyNumberFormat="1"/>
    <xf numFmtId="44" fontId="0" fillId="0" borderId="0" xfId="1" applyFont="1"/>
    <xf numFmtId="165" fontId="0" fillId="0" borderId="0" xfId="1" applyNumberFormat="1" applyFont="1"/>
    <xf numFmtId="165" fontId="0" fillId="0" borderId="0" xfId="0" applyNumberFormat="1"/>
    <xf numFmtId="165" fontId="0" fillId="0" borderId="0" xfId="1" applyNumberFormat="1" applyFont="1" applyAlignment="1">
      <alignment horizontal="left"/>
    </xf>
    <xf numFmtId="10" fontId="0" fillId="0" borderId="0" xfId="1" applyNumberFormat="1"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166" fontId="0" fillId="0" borderId="0" xfId="0" applyNumberFormat="1"/>
    <xf numFmtId="167" fontId="0" fillId="0" borderId="0" xfId="0" applyNumberFormat="1"/>
    <xf numFmtId="0" fontId="0" fillId="3" borderId="0" xfId="0" applyFill="1"/>
  </cellXfs>
  <cellStyles count="2">
    <cellStyle name="Currency" xfId="1" builtinId="4"/>
    <cellStyle name="Normal" xfId="0" builtinId="0"/>
  </cellStyles>
  <dxfs count="24">
    <dxf>
      <numFmt numFmtId="166" formatCode="[&gt;=1000000]&quot;₦&quot;#,##0.0,,&quot;M&quot;;[&gt;=1000]&quot;₦&quot;#,##0.0,&quot;K&quot;;&quot;₦&quot;#,##0"/>
    </dxf>
    <dxf>
      <numFmt numFmtId="168" formatCode="[&gt;=1000000]&quot;₦&quot;#,##0,,&quot;M&quot;;[&gt;=1000]&quot;₦&quot;#,##0,&quot;K&quot;;&quot;₦&quot;#,##0"/>
    </dxf>
    <dxf>
      <numFmt numFmtId="166" formatCode="[&gt;=1000000]&quot;₦&quot;#,##0.0,,&quot;M&quot;;[&gt;=1000]&quot;₦&quot;#,##0.0,&quot;K&quot;;&quot;₦&quot;#,##0"/>
    </dxf>
    <dxf>
      <numFmt numFmtId="168" formatCode="[&gt;=1000000]&quot;₦&quot;#,##0,,&quot;M&quot;;[&gt;=1000]&quot;₦&quot;#,##0,&quot;K&quot;;&quot;₦&quot;#,##0"/>
    </dxf>
    <dxf>
      <numFmt numFmtId="166" formatCode="[&gt;=1000000]&quot;₦&quot;#,##0.0,,&quot;M&quot;;[&gt;=1000]&quot;₦&quot;#,##0.0,&quot;K&quot;;&quot;₦&quot;#,##0"/>
    </dxf>
    <dxf>
      <numFmt numFmtId="170" formatCode="[&gt;=1000000]&quot;₦&quot;#,##0,,&quot;M&quot;;[&gt;=1000]&quot;₦&quot;#,##0,&quot;K&quot;;&quot;₦&quot;#,##0_-"/>
    </dxf>
    <dxf>
      <numFmt numFmtId="168" formatCode="[&gt;=1000000]&quot;₦&quot;#,##0,,&quot;M&quot;;[&gt;=1000]&quot;₦&quot;#,##0,&quot;K&quot;;&quot;₦&quot;#,##0"/>
    </dxf>
    <dxf>
      <numFmt numFmtId="169" formatCode="[&gt;=1000000]#,##0,,&quot;M&quot;;[&gt;=1000]#,##0,&quot;K&quot;;0"/>
    </dxf>
    <dxf>
      <numFmt numFmtId="167" formatCode="#,##0.0,&quot;K&quot;"/>
    </dxf>
    <dxf>
      <numFmt numFmtId="166" formatCode="[&gt;=1000000]&quot;₦&quot;#,##0.0,,&quot;M&quot;;[&gt;=1000]&quot;₦&quot;#,##0.0,&quot;K&quot;;&quot;₦&quot;#,##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quot;₦&quot;* #,##0_-;_-&quot;₦&quot;* &quot;-&quot;??_-;_-@_-"/>
      <alignment horizontal="left"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4" formatCode="yyyy\-mm\-dd"/>
      <alignment horizontal="center" vertical="bottom" textRotation="0" wrapText="0" indent="0" justifyLastLine="0" shrinkToFit="0" readingOrder="0"/>
    </dxf>
    <dxf>
      <numFmt numFmtId="164" formatCode="yyyy\-mm\-dd"/>
    </dxf>
    <dxf>
      <font>
        <sz val="11"/>
        <color rgb="FF4F0E19"/>
        <name val="Calibri"/>
        <family val="2"/>
        <scheme val="minor"/>
      </font>
      <fill>
        <patternFill>
          <bgColor theme="0"/>
        </patternFill>
      </fill>
      <border diagonalUp="0" diagonalDown="0">
        <left/>
        <right/>
        <top/>
        <bottom/>
        <vertical/>
        <horizontal/>
      </border>
    </dxf>
    <dxf>
      <font>
        <color theme="1"/>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2"/>
      </font>
      <fill>
        <patternFill>
          <bgColor rgb="FF4F0E19"/>
        </patternFill>
      </fill>
      <border diagonalUp="0" diagonalDown="0">
        <left/>
        <right/>
        <top/>
        <bottom/>
        <vertical/>
        <horizontal/>
      </border>
    </dxf>
    <dxf>
      <fill>
        <patternFill patternType="solid">
          <bgColor theme="1"/>
        </patternFill>
      </fill>
      <border diagonalUp="0" diagonalDown="0">
        <left/>
        <right/>
        <top/>
        <bottom/>
        <vertical/>
        <horizontal/>
      </border>
    </dxf>
  </dxfs>
  <tableStyles count="2" defaultTableStyle="TableStyleMedium9" defaultPivotStyle="PivotStyleLight16">
    <tableStyle name="Slicer Style 1" pivot="0" table="0" count="4" xr9:uid="{337235DC-1CB7-4589-A44C-F33250FC4407}">
      <tableStyleElement type="wholeTable" dxfId="23"/>
      <tableStyleElement type="headerRow" dxfId="22"/>
    </tableStyle>
    <tableStyle name="Timeline Style 1" pivot="0" table="0" count="8" xr9:uid="{72205849-9775-42CC-91C5-C6FEA3CE4BB3}">
      <tableStyleElement type="wholeTable" dxfId="21"/>
      <tableStyleElement type="headerRow" dxfId="20"/>
    </tableStyle>
  </tableStyles>
  <colors>
    <mruColors>
      <color rgb="FF4F0E19"/>
      <color rgb="FFFBFAFB"/>
      <color rgb="FFC30F15"/>
      <color rgb="FFDCDCDE"/>
      <color rgb="FF030302"/>
    </mruColors>
  </colors>
  <extLst>
    <ext xmlns:x14="http://schemas.microsoft.com/office/spreadsheetml/2009/9/main" uri="{46F421CA-312F-682f-3DD2-61675219B42D}">
      <x14:dxfs count="2">
        <dxf>
          <font>
            <color rgb="FFFBFAFB"/>
          </font>
          <fill>
            <patternFill>
              <bgColor rgb="FF4F0E19"/>
            </patternFill>
          </fill>
          <border diagonalUp="0" diagonalDown="0">
            <left/>
            <right/>
            <top/>
            <bottom/>
            <vertical/>
            <horizontal/>
          </border>
        </dxf>
        <dxf>
          <font>
            <color theme="2"/>
          </font>
          <fill>
            <patternFill>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1"/>
            </patternFill>
          </fill>
        </dxf>
        <dxf>
          <fill>
            <patternFill patternType="solid">
              <fgColor theme="0"/>
              <bgColor rgb="FF4F0E19"/>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East</c:v>
                </c:pt>
              </c:strCache>
            </c:strRef>
          </c:tx>
          <c:spPr>
            <a:solidFill>
              <a:schemeClr val="accent1"/>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TABLE'!$B$5:$B$10</c:f>
              <c:numCache>
                <c:formatCode>[&gt;=1000000]"₦"#,##0.0,,"M";[&gt;=1000]"₦"#,##0.0,"K";"₦"#,##0</c:formatCode>
                <c:ptCount val="5"/>
                <c:pt idx="0">
                  <c:v>135114248</c:v>
                </c:pt>
                <c:pt idx="1">
                  <c:v>171264183</c:v>
                </c:pt>
                <c:pt idx="2">
                  <c:v>147645626</c:v>
                </c:pt>
                <c:pt idx="3">
                  <c:v>190194034</c:v>
                </c:pt>
                <c:pt idx="4">
                  <c:v>137392068</c:v>
                </c:pt>
              </c:numCache>
            </c:numRef>
          </c:val>
          <c:extLst>
            <c:ext xmlns:c16="http://schemas.microsoft.com/office/drawing/2014/chart" uri="{C3380CC4-5D6E-409C-BE32-E72D297353CC}">
              <c16:uniqueId val="{00000000-991F-487A-B7EA-0F3B1B010B3D}"/>
            </c:ext>
          </c:extLst>
        </c:ser>
        <c:ser>
          <c:idx val="1"/>
          <c:order val="1"/>
          <c:tx>
            <c:strRef>
              <c:f>'PIVOT TABLE'!$C$3:$C$4</c:f>
              <c:strCache>
                <c:ptCount val="1"/>
                <c:pt idx="0">
                  <c:v>North</c:v>
                </c:pt>
              </c:strCache>
            </c:strRef>
          </c:tx>
          <c:spPr>
            <a:solidFill>
              <a:schemeClr val="accent2"/>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TABLE'!$C$5:$C$10</c:f>
              <c:numCache>
                <c:formatCode>[&gt;=1000000]"₦"#,##0.0,,"M";[&gt;=1000]"₦"#,##0.0,"K";"₦"#,##0</c:formatCode>
                <c:ptCount val="5"/>
                <c:pt idx="0">
                  <c:v>135348898</c:v>
                </c:pt>
                <c:pt idx="1">
                  <c:v>143218230</c:v>
                </c:pt>
                <c:pt idx="2">
                  <c:v>133735871</c:v>
                </c:pt>
                <c:pt idx="3">
                  <c:v>126851887</c:v>
                </c:pt>
                <c:pt idx="4">
                  <c:v>136583452</c:v>
                </c:pt>
              </c:numCache>
            </c:numRef>
          </c:val>
          <c:extLst>
            <c:ext xmlns:c16="http://schemas.microsoft.com/office/drawing/2014/chart" uri="{C3380CC4-5D6E-409C-BE32-E72D297353CC}">
              <c16:uniqueId val="{00000001-991F-487A-B7EA-0F3B1B010B3D}"/>
            </c:ext>
          </c:extLst>
        </c:ser>
        <c:ser>
          <c:idx val="2"/>
          <c:order val="2"/>
          <c:tx>
            <c:strRef>
              <c:f>'PIVOT TABLE'!$D$3:$D$4</c:f>
              <c:strCache>
                <c:ptCount val="1"/>
                <c:pt idx="0">
                  <c:v>South</c:v>
                </c:pt>
              </c:strCache>
            </c:strRef>
          </c:tx>
          <c:spPr>
            <a:solidFill>
              <a:schemeClr val="accent3"/>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TABLE'!$D$5:$D$10</c:f>
              <c:numCache>
                <c:formatCode>[&gt;=1000000]"₦"#,##0.0,,"M";[&gt;=1000]"₦"#,##0.0,"K";"₦"#,##0</c:formatCode>
                <c:ptCount val="5"/>
                <c:pt idx="0">
                  <c:v>110747873</c:v>
                </c:pt>
                <c:pt idx="1">
                  <c:v>123945634</c:v>
                </c:pt>
                <c:pt idx="2">
                  <c:v>128323943</c:v>
                </c:pt>
                <c:pt idx="3">
                  <c:v>137660869</c:v>
                </c:pt>
                <c:pt idx="4">
                  <c:v>113315361</c:v>
                </c:pt>
              </c:numCache>
            </c:numRef>
          </c:val>
          <c:extLst>
            <c:ext xmlns:c16="http://schemas.microsoft.com/office/drawing/2014/chart" uri="{C3380CC4-5D6E-409C-BE32-E72D297353CC}">
              <c16:uniqueId val="{00000002-991F-487A-B7EA-0F3B1B010B3D}"/>
            </c:ext>
          </c:extLst>
        </c:ser>
        <c:ser>
          <c:idx val="3"/>
          <c:order val="3"/>
          <c:tx>
            <c:strRef>
              <c:f>'PIVOT TABLE'!$E$3:$E$4</c:f>
              <c:strCache>
                <c:ptCount val="1"/>
                <c:pt idx="0">
                  <c:v>West</c:v>
                </c:pt>
              </c:strCache>
            </c:strRef>
          </c:tx>
          <c:spPr>
            <a:solidFill>
              <a:schemeClr val="accent4"/>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TABLE'!$E$5:$E$10</c:f>
              <c:numCache>
                <c:formatCode>[&gt;=1000000]"₦"#,##0.0,,"M";[&gt;=1000]"₦"#,##0.0,"K";"₦"#,##0</c:formatCode>
                <c:ptCount val="5"/>
                <c:pt idx="0">
                  <c:v>194940779</c:v>
                </c:pt>
                <c:pt idx="1">
                  <c:v>82211287</c:v>
                </c:pt>
                <c:pt idx="2">
                  <c:v>143029406</c:v>
                </c:pt>
                <c:pt idx="3">
                  <c:v>179323048</c:v>
                </c:pt>
                <c:pt idx="4">
                  <c:v>160344422</c:v>
                </c:pt>
              </c:numCache>
            </c:numRef>
          </c:val>
          <c:extLst>
            <c:ext xmlns:c16="http://schemas.microsoft.com/office/drawing/2014/chart" uri="{C3380CC4-5D6E-409C-BE32-E72D297353CC}">
              <c16:uniqueId val="{00000003-991F-487A-B7EA-0F3B1B010B3D}"/>
            </c:ext>
          </c:extLst>
        </c:ser>
        <c:dLbls>
          <c:showLegendKey val="0"/>
          <c:showVal val="0"/>
          <c:showCatName val="0"/>
          <c:showSerName val="0"/>
          <c:showPercent val="0"/>
          <c:showBubbleSize val="0"/>
        </c:dLbls>
        <c:gapWidth val="219"/>
        <c:overlap val="-27"/>
        <c:axId val="1009591536"/>
        <c:axId val="1009598256"/>
      </c:barChart>
      <c:catAx>
        <c:axId val="100959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9598256"/>
        <c:crosses val="autoZero"/>
        <c:auto val="1"/>
        <c:lblAlgn val="ctr"/>
        <c:lblOffset val="100"/>
        <c:noMultiLvlLbl val="0"/>
      </c:catAx>
      <c:valAx>
        <c:axId val="1009598256"/>
        <c:scaling>
          <c:orientation val="minMax"/>
        </c:scaling>
        <c:delete val="1"/>
        <c:axPos val="l"/>
        <c:numFmt formatCode="[&gt;=1000000]&quot;₦&quot;#,##0.0,,&quot;M&quot;;[&gt;=1000]&quot;₦&quot;#,##0.0,&quot;K&quot;;&quot;₦&quot;#,##0" sourceLinked="1"/>
        <c:majorTickMark val="out"/>
        <c:minorTickMark val="none"/>
        <c:tickLblPos val="nextTo"/>
        <c:crossAx val="1009591536"/>
        <c:crosses val="autoZero"/>
        <c:crossBetween val="between"/>
      </c:valAx>
      <c:spPr>
        <a:noFill/>
        <a:ln>
          <a:noFill/>
        </a:ln>
        <a:effectLst/>
      </c:spPr>
    </c:plotArea>
    <c:legend>
      <c:legendPos val="b"/>
      <c:layout>
        <c:manualLayout>
          <c:xMode val="edge"/>
          <c:yMode val="edge"/>
          <c:x val="0.25010870516185479"/>
          <c:y val="0.82783068902676527"/>
          <c:w val="0.49144925634295711"/>
          <c:h val="0.14026026306271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TABLE'!$A$16:$A$20</c:f>
              <c:strCache>
                <c:ptCount val="4"/>
                <c:pt idx="0">
                  <c:v>Blessing</c:v>
                </c:pt>
                <c:pt idx="1">
                  <c:v>Akin</c:v>
                </c:pt>
                <c:pt idx="2">
                  <c:v>Zainab</c:v>
                </c:pt>
                <c:pt idx="3">
                  <c:v>Chinedu</c:v>
                </c:pt>
              </c:strCache>
            </c:strRef>
          </c:cat>
          <c:val>
            <c:numRef>
              <c:f>'PIVOT TABLE'!$B$16:$B$20</c:f>
              <c:numCache>
                <c:formatCode>[&gt;=1000000]"₦"#,##0.0,,"M";[&gt;=1000]"₦"#,##0.0,"K";"₦"#,##0</c:formatCode>
                <c:ptCount val="4"/>
                <c:pt idx="0">
                  <c:v>781610159</c:v>
                </c:pt>
                <c:pt idx="1">
                  <c:v>759848942</c:v>
                </c:pt>
                <c:pt idx="2">
                  <c:v>675738338</c:v>
                </c:pt>
                <c:pt idx="3">
                  <c:v>613993680</c:v>
                </c:pt>
              </c:numCache>
            </c:numRef>
          </c:val>
          <c:extLst>
            <c:ext xmlns:c16="http://schemas.microsoft.com/office/drawing/2014/chart" uri="{C3380CC4-5D6E-409C-BE32-E72D297353CC}">
              <c16:uniqueId val="{00000000-44CA-4423-B894-9A5FC4DE8EE7}"/>
            </c:ext>
          </c:extLst>
        </c:ser>
        <c:dLbls>
          <c:showLegendKey val="0"/>
          <c:showVal val="0"/>
          <c:showCatName val="0"/>
          <c:showSerName val="0"/>
          <c:showPercent val="0"/>
          <c:showBubbleSize val="0"/>
        </c:dLbls>
        <c:gapWidth val="182"/>
        <c:axId val="1431039440"/>
        <c:axId val="1431039920"/>
      </c:barChart>
      <c:catAx>
        <c:axId val="143103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1039920"/>
        <c:crosses val="autoZero"/>
        <c:auto val="1"/>
        <c:lblAlgn val="ctr"/>
        <c:lblOffset val="100"/>
        <c:noMultiLvlLbl val="0"/>
      </c:catAx>
      <c:valAx>
        <c:axId val="14310399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103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7.9070230277155262E-2"/>
              <c:y val="-0.1719317770791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2182411491872584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9.3143412598224187E-2"/>
              <c:y val="-0.13424037543010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8109229170803638E-2"/>
              <c:y val="-9.6548973781104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9070230277155262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625559381294153E-2"/>
              <c:y val="-0.10126039898722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4.2479956242376153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7.9070230277155262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7.6255593812941475E-2"/>
              <c:y val="6.83509084332655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0998136577685636E-2"/>
              <c:y val="-4.0011871307605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61001106351593E-2"/>
          <c:y val="0.1747467608951708"/>
          <c:w val="0.7846235745085246"/>
          <c:h val="0.6358621073425893"/>
        </c:manualLayout>
      </c:layout>
      <c:lineChart>
        <c:grouping val="standard"/>
        <c:varyColors val="0"/>
        <c:ser>
          <c:idx val="0"/>
          <c:order val="0"/>
          <c:tx>
            <c:strRef>
              <c:f>'PIVOT TABLE'!$B$24</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ABEF-469E-B162-A96604363D93}"/>
              </c:ext>
            </c:extLst>
          </c:dPt>
          <c:dPt>
            <c:idx val="1"/>
            <c:marker>
              <c:symbol val="none"/>
            </c:marker>
            <c:bubble3D val="0"/>
            <c:extLst>
              <c:ext xmlns:c16="http://schemas.microsoft.com/office/drawing/2014/chart" uri="{C3380CC4-5D6E-409C-BE32-E72D297353CC}">
                <c16:uniqueId val="{00000003-ABEF-469E-B162-A96604363D93}"/>
              </c:ext>
            </c:extLst>
          </c:dPt>
          <c:dPt>
            <c:idx val="2"/>
            <c:marker>
              <c:symbol val="none"/>
            </c:marker>
            <c:bubble3D val="0"/>
            <c:extLst>
              <c:ext xmlns:c16="http://schemas.microsoft.com/office/drawing/2014/chart" uri="{C3380CC4-5D6E-409C-BE32-E72D297353CC}">
                <c16:uniqueId val="{00000004-ABEF-469E-B162-A96604363D93}"/>
              </c:ext>
            </c:extLst>
          </c:dPt>
          <c:dPt>
            <c:idx val="3"/>
            <c:marker>
              <c:symbol val="none"/>
            </c:marker>
            <c:bubble3D val="0"/>
            <c:extLst>
              <c:ext xmlns:c16="http://schemas.microsoft.com/office/drawing/2014/chart" uri="{C3380CC4-5D6E-409C-BE32-E72D297353CC}">
                <c16:uniqueId val="{00000005-ABEF-469E-B162-A96604363D93}"/>
              </c:ext>
            </c:extLst>
          </c:dPt>
          <c:dPt>
            <c:idx val="4"/>
            <c:marker>
              <c:symbol val="none"/>
            </c:marker>
            <c:bubble3D val="0"/>
            <c:extLst>
              <c:ext xmlns:c16="http://schemas.microsoft.com/office/drawing/2014/chart" uri="{C3380CC4-5D6E-409C-BE32-E72D297353CC}">
                <c16:uniqueId val="{00000006-ABEF-469E-B162-A96604363D93}"/>
              </c:ext>
            </c:extLst>
          </c:dPt>
          <c:dPt>
            <c:idx val="5"/>
            <c:marker>
              <c:symbol val="none"/>
            </c:marker>
            <c:bubble3D val="0"/>
            <c:extLst>
              <c:ext xmlns:c16="http://schemas.microsoft.com/office/drawing/2014/chart" uri="{C3380CC4-5D6E-409C-BE32-E72D297353CC}">
                <c16:uniqueId val="{00000007-ABEF-469E-B162-A96604363D93}"/>
              </c:ext>
            </c:extLst>
          </c:dPt>
          <c:dPt>
            <c:idx val="6"/>
            <c:marker>
              <c:symbol val="none"/>
            </c:marker>
            <c:bubble3D val="0"/>
            <c:extLst>
              <c:ext xmlns:c16="http://schemas.microsoft.com/office/drawing/2014/chart" uri="{C3380CC4-5D6E-409C-BE32-E72D297353CC}">
                <c16:uniqueId val="{00000008-ABEF-469E-B162-A96604363D93}"/>
              </c:ext>
            </c:extLst>
          </c:dPt>
          <c:dPt>
            <c:idx val="8"/>
            <c:marker>
              <c:symbol val="none"/>
            </c:marker>
            <c:bubble3D val="0"/>
            <c:extLst>
              <c:ext xmlns:c16="http://schemas.microsoft.com/office/drawing/2014/chart" uri="{C3380CC4-5D6E-409C-BE32-E72D297353CC}">
                <c16:uniqueId val="{00000009-ABEF-469E-B162-A96604363D93}"/>
              </c:ext>
            </c:extLst>
          </c:dPt>
          <c:dPt>
            <c:idx val="9"/>
            <c:marker>
              <c:symbol val="none"/>
            </c:marker>
            <c:bubble3D val="0"/>
            <c:extLst>
              <c:ext xmlns:c16="http://schemas.microsoft.com/office/drawing/2014/chart" uri="{C3380CC4-5D6E-409C-BE32-E72D297353CC}">
                <c16:uniqueId val="{0000000A-ABEF-469E-B162-A96604363D93}"/>
              </c:ext>
            </c:extLst>
          </c:dPt>
          <c:dPt>
            <c:idx val="11"/>
            <c:marker>
              <c:symbol val="none"/>
            </c:marker>
            <c:bubble3D val="0"/>
            <c:extLst>
              <c:ext xmlns:c16="http://schemas.microsoft.com/office/drawing/2014/chart" uri="{C3380CC4-5D6E-409C-BE32-E72D297353CC}">
                <c16:uniqueId val="{0000000B-ABEF-469E-B162-A96604363D93}"/>
              </c:ext>
            </c:extLst>
          </c:dPt>
          <c:dLbls>
            <c:dLbl>
              <c:idx val="0"/>
              <c:layout>
                <c:manualLayout>
                  <c:x val="-7.9070230277155262E-2"/>
                  <c:y val="-0.171931777079101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EF-469E-B162-A96604363D93}"/>
                </c:ext>
              </c:extLst>
            </c:dLbl>
            <c:dLbl>
              <c:idx val="1"/>
              <c:layout>
                <c:manualLayout>
                  <c:x val="-6.2182411491872584E-2"/>
                  <c:y val="7.306233363939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EF-469E-B162-A96604363D93}"/>
                </c:ext>
              </c:extLst>
            </c:dLbl>
            <c:dLbl>
              <c:idx val="2"/>
              <c:layout>
                <c:manualLayout>
                  <c:x val="-9.3143412598224187E-2"/>
                  <c:y val="-0.134240375430103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EF-469E-B162-A96604363D93}"/>
                </c:ext>
              </c:extLst>
            </c:dLbl>
            <c:dLbl>
              <c:idx val="3"/>
              <c:layout>
                <c:manualLayout>
                  <c:x val="-4.8109229170803638E-2"/>
                  <c:y val="-9.65489737811042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EF-469E-B162-A96604363D93}"/>
                </c:ext>
              </c:extLst>
            </c:dLbl>
            <c:dLbl>
              <c:idx val="4"/>
              <c:layout>
                <c:manualLayout>
                  <c:x val="-7.9070230277155262E-2"/>
                  <c:y val="7.306233363939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EF-469E-B162-A96604363D93}"/>
                </c:ext>
              </c:extLst>
            </c:dLbl>
            <c:dLbl>
              <c:idx val="5"/>
              <c:layout>
                <c:manualLayout>
                  <c:x val="-7.625559381294153E-2"/>
                  <c:y val="-0.101260398987229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EF-469E-B162-A96604363D93}"/>
                </c:ext>
              </c:extLst>
            </c:dLbl>
            <c:dLbl>
              <c:idx val="6"/>
              <c:layout>
                <c:manualLayout>
                  <c:x val="-4.2479956242376153E-2"/>
                  <c:y val="-0.12481752501785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EF-469E-B162-A96604363D93}"/>
                </c:ext>
              </c:extLst>
            </c:dLbl>
            <c:dLbl>
              <c:idx val="8"/>
              <c:layout>
                <c:manualLayout>
                  <c:x val="-7.9070230277155262E-2"/>
                  <c:y val="-0.12481752501785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EF-469E-B162-A96604363D93}"/>
                </c:ext>
              </c:extLst>
            </c:dLbl>
            <c:dLbl>
              <c:idx val="9"/>
              <c:layout>
                <c:manualLayout>
                  <c:x val="-7.6255593812941475E-2"/>
                  <c:y val="6.8350908433265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EF-469E-B162-A96604363D93}"/>
                </c:ext>
              </c:extLst>
            </c:dLbl>
            <c:dLbl>
              <c:idx val="11"/>
              <c:layout>
                <c:manualLayout>
                  <c:x val="1.0998136577685636E-2"/>
                  <c:y val="-4.00118713076059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EF-469E-B162-A96604363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TABLE'!$B$25:$B$37</c:f>
              <c:numCache>
                <c:formatCode>[&gt;=1000000]"₦"#,##0.0,,"M";[&gt;=1000]"₦"#,##0.0,"K";"₦"#,##0</c:formatCode>
                <c:ptCount val="12"/>
                <c:pt idx="0">
                  <c:v>232061636</c:v>
                </c:pt>
                <c:pt idx="1">
                  <c:v>234067539</c:v>
                </c:pt>
                <c:pt idx="2">
                  <c:v>242474596</c:v>
                </c:pt>
                <c:pt idx="3">
                  <c:v>280748080</c:v>
                </c:pt>
                <c:pt idx="4">
                  <c:v>222073801</c:v>
                </c:pt>
                <c:pt idx="5">
                  <c:v>232851945</c:v>
                </c:pt>
                <c:pt idx="6">
                  <c:v>236002916</c:v>
                </c:pt>
                <c:pt idx="7">
                  <c:v>210466725</c:v>
                </c:pt>
                <c:pt idx="8">
                  <c:v>234322535</c:v>
                </c:pt>
                <c:pt idx="9">
                  <c:v>238591314</c:v>
                </c:pt>
                <c:pt idx="10">
                  <c:v>235752047</c:v>
                </c:pt>
                <c:pt idx="11">
                  <c:v>231777985</c:v>
                </c:pt>
              </c:numCache>
            </c:numRef>
          </c:val>
          <c:smooth val="0"/>
          <c:extLst>
            <c:ext xmlns:c16="http://schemas.microsoft.com/office/drawing/2014/chart" uri="{C3380CC4-5D6E-409C-BE32-E72D297353CC}">
              <c16:uniqueId val="{00000000-ABEF-469E-B162-A96604363D93}"/>
            </c:ext>
          </c:extLst>
        </c:ser>
        <c:dLbls>
          <c:showLegendKey val="0"/>
          <c:showVal val="0"/>
          <c:showCatName val="0"/>
          <c:showSerName val="0"/>
          <c:showPercent val="0"/>
          <c:showBubbleSize val="0"/>
        </c:dLbls>
        <c:smooth val="0"/>
        <c:axId val="1430990000"/>
        <c:axId val="1430997680"/>
      </c:lineChart>
      <c:catAx>
        <c:axId val="14309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0997680"/>
        <c:crosses val="autoZero"/>
        <c:auto val="1"/>
        <c:lblAlgn val="ctr"/>
        <c:lblOffset val="100"/>
        <c:noMultiLvlLbl val="0"/>
      </c:catAx>
      <c:valAx>
        <c:axId val="1430997680"/>
        <c:scaling>
          <c:orientation val="minMax"/>
        </c:scaling>
        <c:delete val="1"/>
        <c:axPos val="l"/>
        <c:numFmt formatCode="[&gt;=1000000]&quot;₦&quot;#,##0.0,,&quot;M&quot;;[&gt;=1000]&quot;₦&quot;#,##0.0,&quot;K&quot;;&quot;₦&quot;#,##0" sourceLinked="1"/>
        <c:majorTickMark val="none"/>
        <c:minorTickMark val="none"/>
        <c:tickLblPos val="nextTo"/>
        <c:crossAx val="143099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DD-47D7-B044-0557DAAF37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DD-47D7-B044-0557DAAF37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DD-47D7-B044-0557DAAF37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DD-47D7-B044-0557DAAF37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DD-47D7-B044-0557DAAF374A}"/>
              </c:ext>
            </c:extLst>
          </c:dPt>
          <c:cat>
            <c:strRef>
              <c:f>'PIVOT TABLE'!$A$42:$A$47</c:f>
              <c:strCache>
                <c:ptCount val="5"/>
                <c:pt idx="0">
                  <c:v>Printer</c:v>
                </c:pt>
                <c:pt idx="1">
                  <c:v>Laptop</c:v>
                </c:pt>
                <c:pt idx="2">
                  <c:v>Phone</c:v>
                </c:pt>
                <c:pt idx="3">
                  <c:v>Tablet</c:v>
                </c:pt>
                <c:pt idx="4">
                  <c:v>Monitor</c:v>
                </c:pt>
              </c:strCache>
            </c:strRef>
          </c:cat>
          <c:val>
            <c:numRef>
              <c:f>'PIVOT TABLE'!$B$42:$B$47</c:f>
              <c:numCache>
                <c:formatCode>0.00%</c:formatCode>
                <c:ptCount val="5"/>
                <c:pt idx="0">
                  <c:v>0.22394455596623408</c:v>
                </c:pt>
                <c:pt idx="1">
                  <c:v>0.20350155598238159</c:v>
                </c:pt>
                <c:pt idx="2">
                  <c:v>0.19523049584700258</c:v>
                </c:pt>
                <c:pt idx="3">
                  <c:v>0.19342929529724895</c:v>
                </c:pt>
                <c:pt idx="4">
                  <c:v>0.18389409690713285</c:v>
                </c:pt>
              </c:numCache>
            </c:numRef>
          </c:val>
          <c:extLst>
            <c:ext xmlns:c16="http://schemas.microsoft.com/office/drawing/2014/chart" uri="{C3380CC4-5D6E-409C-BE32-E72D297353CC}">
              <c16:uniqueId val="{00000000-7CC8-431A-9CB6-799C8664F5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F0E19">
              <a:alpha val="7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BFA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30F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East</c:v>
                </c:pt>
              </c:strCache>
            </c:strRef>
          </c:tx>
          <c:spPr>
            <a:solidFill>
              <a:srgbClr val="4F0E19">
                <a:alpha val="77000"/>
              </a:srgbClr>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TABLE'!$B$5:$B$10</c:f>
              <c:numCache>
                <c:formatCode>[&gt;=1000000]"₦"#,##0.0,,"M";[&gt;=1000]"₦"#,##0.0,"K";"₦"#,##0</c:formatCode>
                <c:ptCount val="5"/>
                <c:pt idx="0">
                  <c:v>135114248</c:v>
                </c:pt>
                <c:pt idx="1">
                  <c:v>171264183</c:v>
                </c:pt>
                <c:pt idx="2">
                  <c:v>147645626</c:v>
                </c:pt>
                <c:pt idx="3">
                  <c:v>190194034</c:v>
                </c:pt>
                <c:pt idx="4">
                  <c:v>137392068</c:v>
                </c:pt>
              </c:numCache>
            </c:numRef>
          </c:val>
          <c:extLst>
            <c:ext xmlns:c16="http://schemas.microsoft.com/office/drawing/2014/chart" uri="{C3380CC4-5D6E-409C-BE32-E72D297353CC}">
              <c16:uniqueId val="{00000000-888B-4C71-AE21-D73518B8621B}"/>
            </c:ext>
          </c:extLst>
        </c:ser>
        <c:ser>
          <c:idx val="1"/>
          <c:order val="1"/>
          <c:tx>
            <c:strRef>
              <c:f>'PIVOT TABLE'!$C$3:$C$4</c:f>
              <c:strCache>
                <c:ptCount val="1"/>
                <c:pt idx="0">
                  <c:v>North</c:v>
                </c:pt>
              </c:strCache>
            </c:strRef>
          </c:tx>
          <c:spPr>
            <a:solidFill>
              <a:schemeClr val="accent2"/>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TABLE'!$C$5:$C$10</c:f>
              <c:numCache>
                <c:formatCode>[&gt;=1000000]"₦"#,##0.0,,"M";[&gt;=1000]"₦"#,##0.0,"K";"₦"#,##0</c:formatCode>
                <c:ptCount val="5"/>
                <c:pt idx="0">
                  <c:v>135348898</c:v>
                </c:pt>
                <c:pt idx="1">
                  <c:v>143218230</c:v>
                </c:pt>
                <c:pt idx="2">
                  <c:v>133735871</c:v>
                </c:pt>
                <c:pt idx="3">
                  <c:v>126851887</c:v>
                </c:pt>
                <c:pt idx="4">
                  <c:v>136583452</c:v>
                </c:pt>
              </c:numCache>
            </c:numRef>
          </c:val>
          <c:extLst>
            <c:ext xmlns:c16="http://schemas.microsoft.com/office/drawing/2014/chart" uri="{C3380CC4-5D6E-409C-BE32-E72D297353CC}">
              <c16:uniqueId val="{00000001-888B-4C71-AE21-D73518B8621B}"/>
            </c:ext>
          </c:extLst>
        </c:ser>
        <c:ser>
          <c:idx val="2"/>
          <c:order val="2"/>
          <c:tx>
            <c:strRef>
              <c:f>'PIVOT TABLE'!$D$3:$D$4</c:f>
              <c:strCache>
                <c:ptCount val="1"/>
                <c:pt idx="0">
                  <c:v>South</c:v>
                </c:pt>
              </c:strCache>
            </c:strRef>
          </c:tx>
          <c:spPr>
            <a:solidFill>
              <a:srgbClr val="FBFAFB"/>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TABLE'!$D$5:$D$10</c:f>
              <c:numCache>
                <c:formatCode>[&gt;=1000000]"₦"#,##0.0,,"M";[&gt;=1000]"₦"#,##0.0,"K";"₦"#,##0</c:formatCode>
                <c:ptCount val="5"/>
                <c:pt idx="0">
                  <c:v>110747873</c:v>
                </c:pt>
                <c:pt idx="1">
                  <c:v>123945634</c:v>
                </c:pt>
                <c:pt idx="2">
                  <c:v>128323943</c:v>
                </c:pt>
                <c:pt idx="3">
                  <c:v>137660869</c:v>
                </c:pt>
                <c:pt idx="4">
                  <c:v>113315361</c:v>
                </c:pt>
              </c:numCache>
            </c:numRef>
          </c:val>
          <c:extLst>
            <c:ext xmlns:c16="http://schemas.microsoft.com/office/drawing/2014/chart" uri="{C3380CC4-5D6E-409C-BE32-E72D297353CC}">
              <c16:uniqueId val="{00000002-888B-4C71-AE21-D73518B8621B}"/>
            </c:ext>
          </c:extLst>
        </c:ser>
        <c:ser>
          <c:idx val="3"/>
          <c:order val="3"/>
          <c:tx>
            <c:strRef>
              <c:f>'PIVOT TABLE'!$E$3:$E$4</c:f>
              <c:strCache>
                <c:ptCount val="1"/>
                <c:pt idx="0">
                  <c:v>West</c:v>
                </c:pt>
              </c:strCache>
            </c:strRef>
          </c:tx>
          <c:spPr>
            <a:solidFill>
              <a:srgbClr val="C30F15"/>
            </a:solidFill>
            <a:ln>
              <a:noFill/>
            </a:ln>
            <a:effectLst/>
          </c:spPr>
          <c:invertIfNegative val="0"/>
          <c:cat>
            <c:strRef>
              <c:f>'PIVOT TABLE'!$A$5:$A$10</c:f>
              <c:strCache>
                <c:ptCount val="5"/>
                <c:pt idx="0">
                  <c:v>Laptop</c:v>
                </c:pt>
                <c:pt idx="1">
                  <c:v>Monitor</c:v>
                </c:pt>
                <c:pt idx="2">
                  <c:v>Phone</c:v>
                </c:pt>
                <c:pt idx="3">
                  <c:v>Printer</c:v>
                </c:pt>
                <c:pt idx="4">
                  <c:v>Tablet</c:v>
                </c:pt>
              </c:strCache>
            </c:strRef>
          </c:cat>
          <c:val>
            <c:numRef>
              <c:f>'PIVOT TABLE'!$E$5:$E$10</c:f>
              <c:numCache>
                <c:formatCode>[&gt;=1000000]"₦"#,##0.0,,"M";[&gt;=1000]"₦"#,##0.0,"K";"₦"#,##0</c:formatCode>
                <c:ptCount val="5"/>
                <c:pt idx="0">
                  <c:v>194940779</c:v>
                </c:pt>
                <c:pt idx="1">
                  <c:v>82211287</c:v>
                </c:pt>
                <c:pt idx="2">
                  <c:v>143029406</c:v>
                </c:pt>
                <c:pt idx="3">
                  <c:v>179323048</c:v>
                </c:pt>
                <c:pt idx="4">
                  <c:v>160344422</c:v>
                </c:pt>
              </c:numCache>
            </c:numRef>
          </c:val>
          <c:extLst>
            <c:ext xmlns:c16="http://schemas.microsoft.com/office/drawing/2014/chart" uri="{C3380CC4-5D6E-409C-BE32-E72D297353CC}">
              <c16:uniqueId val="{00000003-888B-4C71-AE21-D73518B8621B}"/>
            </c:ext>
          </c:extLst>
        </c:ser>
        <c:dLbls>
          <c:showLegendKey val="0"/>
          <c:showVal val="0"/>
          <c:showCatName val="0"/>
          <c:showSerName val="0"/>
          <c:showPercent val="0"/>
          <c:showBubbleSize val="0"/>
        </c:dLbls>
        <c:gapWidth val="219"/>
        <c:overlap val="-27"/>
        <c:axId val="1009591536"/>
        <c:axId val="1009598256"/>
      </c:barChart>
      <c:catAx>
        <c:axId val="10095915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1009598256"/>
        <c:crosses val="autoZero"/>
        <c:auto val="1"/>
        <c:lblAlgn val="ctr"/>
        <c:lblOffset val="100"/>
        <c:noMultiLvlLbl val="0"/>
      </c:catAx>
      <c:valAx>
        <c:axId val="1009598256"/>
        <c:scaling>
          <c:orientation val="minMax"/>
        </c:scaling>
        <c:delete val="1"/>
        <c:axPos val="l"/>
        <c:numFmt formatCode="[&gt;=1000000]&quot;₦&quot;#,##0.0,,&quot;M&quot;;[&gt;=1000]&quot;₦&quot;#,##0.0,&quot;K&quot;;&quot;₦&quot;#,##0" sourceLinked="1"/>
        <c:majorTickMark val="out"/>
        <c:minorTickMark val="none"/>
        <c:tickLblPos val="nextTo"/>
        <c:crossAx val="1009591536"/>
        <c:crosses val="autoZero"/>
        <c:crossBetween val="between"/>
      </c:valAx>
      <c:spPr>
        <a:noFill/>
        <a:ln>
          <a:noFill/>
        </a:ln>
        <a:effectLst/>
      </c:spPr>
    </c:plotArea>
    <c:legend>
      <c:legendPos val="b"/>
      <c:layout>
        <c:manualLayout>
          <c:xMode val="edge"/>
          <c:yMode val="edge"/>
          <c:x val="0.25010876322927"/>
          <c:y val="0.85746463974737397"/>
          <c:w val="0.49144925634295711"/>
          <c:h val="0.1402602630627121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BFAFB"/>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0E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BFAFB"/>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rgbClr val="4F0E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BFAFB"/>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Blessing</c:v>
                </c:pt>
                <c:pt idx="1">
                  <c:v>Akin</c:v>
                </c:pt>
                <c:pt idx="2">
                  <c:v>Zainab</c:v>
                </c:pt>
                <c:pt idx="3">
                  <c:v>Chinedu</c:v>
                </c:pt>
              </c:strCache>
            </c:strRef>
          </c:cat>
          <c:val>
            <c:numRef>
              <c:f>'PIVOT TABLE'!$B$16:$B$20</c:f>
              <c:numCache>
                <c:formatCode>[&gt;=1000000]"₦"#,##0.0,,"M";[&gt;=1000]"₦"#,##0.0,"K";"₦"#,##0</c:formatCode>
                <c:ptCount val="4"/>
                <c:pt idx="0">
                  <c:v>781610159</c:v>
                </c:pt>
                <c:pt idx="1">
                  <c:v>759848942</c:v>
                </c:pt>
                <c:pt idx="2">
                  <c:v>675738338</c:v>
                </c:pt>
                <c:pt idx="3">
                  <c:v>613993680</c:v>
                </c:pt>
              </c:numCache>
            </c:numRef>
          </c:val>
          <c:extLst>
            <c:ext xmlns:c16="http://schemas.microsoft.com/office/drawing/2014/chart" uri="{C3380CC4-5D6E-409C-BE32-E72D297353CC}">
              <c16:uniqueId val="{00000000-DE33-4190-B109-EB269E907F3C}"/>
            </c:ext>
          </c:extLst>
        </c:ser>
        <c:dLbls>
          <c:dLblPos val="outEnd"/>
          <c:showLegendKey val="0"/>
          <c:showVal val="1"/>
          <c:showCatName val="0"/>
          <c:showSerName val="0"/>
          <c:showPercent val="0"/>
          <c:showBubbleSize val="0"/>
        </c:dLbls>
        <c:gapWidth val="182"/>
        <c:axId val="1431039440"/>
        <c:axId val="1431039920"/>
      </c:barChart>
      <c:catAx>
        <c:axId val="1431039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DCDCDE"/>
                </a:solidFill>
                <a:latin typeface="+mn-lt"/>
                <a:ea typeface="+mn-ea"/>
                <a:cs typeface="+mn-cs"/>
              </a:defRPr>
            </a:pPr>
            <a:endParaRPr lang="en-NG"/>
          </a:p>
        </c:txPr>
        <c:crossAx val="1431039920"/>
        <c:crosses val="autoZero"/>
        <c:auto val="1"/>
        <c:lblAlgn val="ctr"/>
        <c:lblOffset val="100"/>
        <c:noMultiLvlLbl val="0"/>
      </c:catAx>
      <c:valAx>
        <c:axId val="1431039920"/>
        <c:scaling>
          <c:orientation val="minMax"/>
        </c:scaling>
        <c:delete val="1"/>
        <c:axPos val="b"/>
        <c:numFmt formatCode="[&gt;=1000000]&quot;₦&quot;#,##0.0,,&quot;M&quot;;[&gt;=1000]&quot;₦&quot;#,##0.0,&quot;K&quot;;&quot;₦&quot;#,##0" sourceLinked="1"/>
        <c:majorTickMark val="none"/>
        <c:minorTickMark val="none"/>
        <c:tickLblPos val="nextTo"/>
        <c:crossAx val="14310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TABLE!PivotTable3</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7.9070230277155262E-2"/>
              <c:y val="-0.1719317770791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2182411491872584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9.3143412598224187E-2"/>
              <c:y val="-0.13424037543010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4.8109229170803638E-2"/>
              <c:y val="-9.6548973781104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7.9070230277155262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7.625559381294153E-2"/>
              <c:y val="-0.10126039898722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2479956242376153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7.9070230277155262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7.6255593812941475E-2"/>
              <c:y val="6.83509084332655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1.0998136577685636E-2"/>
              <c:y val="-4.0011871307605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7.9070230277155262E-2"/>
              <c:y val="-0.1719317770791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6.2182411491872584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9.3143412598224187E-2"/>
              <c:y val="-0.13424037543010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4.8109229170803638E-2"/>
              <c:y val="-9.6548973781104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7.9070230277155262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7.625559381294153E-2"/>
              <c:y val="-0.10126039898722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4.2479956242376153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7.9070230277155262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7.6255593812941475E-2"/>
              <c:y val="6.83509084332655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1.0998136577685636E-2"/>
              <c:y val="-4.0011871307605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4F0E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4F0E19"/>
            </a:solidFill>
            <a:round/>
          </a:ln>
          <a:effectLst/>
        </c:spPr>
        <c:marker>
          <c:symbol val="none"/>
        </c:marker>
        <c:dLbl>
          <c:idx val="0"/>
          <c:layout>
            <c:manualLayout>
              <c:x val="-7.1545878344943914E-2"/>
              <c:y val="0.31178389838323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4F0E19"/>
            </a:solidFill>
            <a:round/>
          </a:ln>
          <a:effectLst/>
        </c:spPr>
        <c:marker>
          <c:symbol val="none"/>
        </c:marker>
        <c:dLbl>
          <c:idx val="0"/>
          <c:layout>
            <c:manualLayout>
              <c:x val="-6.2182411491872584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4F0E19"/>
            </a:solidFill>
            <a:round/>
          </a:ln>
          <a:effectLst/>
        </c:spPr>
        <c:marker>
          <c:symbol val="none"/>
        </c:marker>
        <c:dLbl>
          <c:idx val="0"/>
          <c:layout>
            <c:manualLayout>
              <c:x val="-9.3143412598224187E-2"/>
              <c:y val="-0.13424037543010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4F0E19"/>
            </a:solidFill>
            <a:round/>
          </a:ln>
          <a:effectLst/>
        </c:spPr>
        <c:marker>
          <c:symbol val="none"/>
        </c:marker>
        <c:dLbl>
          <c:idx val="0"/>
          <c:layout>
            <c:manualLayout>
              <c:x val="-5.1164269856287657E-2"/>
              <c:y val="-0.1423747731768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4F0E19"/>
            </a:solidFill>
            <a:round/>
          </a:ln>
          <a:effectLst/>
        </c:spPr>
        <c:marker>
          <c:symbol val="none"/>
        </c:marker>
        <c:dLbl>
          <c:idx val="0"/>
          <c:layout>
            <c:manualLayout>
              <c:x val="-7.9070230277155262E-2"/>
              <c:y val="7.3062333639390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4F0E19"/>
            </a:solidFill>
            <a:round/>
          </a:ln>
          <a:effectLst/>
        </c:spPr>
        <c:marker>
          <c:symbol val="none"/>
        </c:marker>
        <c:dLbl>
          <c:idx val="0"/>
          <c:layout>
            <c:manualLayout>
              <c:x val="-8.5420844877162172E-2"/>
              <c:y val="-0.10635209046144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4F0E19"/>
            </a:solidFill>
            <a:round/>
          </a:ln>
          <a:effectLst/>
        </c:spPr>
        <c:marker>
          <c:symbol val="none"/>
        </c:marker>
        <c:dLbl>
          <c:idx val="0"/>
          <c:layout>
            <c:manualLayout>
              <c:x val="-3.9424746264297983E-2"/>
              <c:y val="-0.24192758177460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4F0E19"/>
            </a:solidFill>
            <a:round/>
          </a:ln>
          <a:effectLst/>
        </c:spPr>
        <c:marker>
          <c:symbol val="none"/>
        </c:marker>
        <c:dLbl>
          <c:idx val="0"/>
          <c:layout>
            <c:manualLayout>
              <c:x val="-7.9070230277155262E-2"/>
              <c:y val="-0.12481752501785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4F0E19"/>
            </a:solidFill>
            <a:round/>
          </a:ln>
          <a:effectLst/>
        </c:spPr>
        <c:marker>
          <c:symbol val="none"/>
        </c:marker>
        <c:dLbl>
          <c:idx val="0"/>
          <c:layout>
            <c:manualLayout>
              <c:x val="-7.6255593812941475E-2"/>
              <c:y val="6.83509084332655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4F0E19"/>
            </a:solidFill>
            <a:round/>
          </a:ln>
          <a:effectLst/>
        </c:spPr>
        <c:marker>
          <c:symbol val="none"/>
        </c:marker>
        <c:dLbl>
          <c:idx val="0"/>
          <c:layout>
            <c:manualLayout>
              <c:x val="-1.1201905018801838E-16"/>
              <c:y val="-6.5470601395057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4F0E19"/>
            </a:solidFill>
            <a:round/>
          </a:ln>
          <a:effectLst/>
        </c:spPr>
        <c:marker>
          <c:symbol val="none"/>
        </c:marker>
        <c:dLbl>
          <c:idx val="0"/>
          <c:layout>
            <c:manualLayout>
              <c:x val="-9.014831188869428E-2"/>
              <c:y val="0.14006103677521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4F0E19"/>
            </a:solidFill>
            <a:round/>
          </a:ln>
          <a:effectLst/>
        </c:spPr>
        <c:marker>
          <c:symbol val="none"/>
        </c:marker>
        <c:dLbl>
          <c:idx val="0"/>
          <c:layout>
            <c:manualLayout>
              <c:x val="-9.014831188869428E-2"/>
              <c:y val="-0.19599404065536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85414157334779E-2"/>
          <c:y val="0.30713196917370222"/>
          <c:w val="0.93737862290993257"/>
          <c:h val="0.59512820368898822"/>
        </c:manualLayout>
      </c:layout>
      <c:lineChart>
        <c:grouping val="standard"/>
        <c:varyColors val="0"/>
        <c:ser>
          <c:idx val="0"/>
          <c:order val="0"/>
          <c:tx>
            <c:strRef>
              <c:f>'PIVOT TABLE'!$B$24</c:f>
              <c:strCache>
                <c:ptCount val="1"/>
                <c:pt idx="0">
                  <c:v>Total</c:v>
                </c:pt>
              </c:strCache>
            </c:strRef>
          </c:tx>
          <c:spPr>
            <a:ln w="28575" cap="rnd">
              <a:solidFill>
                <a:srgbClr val="4F0E19"/>
              </a:solidFill>
              <a:round/>
            </a:ln>
            <a:effectLst/>
          </c:spPr>
          <c:marker>
            <c:symbol val="none"/>
          </c:marker>
          <c:dPt>
            <c:idx val="0"/>
            <c:marker>
              <c:symbol val="none"/>
            </c:marker>
            <c:bubble3D val="0"/>
            <c:extLst>
              <c:ext xmlns:c16="http://schemas.microsoft.com/office/drawing/2014/chart" uri="{C3380CC4-5D6E-409C-BE32-E72D297353CC}">
                <c16:uniqueId val="{00000000-9436-4209-AF9D-3303872732B3}"/>
              </c:ext>
            </c:extLst>
          </c:dPt>
          <c:dPt>
            <c:idx val="1"/>
            <c:marker>
              <c:symbol val="none"/>
            </c:marker>
            <c:bubble3D val="0"/>
            <c:extLst>
              <c:ext xmlns:c16="http://schemas.microsoft.com/office/drawing/2014/chart" uri="{C3380CC4-5D6E-409C-BE32-E72D297353CC}">
                <c16:uniqueId val="{00000001-9436-4209-AF9D-3303872732B3}"/>
              </c:ext>
            </c:extLst>
          </c:dPt>
          <c:dPt>
            <c:idx val="2"/>
            <c:marker>
              <c:symbol val="none"/>
            </c:marker>
            <c:bubble3D val="0"/>
            <c:extLst>
              <c:ext xmlns:c16="http://schemas.microsoft.com/office/drawing/2014/chart" uri="{C3380CC4-5D6E-409C-BE32-E72D297353CC}">
                <c16:uniqueId val="{00000002-9436-4209-AF9D-3303872732B3}"/>
              </c:ext>
            </c:extLst>
          </c:dPt>
          <c:dPt>
            <c:idx val="3"/>
            <c:marker>
              <c:symbol val="none"/>
            </c:marker>
            <c:bubble3D val="0"/>
            <c:extLst>
              <c:ext xmlns:c16="http://schemas.microsoft.com/office/drawing/2014/chart" uri="{C3380CC4-5D6E-409C-BE32-E72D297353CC}">
                <c16:uniqueId val="{00000003-9436-4209-AF9D-3303872732B3}"/>
              </c:ext>
            </c:extLst>
          </c:dPt>
          <c:dPt>
            <c:idx val="4"/>
            <c:marker>
              <c:symbol val="none"/>
            </c:marker>
            <c:bubble3D val="0"/>
            <c:extLst>
              <c:ext xmlns:c16="http://schemas.microsoft.com/office/drawing/2014/chart" uri="{C3380CC4-5D6E-409C-BE32-E72D297353CC}">
                <c16:uniqueId val="{00000004-9436-4209-AF9D-3303872732B3}"/>
              </c:ext>
            </c:extLst>
          </c:dPt>
          <c:dPt>
            <c:idx val="5"/>
            <c:marker>
              <c:symbol val="none"/>
            </c:marker>
            <c:bubble3D val="0"/>
            <c:extLst>
              <c:ext xmlns:c16="http://schemas.microsoft.com/office/drawing/2014/chart" uri="{C3380CC4-5D6E-409C-BE32-E72D297353CC}">
                <c16:uniqueId val="{00000005-9436-4209-AF9D-3303872732B3}"/>
              </c:ext>
            </c:extLst>
          </c:dPt>
          <c:dPt>
            <c:idx val="6"/>
            <c:marker>
              <c:symbol val="none"/>
            </c:marker>
            <c:bubble3D val="0"/>
            <c:extLst>
              <c:ext xmlns:c16="http://schemas.microsoft.com/office/drawing/2014/chart" uri="{C3380CC4-5D6E-409C-BE32-E72D297353CC}">
                <c16:uniqueId val="{00000006-9436-4209-AF9D-3303872732B3}"/>
              </c:ext>
            </c:extLst>
          </c:dPt>
          <c:dPt>
            <c:idx val="7"/>
            <c:marker>
              <c:symbol val="none"/>
            </c:marker>
            <c:bubble3D val="0"/>
            <c:extLst>
              <c:ext xmlns:c16="http://schemas.microsoft.com/office/drawing/2014/chart" uri="{C3380CC4-5D6E-409C-BE32-E72D297353CC}">
                <c16:uniqueId val="{0000000B-9436-4209-AF9D-3303872732B3}"/>
              </c:ext>
            </c:extLst>
          </c:dPt>
          <c:dPt>
            <c:idx val="8"/>
            <c:marker>
              <c:symbol val="none"/>
            </c:marker>
            <c:bubble3D val="0"/>
            <c:extLst>
              <c:ext xmlns:c16="http://schemas.microsoft.com/office/drawing/2014/chart" uri="{C3380CC4-5D6E-409C-BE32-E72D297353CC}">
                <c16:uniqueId val="{00000007-9436-4209-AF9D-3303872732B3}"/>
              </c:ext>
            </c:extLst>
          </c:dPt>
          <c:dPt>
            <c:idx val="9"/>
            <c:marker>
              <c:symbol val="none"/>
            </c:marker>
            <c:bubble3D val="0"/>
            <c:extLst>
              <c:ext xmlns:c16="http://schemas.microsoft.com/office/drawing/2014/chart" uri="{C3380CC4-5D6E-409C-BE32-E72D297353CC}">
                <c16:uniqueId val="{00000008-9436-4209-AF9D-3303872732B3}"/>
              </c:ext>
            </c:extLst>
          </c:dPt>
          <c:dPt>
            <c:idx val="10"/>
            <c:marker>
              <c:symbol val="none"/>
            </c:marker>
            <c:bubble3D val="0"/>
            <c:extLst>
              <c:ext xmlns:c16="http://schemas.microsoft.com/office/drawing/2014/chart" uri="{C3380CC4-5D6E-409C-BE32-E72D297353CC}">
                <c16:uniqueId val="{0000000C-9436-4209-AF9D-3303872732B3}"/>
              </c:ext>
            </c:extLst>
          </c:dPt>
          <c:dPt>
            <c:idx val="11"/>
            <c:marker>
              <c:symbol val="none"/>
            </c:marker>
            <c:bubble3D val="0"/>
            <c:extLst>
              <c:ext xmlns:c16="http://schemas.microsoft.com/office/drawing/2014/chart" uri="{C3380CC4-5D6E-409C-BE32-E72D297353CC}">
                <c16:uniqueId val="{00000009-9436-4209-AF9D-3303872732B3}"/>
              </c:ext>
            </c:extLst>
          </c:dPt>
          <c:dLbls>
            <c:dLbl>
              <c:idx val="0"/>
              <c:layout>
                <c:manualLayout>
                  <c:x val="-7.1545878344943914E-2"/>
                  <c:y val="0.311783898383231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36-4209-AF9D-3303872732B3}"/>
                </c:ext>
              </c:extLst>
            </c:dLbl>
            <c:dLbl>
              <c:idx val="1"/>
              <c:layout>
                <c:manualLayout>
                  <c:x val="-6.2182411491872584E-2"/>
                  <c:y val="7.306233363939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36-4209-AF9D-3303872732B3}"/>
                </c:ext>
              </c:extLst>
            </c:dLbl>
            <c:dLbl>
              <c:idx val="2"/>
              <c:layout>
                <c:manualLayout>
                  <c:x val="-9.3143412598224187E-2"/>
                  <c:y val="-0.134240375430103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36-4209-AF9D-3303872732B3}"/>
                </c:ext>
              </c:extLst>
            </c:dLbl>
            <c:dLbl>
              <c:idx val="3"/>
              <c:layout>
                <c:manualLayout>
                  <c:x val="-5.1164269856287657E-2"/>
                  <c:y val="-0.14237477317685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36-4209-AF9D-3303872732B3}"/>
                </c:ext>
              </c:extLst>
            </c:dLbl>
            <c:dLbl>
              <c:idx val="4"/>
              <c:layout>
                <c:manualLayout>
                  <c:x val="-7.9070230277155262E-2"/>
                  <c:y val="7.306233363939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36-4209-AF9D-3303872732B3}"/>
                </c:ext>
              </c:extLst>
            </c:dLbl>
            <c:dLbl>
              <c:idx val="5"/>
              <c:layout>
                <c:manualLayout>
                  <c:x val="-8.5420844877162172E-2"/>
                  <c:y val="-0.106352090461440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36-4209-AF9D-3303872732B3}"/>
                </c:ext>
              </c:extLst>
            </c:dLbl>
            <c:dLbl>
              <c:idx val="6"/>
              <c:layout>
                <c:manualLayout>
                  <c:x val="-3.9424746264297983E-2"/>
                  <c:y val="-0.241927581774604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36-4209-AF9D-3303872732B3}"/>
                </c:ext>
              </c:extLst>
            </c:dLbl>
            <c:dLbl>
              <c:idx val="7"/>
              <c:layout>
                <c:manualLayout>
                  <c:x val="-9.014831188869428E-2"/>
                  <c:y val="0.140061036775218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36-4209-AF9D-3303872732B3}"/>
                </c:ext>
              </c:extLst>
            </c:dLbl>
            <c:dLbl>
              <c:idx val="8"/>
              <c:layout>
                <c:manualLayout>
                  <c:x val="-7.9070230277155262E-2"/>
                  <c:y val="-0.12481752501785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36-4209-AF9D-3303872732B3}"/>
                </c:ext>
              </c:extLst>
            </c:dLbl>
            <c:dLbl>
              <c:idx val="9"/>
              <c:layout>
                <c:manualLayout>
                  <c:x val="-7.6255593812941475E-2"/>
                  <c:y val="6.8350908433265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36-4209-AF9D-3303872732B3}"/>
                </c:ext>
              </c:extLst>
            </c:dLbl>
            <c:dLbl>
              <c:idx val="10"/>
              <c:layout>
                <c:manualLayout>
                  <c:x val="-9.014831188869428E-2"/>
                  <c:y val="-0.195994040655367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36-4209-AF9D-3303872732B3}"/>
                </c:ext>
              </c:extLst>
            </c:dLbl>
            <c:dLbl>
              <c:idx val="11"/>
              <c:layout>
                <c:manualLayout>
                  <c:x val="-1.1201905018801838E-16"/>
                  <c:y val="-6.5470601395057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36-4209-AF9D-3303872732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TABLE'!$B$25:$B$37</c:f>
              <c:numCache>
                <c:formatCode>[&gt;=1000000]"₦"#,##0.0,,"M";[&gt;=1000]"₦"#,##0.0,"K";"₦"#,##0</c:formatCode>
                <c:ptCount val="12"/>
                <c:pt idx="0">
                  <c:v>232061636</c:v>
                </c:pt>
                <c:pt idx="1">
                  <c:v>234067539</c:v>
                </c:pt>
                <c:pt idx="2">
                  <c:v>242474596</c:v>
                </c:pt>
                <c:pt idx="3">
                  <c:v>280748080</c:v>
                </c:pt>
                <c:pt idx="4">
                  <c:v>222073801</c:v>
                </c:pt>
                <c:pt idx="5">
                  <c:v>232851945</c:v>
                </c:pt>
                <c:pt idx="6">
                  <c:v>236002916</c:v>
                </c:pt>
                <c:pt idx="7">
                  <c:v>210466725</c:v>
                </c:pt>
                <c:pt idx="8">
                  <c:v>234322535</c:v>
                </c:pt>
                <c:pt idx="9">
                  <c:v>238591314</c:v>
                </c:pt>
                <c:pt idx="10">
                  <c:v>235752047</c:v>
                </c:pt>
                <c:pt idx="11">
                  <c:v>231777985</c:v>
                </c:pt>
              </c:numCache>
            </c:numRef>
          </c:val>
          <c:smooth val="0"/>
          <c:extLst>
            <c:ext xmlns:c16="http://schemas.microsoft.com/office/drawing/2014/chart" uri="{C3380CC4-5D6E-409C-BE32-E72D297353CC}">
              <c16:uniqueId val="{0000000A-9436-4209-AF9D-3303872732B3}"/>
            </c:ext>
          </c:extLst>
        </c:ser>
        <c:dLbls>
          <c:showLegendKey val="0"/>
          <c:showVal val="0"/>
          <c:showCatName val="0"/>
          <c:showSerName val="0"/>
          <c:showPercent val="0"/>
          <c:showBubbleSize val="0"/>
        </c:dLbls>
        <c:smooth val="0"/>
        <c:axId val="1430990000"/>
        <c:axId val="1430997680"/>
      </c:lineChart>
      <c:catAx>
        <c:axId val="1430990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1430997680"/>
        <c:crosses val="autoZero"/>
        <c:auto val="1"/>
        <c:lblAlgn val="ctr"/>
        <c:lblOffset val="100"/>
        <c:noMultiLvlLbl val="0"/>
      </c:catAx>
      <c:valAx>
        <c:axId val="1430997680"/>
        <c:scaling>
          <c:orientation val="minMax"/>
        </c:scaling>
        <c:delete val="1"/>
        <c:axPos val="l"/>
        <c:numFmt formatCode="[&gt;=1000000]&quot;₦&quot;#,##0.0,,&quot;M&quot;;[&gt;=1000]&quot;₦&quot;#,##0.0,&quot;K&quot;;&quot;₦&quot;#,##0" sourceLinked="1"/>
        <c:majorTickMark val="none"/>
        <c:minorTickMark val="none"/>
        <c:tickLblPos val="nextTo"/>
        <c:crossAx val="143099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Salesl Dashboard.xlsx]PIVOT TABLE!PivotTable4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BFAFB"/>
          </a:solidFill>
          <a:ln w="19050">
            <a:noFill/>
          </a:ln>
          <a:effectLst/>
        </c:spPr>
        <c:dLbl>
          <c:idx val="0"/>
          <c:layout>
            <c:manualLayout>
              <c:x val="0.14320495316239573"/>
              <c:y val="-6.1518516545046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3524912243115139"/>
              <c:y val="3.91481468923020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30F15"/>
          </a:solidFill>
          <a:ln w="19050">
            <a:noFill/>
          </a:ln>
          <a:effectLst/>
        </c:spPr>
        <c:dLbl>
          <c:idx val="0"/>
          <c:layout>
            <c:manualLayout>
              <c:x val="-0.14320495316239576"/>
              <c:y val="8.3888886197790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alpha val="85000"/>
            </a:schemeClr>
          </a:solidFill>
          <a:ln w="19050">
            <a:noFill/>
          </a:ln>
          <a:effectLst/>
        </c:spPr>
        <c:dLbl>
          <c:idx val="0"/>
          <c:layout>
            <c:manualLayout>
              <c:x val="-0.14718286852801785"/>
              <c:y val="5.59259241318601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F0E19"/>
          </a:solidFill>
          <a:ln w="19050">
            <a:noFill/>
          </a:ln>
          <a:effectLst/>
        </c:spPr>
        <c:dLbl>
          <c:idx val="0"/>
          <c:layout>
            <c:manualLayout>
              <c:x val="-0.18696202218423891"/>
              <c:y val="-1.67777772395580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TABLE'!$B$41</c:f>
              <c:strCache>
                <c:ptCount val="1"/>
                <c:pt idx="0">
                  <c:v>Total</c:v>
                </c:pt>
              </c:strCache>
            </c:strRef>
          </c:tx>
          <c:dPt>
            <c:idx val="0"/>
            <c:bubble3D val="0"/>
            <c:spPr>
              <a:solidFill>
                <a:srgbClr val="FBFAFB"/>
              </a:solidFill>
              <a:ln w="19050">
                <a:noFill/>
              </a:ln>
              <a:effectLst/>
            </c:spPr>
            <c:extLst>
              <c:ext xmlns:c16="http://schemas.microsoft.com/office/drawing/2014/chart" uri="{C3380CC4-5D6E-409C-BE32-E72D297353CC}">
                <c16:uniqueId val="{00000001-37B3-48F2-AC9B-E2E471ABFD84}"/>
              </c:ext>
            </c:extLst>
          </c:dPt>
          <c:dPt>
            <c:idx val="1"/>
            <c:bubble3D val="0"/>
            <c:spPr>
              <a:solidFill>
                <a:schemeClr val="accent2"/>
              </a:solidFill>
              <a:ln w="19050">
                <a:noFill/>
              </a:ln>
              <a:effectLst/>
            </c:spPr>
            <c:extLst>
              <c:ext xmlns:c16="http://schemas.microsoft.com/office/drawing/2014/chart" uri="{C3380CC4-5D6E-409C-BE32-E72D297353CC}">
                <c16:uniqueId val="{00000003-37B3-48F2-AC9B-E2E471ABFD84}"/>
              </c:ext>
            </c:extLst>
          </c:dPt>
          <c:dPt>
            <c:idx val="2"/>
            <c:bubble3D val="0"/>
            <c:spPr>
              <a:solidFill>
                <a:srgbClr val="C30F15"/>
              </a:solidFill>
              <a:ln w="19050">
                <a:noFill/>
              </a:ln>
              <a:effectLst/>
            </c:spPr>
            <c:extLst>
              <c:ext xmlns:c16="http://schemas.microsoft.com/office/drawing/2014/chart" uri="{C3380CC4-5D6E-409C-BE32-E72D297353CC}">
                <c16:uniqueId val="{00000005-37B3-48F2-AC9B-E2E471ABFD84}"/>
              </c:ext>
            </c:extLst>
          </c:dPt>
          <c:dPt>
            <c:idx val="3"/>
            <c:bubble3D val="0"/>
            <c:spPr>
              <a:solidFill>
                <a:schemeClr val="accent2">
                  <a:lumMod val="40000"/>
                  <a:lumOff val="60000"/>
                  <a:alpha val="85000"/>
                </a:schemeClr>
              </a:solidFill>
              <a:ln w="19050">
                <a:noFill/>
              </a:ln>
              <a:effectLst/>
            </c:spPr>
            <c:extLst>
              <c:ext xmlns:c16="http://schemas.microsoft.com/office/drawing/2014/chart" uri="{C3380CC4-5D6E-409C-BE32-E72D297353CC}">
                <c16:uniqueId val="{00000007-37B3-48F2-AC9B-E2E471ABFD84}"/>
              </c:ext>
            </c:extLst>
          </c:dPt>
          <c:dPt>
            <c:idx val="4"/>
            <c:bubble3D val="0"/>
            <c:spPr>
              <a:solidFill>
                <a:srgbClr val="4F0E19"/>
              </a:solidFill>
              <a:ln w="19050">
                <a:noFill/>
              </a:ln>
              <a:effectLst/>
            </c:spPr>
            <c:extLst>
              <c:ext xmlns:c16="http://schemas.microsoft.com/office/drawing/2014/chart" uri="{C3380CC4-5D6E-409C-BE32-E72D297353CC}">
                <c16:uniqueId val="{00000009-37B3-48F2-AC9B-E2E471ABFD84}"/>
              </c:ext>
            </c:extLst>
          </c:dPt>
          <c:dLbls>
            <c:dLbl>
              <c:idx val="0"/>
              <c:layout>
                <c:manualLayout>
                  <c:x val="0.14320495316239573"/>
                  <c:y val="-6.1518516545046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B3-48F2-AC9B-E2E471ABFD84}"/>
                </c:ext>
              </c:extLst>
            </c:dLbl>
            <c:dLbl>
              <c:idx val="1"/>
              <c:layout>
                <c:manualLayout>
                  <c:x val="0.13524912243115139"/>
                  <c:y val="3.9148146892302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B3-48F2-AC9B-E2E471ABFD84}"/>
                </c:ext>
              </c:extLst>
            </c:dLbl>
            <c:dLbl>
              <c:idx val="2"/>
              <c:layout>
                <c:manualLayout>
                  <c:x val="-0.14320495316239576"/>
                  <c:y val="8.3888886197790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B3-48F2-AC9B-E2E471ABFD84}"/>
                </c:ext>
              </c:extLst>
            </c:dLbl>
            <c:dLbl>
              <c:idx val="3"/>
              <c:layout>
                <c:manualLayout>
                  <c:x val="-0.14718286852801785"/>
                  <c:y val="5.59259241318601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B3-48F2-AC9B-E2E471ABFD84}"/>
                </c:ext>
              </c:extLst>
            </c:dLbl>
            <c:dLbl>
              <c:idx val="4"/>
              <c:layout>
                <c:manualLayout>
                  <c:x val="-0.18696202218423891"/>
                  <c:y val="-1.6777777239558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B3-48F2-AC9B-E2E471ABFD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TABLE'!$A$42:$A$47</c:f>
              <c:strCache>
                <c:ptCount val="5"/>
                <c:pt idx="0">
                  <c:v>Printer</c:v>
                </c:pt>
                <c:pt idx="1">
                  <c:v>Laptop</c:v>
                </c:pt>
                <c:pt idx="2">
                  <c:v>Phone</c:v>
                </c:pt>
                <c:pt idx="3">
                  <c:v>Tablet</c:v>
                </c:pt>
                <c:pt idx="4">
                  <c:v>Monitor</c:v>
                </c:pt>
              </c:strCache>
            </c:strRef>
          </c:cat>
          <c:val>
            <c:numRef>
              <c:f>'PIVOT TABLE'!$B$42:$B$47</c:f>
              <c:numCache>
                <c:formatCode>0.00%</c:formatCode>
                <c:ptCount val="5"/>
                <c:pt idx="0">
                  <c:v>0.22394455596623408</c:v>
                </c:pt>
                <c:pt idx="1">
                  <c:v>0.20350155598238159</c:v>
                </c:pt>
                <c:pt idx="2">
                  <c:v>0.19523049584700258</c:v>
                </c:pt>
                <c:pt idx="3">
                  <c:v>0.19342929529724895</c:v>
                </c:pt>
                <c:pt idx="4">
                  <c:v>0.18389409690713285</c:v>
                </c:pt>
              </c:numCache>
            </c:numRef>
          </c:val>
          <c:extLst>
            <c:ext xmlns:c16="http://schemas.microsoft.com/office/drawing/2014/chart" uri="{C3380CC4-5D6E-409C-BE32-E72D297353CC}">
              <c16:uniqueId val="{0000000A-37B3-48F2-AC9B-E2E471ABFD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95250</xdr:colOff>
      <xdr:row>1</xdr:row>
      <xdr:rowOff>71437</xdr:rowOff>
    </xdr:from>
    <xdr:to>
      <xdr:col>13</xdr:col>
      <xdr:colOff>400050</xdr:colOff>
      <xdr:row>13</xdr:row>
      <xdr:rowOff>85725</xdr:rowOff>
    </xdr:to>
    <xdr:graphicFrame macro="">
      <xdr:nvGraphicFramePr>
        <xdr:cNvPr id="2" name="Chart 1">
          <a:extLst>
            <a:ext uri="{FF2B5EF4-FFF2-40B4-BE49-F238E27FC236}">
              <a16:creationId xmlns:a16="http://schemas.microsoft.com/office/drawing/2014/main" id="{C500742D-FF2D-77EB-095E-B32F405D6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13</xdr:row>
      <xdr:rowOff>52387</xdr:rowOff>
    </xdr:from>
    <xdr:to>
      <xdr:col>6</xdr:col>
      <xdr:colOff>114300</xdr:colOff>
      <xdr:row>21</xdr:row>
      <xdr:rowOff>161925</xdr:rowOff>
    </xdr:to>
    <xdr:graphicFrame macro="">
      <xdr:nvGraphicFramePr>
        <xdr:cNvPr id="3" name="Chart 2">
          <a:extLst>
            <a:ext uri="{FF2B5EF4-FFF2-40B4-BE49-F238E27FC236}">
              <a16:creationId xmlns:a16="http://schemas.microsoft.com/office/drawing/2014/main" id="{F2997EEA-7FB9-9C22-A0B8-31FCC19C9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428966</xdr:colOff>
      <xdr:row>23</xdr:row>
      <xdr:rowOff>80962</xdr:rowOff>
    </xdr:from>
    <xdr:to>
      <xdr:col>7</xdr:col>
      <xdr:colOff>450737</xdr:colOff>
      <xdr:row>36</xdr:row>
      <xdr:rowOff>147961</xdr:rowOff>
    </xdr:to>
    <xdr:graphicFrame macro="">
      <xdr:nvGraphicFramePr>
        <xdr:cNvPr id="4" name="Chart 3">
          <a:extLst>
            <a:ext uri="{FF2B5EF4-FFF2-40B4-BE49-F238E27FC236}">
              <a16:creationId xmlns:a16="http://schemas.microsoft.com/office/drawing/2014/main" id="{E9FF9D48-4CFE-609F-BB14-208F96C14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155358</xdr:colOff>
      <xdr:row>38</xdr:row>
      <xdr:rowOff>94139</xdr:rowOff>
    </xdr:from>
    <xdr:to>
      <xdr:col>7</xdr:col>
      <xdr:colOff>242286</xdr:colOff>
      <xdr:row>50</xdr:row>
      <xdr:rowOff>36990</xdr:rowOff>
    </xdr:to>
    <xdr:graphicFrame macro="">
      <xdr:nvGraphicFramePr>
        <xdr:cNvPr id="5" name="Chart 4">
          <a:extLst>
            <a:ext uri="{FF2B5EF4-FFF2-40B4-BE49-F238E27FC236}">
              <a16:creationId xmlns:a16="http://schemas.microsoft.com/office/drawing/2014/main" id="{811639A1-19A3-8DDF-0812-52324F30F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329214</xdr:colOff>
      <xdr:row>13</xdr:row>
      <xdr:rowOff>57060</xdr:rowOff>
    </xdr:from>
    <xdr:to>
      <xdr:col>10</xdr:col>
      <xdr:colOff>64732</xdr:colOff>
      <xdr:row>18</xdr:row>
      <xdr:rowOff>83228</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0CBDD0A3-A13C-C0FC-7F2E-3AA89307080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30368" y="2438310"/>
              <a:ext cx="2153403" cy="94203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370181</xdr:colOff>
      <xdr:row>14</xdr:row>
      <xdr:rowOff>32830</xdr:rowOff>
    </xdr:from>
    <xdr:to>
      <xdr:col>17</xdr:col>
      <xdr:colOff>138715</xdr:colOff>
      <xdr:row>21</xdr:row>
      <xdr:rowOff>45036</xdr:rowOff>
    </xdr:to>
    <mc:AlternateContent xmlns:mc="http://schemas.openxmlformats.org/markup-compatibility/2006" xmlns:tsle="http://schemas.microsoft.com/office/drawing/2012/timeslicer">
      <mc:Choice Requires="tsle">
        <xdr:graphicFrame macro="">
          <xdr:nvGraphicFramePr>
            <xdr:cNvPr id="8" name="OrderDate">
              <a:extLst>
                <a:ext uri="{FF2B5EF4-FFF2-40B4-BE49-F238E27FC236}">
                  <a16:creationId xmlns:a16="http://schemas.microsoft.com/office/drawing/2014/main" id="{5E69D444-F4C6-2BB1-9FCD-FD2A2AF6B50C}"/>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089219" y="2597253"/>
              <a:ext cx="3999832" cy="1294418"/>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149679</xdr:rowOff>
    </xdr:from>
    <xdr:to>
      <xdr:col>20</xdr:col>
      <xdr:colOff>367392</xdr:colOff>
      <xdr:row>32</xdr:row>
      <xdr:rowOff>54429</xdr:rowOff>
    </xdr:to>
    <xdr:sp macro="" textlink="">
      <xdr:nvSpPr>
        <xdr:cNvPr id="2" name="Rectangle: Rounded Corners 1">
          <a:extLst>
            <a:ext uri="{FF2B5EF4-FFF2-40B4-BE49-F238E27FC236}">
              <a16:creationId xmlns:a16="http://schemas.microsoft.com/office/drawing/2014/main" id="{084D67F6-2FFE-CF2D-B4C8-697F2FA28057}"/>
            </a:ext>
          </a:extLst>
        </xdr:cNvPr>
        <xdr:cNvSpPr/>
      </xdr:nvSpPr>
      <xdr:spPr>
        <a:xfrm>
          <a:off x="0" y="149679"/>
          <a:ext cx="12613821" cy="6000750"/>
        </a:xfrm>
        <a:prstGeom prst="roundRect">
          <a:avLst>
            <a:gd name="adj" fmla="val 6376"/>
          </a:avLst>
        </a:prstGeom>
        <a:solidFill>
          <a:srgbClr val="FBFA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230022</xdr:colOff>
      <xdr:row>15</xdr:row>
      <xdr:rowOff>1096</xdr:rowOff>
    </xdr:from>
    <xdr:to>
      <xdr:col>8</xdr:col>
      <xdr:colOff>339396</xdr:colOff>
      <xdr:row>30</xdr:row>
      <xdr:rowOff>173419</xdr:rowOff>
    </xdr:to>
    <xdr:sp macro="" textlink="">
      <xdr:nvSpPr>
        <xdr:cNvPr id="3" name="Rectangle: Rounded Corners 2">
          <a:extLst>
            <a:ext uri="{FF2B5EF4-FFF2-40B4-BE49-F238E27FC236}">
              <a16:creationId xmlns:a16="http://schemas.microsoft.com/office/drawing/2014/main" id="{9D722101-D8BE-B704-B10B-8C9DE0993676}"/>
            </a:ext>
          </a:extLst>
        </xdr:cNvPr>
        <xdr:cNvSpPr/>
      </xdr:nvSpPr>
      <xdr:spPr>
        <a:xfrm>
          <a:off x="843275" y="2936884"/>
          <a:ext cx="4402148" cy="3108110"/>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217322</xdr:colOff>
      <xdr:row>3</xdr:row>
      <xdr:rowOff>151524</xdr:rowOff>
    </xdr:from>
    <xdr:to>
      <xdr:col>4</xdr:col>
      <xdr:colOff>503620</xdr:colOff>
      <xdr:row>9</xdr:row>
      <xdr:rowOff>10949</xdr:rowOff>
    </xdr:to>
    <xdr:sp macro="" textlink="">
      <xdr:nvSpPr>
        <xdr:cNvPr id="5" name="Rectangle: Rounded Corners 4">
          <a:extLst>
            <a:ext uri="{FF2B5EF4-FFF2-40B4-BE49-F238E27FC236}">
              <a16:creationId xmlns:a16="http://schemas.microsoft.com/office/drawing/2014/main" id="{DC2488D2-4E4E-3AC8-6A7F-B7178A5A1DC4}"/>
            </a:ext>
          </a:extLst>
        </xdr:cNvPr>
        <xdr:cNvSpPr/>
      </xdr:nvSpPr>
      <xdr:spPr>
        <a:xfrm>
          <a:off x="823458" y="708180"/>
          <a:ext cx="2104707" cy="972737"/>
        </a:xfrm>
        <a:prstGeom prst="roundRect">
          <a:avLst>
            <a:gd name="adj" fmla="val 8138"/>
          </a:avLst>
        </a:prstGeom>
        <a:solidFill>
          <a:srgbClr val="0303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xdr:col>
      <xdr:colOff>249292</xdr:colOff>
      <xdr:row>9</xdr:row>
      <xdr:rowOff>74009</xdr:rowOff>
    </xdr:from>
    <xdr:to>
      <xdr:col>4</xdr:col>
      <xdr:colOff>535590</xdr:colOff>
      <xdr:row>14</xdr:row>
      <xdr:rowOff>119554</xdr:rowOff>
    </xdr:to>
    <xdr:sp macro="" textlink="">
      <xdr:nvSpPr>
        <xdr:cNvPr id="9" name="Rectangle: Rounded Corners 8">
          <a:extLst>
            <a:ext uri="{FF2B5EF4-FFF2-40B4-BE49-F238E27FC236}">
              <a16:creationId xmlns:a16="http://schemas.microsoft.com/office/drawing/2014/main" id="{5DAA3B1F-D339-E7E9-E60A-0CDEBEF2D879}"/>
            </a:ext>
          </a:extLst>
        </xdr:cNvPr>
        <xdr:cNvSpPr/>
      </xdr:nvSpPr>
      <xdr:spPr>
        <a:xfrm>
          <a:off x="861613" y="1788509"/>
          <a:ext cx="2123263" cy="998045"/>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576863</xdr:colOff>
      <xdr:row>9</xdr:row>
      <xdr:rowOff>73134</xdr:rowOff>
    </xdr:from>
    <xdr:to>
      <xdr:col>8</xdr:col>
      <xdr:colOff>250058</xdr:colOff>
      <xdr:row>14</xdr:row>
      <xdr:rowOff>118679</xdr:rowOff>
    </xdr:to>
    <xdr:sp macro="" textlink="">
      <xdr:nvSpPr>
        <xdr:cNvPr id="10" name="Rectangle: Rounded Corners 9">
          <a:extLst>
            <a:ext uri="{FF2B5EF4-FFF2-40B4-BE49-F238E27FC236}">
              <a16:creationId xmlns:a16="http://schemas.microsoft.com/office/drawing/2014/main" id="{E416FC8B-EE68-4993-0A02-430AC0EDAF4E}"/>
            </a:ext>
          </a:extLst>
        </xdr:cNvPr>
        <xdr:cNvSpPr/>
      </xdr:nvSpPr>
      <xdr:spPr>
        <a:xfrm>
          <a:off x="3001408" y="1743102"/>
          <a:ext cx="2097741" cy="973304"/>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555843</xdr:colOff>
      <xdr:row>3</xdr:row>
      <xdr:rowOff>161596</xdr:rowOff>
    </xdr:from>
    <xdr:to>
      <xdr:col>8</xdr:col>
      <xdr:colOff>229038</xdr:colOff>
      <xdr:row>9</xdr:row>
      <xdr:rowOff>21021</xdr:rowOff>
    </xdr:to>
    <xdr:sp macro="" textlink="">
      <xdr:nvSpPr>
        <xdr:cNvPr id="11" name="Rectangle: Rounded Corners 10">
          <a:extLst>
            <a:ext uri="{FF2B5EF4-FFF2-40B4-BE49-F238E27FC236}">
              <a16:creationId xmlns:a16="http://schemas.microsoft.com/office/drawing/2014/main" id="{A6A9D33C-0F2F-0830-0B07-CF41A404A0D8}"/>
            </a:ext>
          </a:extLst>
        </xdr:cNvPr>
        <xdr:cNvSpPr/>
      </xdr:nvSpPr>
      <xdr:spPr>
        <a:xfrm>
          <a:off x="3008257" y="719958"/>
          <a:ext cx="2125609" cy="976149"/>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442855</xdr:colOff>
      <xdr:row>17</xdr:row>
      <xdr:rowOff>98534</xdr:rowOff>
    </xdr:from>
    <xdr:to>
      <xdr:col>14</xdr:col>
      <xdr:colOff>469024</xdr:colOff>
      <xdr:row>30</xdr:row>
      <xdr:rowOff>173419</xdr:rowOff>
    </xdr:to>
    <xdr:sp macro="" textlink="">
      <xdr:nvSpPr>
        <xdr:cNvPr id="16" name="Rectangle: Rounded Corners 15">
          <a:extLst>
            <a:ext uri="{FF2B5EF4-FFF2-40B4-BE49-F238E27FC236}">
              <a16:creationId xmlns:a16="http://schemas.microsoft.com/office/drawing/2014/main" id="{4AE39F9A-8321-C733-D465-B30FAB5DF7A7}"/>
            </a:ext>
          </a:extLst>
        </xdr:cNvPr>
        <xdr:cNvSpPr/>
      </xdr:nvSpPr>
      <xdr:spPr>
        <a:xfrm>
          <a:off x="5347683" y="3262586"/>
          <a:ext cx="3704789" cy="2494454"/>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431031</xdr:colOff>
      <xdr:row>3</xdr:row>
      <xdr:rowOff>163348</xdr:rowOff>
    </xdr:from>
    <xdr:to>
      <xdr:col>14</xdr:col>
      <xdr:colOff>457200</xdr:colOff>
      <xdr:row>17</xdr:row>
      <xdr:rowOff>52112</xdr:rowOff>
    </xdr:to>
    <xdr:sp macro="" textlink="">
      <xdr:nvSpPr>
        <xdr:cNvPr id="17" name="Rectangle: Rounded Corners 16">
          <a:extLst>
            <a:ext uri="{FF2B5EF4-FFF2-40B4-BE49-F238E27FC236}">
              <a16:creationId xmlns:a16="http://schemas.microsoft.com/office/drawing/2014/main" id="{7B6AFD1E-A850-6F1F-51B4-62AD9A809481}"/>
            </a:ext>
          </a:extLst>
        </xdr:cNvPr>
        <xdr:cNvSpPr/>
      </xdr:nvSpPr>
      <xdr:spPr>
        <a:xfrm>
          <a:off x="5335859" y="721710"/>
          <a:ext cx="3704789" cy="2494454"/>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517743</xdr:colOff>
      <xdr:row>11</xdr:row>
      <xdr:rowOff>65240</xdr:rowOff>
    </xdr:from>
    <xdr:to>
      <xdr:col>20</xdr:col>
      <xdr:colOff>153277</xdr:colOff>
      <xdr:row>30</xdr:row>
      <xdr:rowOff>173419</xdr:rowOff>
    </xdr:to>
    <xdr:sp macro="" textlink="">
      <xdr:nvSpPr>
        <xdr:cNvPr id="18" name="Rectangle: Rounded Corners 17">
          <a:extLst>
            <a:ext uri="{FF2B5EF4-FFF2-40B4-BE49-F238E27FC236}">
              <a16:creationId xmlns:a16="http://schemas.microsoft.com/office/drawing/2014/main" id="{58BF9241-46E4-EC04-3992-DF459BD42DBA}"/>
            </a:ext>
          </a:extLst>
        </xdr:cNvPr>
        <xdr:cNvSpPr/>
      </xdr:nvSpPr>
      <xdr:spPr>
        <a:xfrm>
          <a:off x="9103291" y="2218151"/>
          <a:ext cx="3315054" cy="3826843"/>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145521</xdr:colOff>
      <xdr:row>3</xdr:row>
      <xdr:rowOff>158403</xdr:rowOff>
    </xdr:from>
    <xdr:to>
      <xdr:col>1</xdr:col>
      <xdr:colOff>79375</xdr:colOff>
      <xdr:row>30</xdr:row>
      <xdr:rowOff>52917</xdr:rowOff>
    </xdr:to>
    <xdr:sp macro="" textlink="">
      <xdr:nvSpPr>
        <xdr:cNvPr id="19" name="Rectangle: Rounded Corners 18">
          <a:extLst>
            <a:ext uri="{FF2B5EF4-FFF2-40B4-BE49-F238E27FC236}">
              <a16:creationId xmlns:a16="http://schemas.microsoft.com/office/drawing/2014/main" id="{2CC6FDA5-38D4-7D32-2FD8-B640366CD67B}"/>
            </a:ext>
          </a:extLst>
        </xdr:cNvPr>
        <xdr:cNvSpPr/>
      </xdr:nvSpPr>
      <xdr:spPr>
        <a:xfrm>
          <a:off x="145521" y="729903"/>
          <a:ext cx="546175" cy="5038014"/>
        </a:xfrm>
        <a:prstGeom prst="roundRect">
          <a:avLst>
            <a:gd name="adj" fmla="val 8138"/>
          </a:avLst>
        </a:prstGeom>
        <a:solidFill>
          <a:srgbClr val="0303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508870</xdr:colOff>
      <xdr:row>18</xdr:row>
      <xdr:rowOff>26097</xdr:rowOff>
    </xdr:from>
    <xdr:to>
      <xdr:col>14</xdr:col>
      <xdr:colOff>365342</xdr:colOff>
      <xdr:row>30</xdr:row>
      <xdr:rowOff>104385</xdr:rowOff>
    </xdr:to>
    <xdr:graphicFrame macro="">
      <xdr:nvGraphicFramePr>
        <xdr:cNvPr id="20" name="Chart 19">
          <a:extLst>
            <a:ext uri="{FF2B5EF4-FFF2-40B4-BE49-F238E27FC236}">
              <a16:creationId xmlns:a16="http://schemas.microsoft.com/office/drawing/2014/main" id="{B7484C94-CDE6-45FF-AD28-908C328BF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519097</xdr:colOff>
      <xdr:row>15</xdr:row>
      <xdr:rowOff>116196</xdr:rowOff>
    </xdr:from>
    <xdr:to>
      <xdr:col>7</xdr:col>
      <xdr:colOff>39144</xdr:colOff>
      <xdr:row>17</xdr:row>
      <xdr:rowOff>51838</xdr:rowOff>
    </xdr:to>
    <xdr:sp macro="" textlink="">
      <xdr:nvSpPr>
        <xdr:cNvPr id="21" name="TextBox 20">
          <a:extLst>
            <a:ext uri="{FF2B5EF4-FFF2-40B4-BE49-F238E27FC236}">
              <a16:creationId xmlns:a16="http://schemas.microsoft.com/office/drawing/2014/main" id="{A8F46367-6E41-7153-E4E9-90DBE9603286}"/>
            </a:ext>
          </a:extLst>
        </xdr:cNvPr>
        <xdr:cNvSpPr txBox="1"/>
      </xdr:nvSpPr>
      <xdr:spPr>
        <a:xfrm>
          <a:off x="1745604" y="3051984"/>
          <a:ext cx="2586314" cy="32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Total Revenue By</a:t>
          </a:r>
          <a:r>
            <a:rPr lang="en-US" sz="1400" b="1" baseline="0">
              <a:solidFill>
                <a:schemeClr val="bg2"/>
              </a:solidFill>
            </a:rPr>
            <a:t> Month</a:t>
          </a:r>
          <a:endParaRPr lang="en-NG" sz="1400" b="1">
            <a:solidFill>
              <a:schemeClr val="bg2"/>
            </a:solidFill>
          </a:endParaRPr>
        </a:p>
      </xdr:txBody>
    </xdr:sp>
    <xdr:clientData/>
  </xdr:twoCellAnchor>
  <xdr:twoCellAnchor>
    <xdr:from>
      <xdr:col>8</xdr:col>
      <xdr:colOff>521874</xdr:colOff>
      <xdr:row>6</xdr:row>
      <xdr:rowOff>65258</xdr:rowOff>
    </xdr:from>
    <xdr:to>
      <xdr:col>14</xdr:col>
      <xdr:colOff>399020</xdr:colOff>
      <xdr:row>16</xdr:row>
      <xdr:rowOff>154460</xdr:rowOff>
    </xdr:to>
    <xdr:graphicFrame macro="">
      <xdr:nvGraphicFramePr>
        <xdr:cNvPr id="22" name="Chart 21">
          <a:extLst>
            <a:ext uri="{FF2B5EF4-FFF2-40B4-BE49-F238E27FC236}">
              <a16:creationId xmlns:a16="http://schemas.microsoft.com/office/drawing/2014/main" id="{B76C9988-D5B9-4D06-B367-67EC8271F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358345</xdr:colOff>
      <xdr:row>4</xdr:row>
      <xdr:rowOff>33734</xdr:rowOff>
    </xdr:from>
    <xdr:to>
      <xdr:col>13</xdr:col>
      <xdr:colOff>548013</xdr:colOff>
      <xdr:row>5</xdr:row>
      <xdr:rowOff>165095</xdr:rowOff>
    </xdr:to>
    <xdr:sp macro="" textlink="">
      <xdr:nvSpPr>
        <xdr:cNvPr id="23" name="TextBox 22">
          <a:extLst>
            <a:ext uri="{FF2B5EF4-FFF2-40B4-BE49-F238E27FC236}">
              <a16:creationId xmlns:a16="http://schemas.microsoft.com/office/drawing/2014/main" id="{D62C8B22-C933-6DA9-C957-15C94DA1DD7E}"/>
            </a:ext>
          </a:extLst>
        </xdr:cNvPr>
        <xdr:cNvSpPr txBox="1"/>
      </xdr:nvSpPr>
      <xdr:spPr>
        <a:xfrm>
          <a:off x="5877626" y="816611"/>
          <a:ext cx="2642682" cy="32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Total Revenue By Sales</a:t>
          </a:r>
          <a:r>
            <a:rPr lang="en-US" sz="1400" b="1" baseline="0">
              <a:solidFill>
                <a:schemeClr val="bg2"/>
              </a:solidFill>
            </a:rPr>
            <a:t> Agent</a:t>
          </a:r>
        </a:p>
      </xdr:txBody>
    </xdr:sp>
    <xdr:clientData/>
  </xdr:twoCellAnchor>
  <xdr:twoCellAnchor>
    <xdr:from>
      <xdr:col>9</xdr:col>
      <xdr:colOff>162627</xdr:colOff>
      <xdr:row>18</xdr:row>
      <xdr:rowOff>7638</xdr:rowOff>
    </xdr:from>
    <xdr:to>
      <xdr:col>14</xdr:col>
      <xdr:colOff>265598</xdr:colOff>
      <xdr:row>19</xdr:row>
      <xdr:rowOff>138999</xdr:rowOff>
    </xdr:to>
    <xdr:sp macro="" textlink="">
      <xdr:nvSpPr>
        <xdr:cNvPr id="29" name="TextBox 28">
          <a:extLst>
            <a:ext uri="{FF2B5EF4-FFF2-40B4-BE49-F238E27FC236}">
              <a16:creationId xmlns:a16="http://schemas.microsoft.com/office/drawing/2014/main" id="{F461F717-2C4D-23AC-CC50-42E056C167C6}"/>
            </a:ext>
          </a:extLst>
        </xdr:cNvPr>
        <xdr:cNvSpPr txBox="1"/>
      </xdr:nvSpPr>
      <xdr:spPr>
        <a:xfrm>
          <a:off x="5681908" y="3530583"/>
          <a:ext cx="3169238" cy="32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Total Revenue By Region And</a:t>
          </a:r>
          <a:r>
            <a:rPr lang="en-US" sz="1400" b="1" baseline="0">
              <a:solidFill>
                <a:schemeClr val="bg2"/>
              </a:solidFill>
            </a:rPr>
            <a:t> Product</a:t>
          </a:r>
          <a:endParaRPr lang="en-NG" sz="1400" b="1">
            <a:solidFill>
              <a:schemeClr val="bg2"/>
            </a:solidFill>
          </a:endParaRPr>
        </a:p>
      </xdr:txBody>
    </xdr:sp>
    <xdr:clientData/>
  </xdr:twoCellAnchor>
  <xdr:twoCellAnchor>
    <xdr:from>
      <xdr:col>1</xdr:col>
      <xdr:colOff>339246</xdr:colOff>
      <xdr:row>17</xdr:row>
      <xdr:rowOff>91336</xdr:rowOff>
    </xdr:from>
    <xdr:to>
      <xdr:col>8</xdr:col>
      <xdr:colOff>247911</xdr:colOff>
      <xdr:row>30</xdr:row>
      <xdr:rowOff>65239</xdr:rowOff>
    </xdr:to>
    <xdr:graphicFrame macro="">
      <xdr:nvGraphicFramePr>
        <xdr:cNvPr id="30" name="Chart 29">
          <a:extLst>
            <a:ext uri="{FF2B5EF4-FFF2-40B4-BE49-F238E27FC236}">
              <a16:creationId xmlns:a16="http://schemas.microsoft.com/office/drawing/2014/main" id="{3FDA64D5-F9D6-4F15-BB69-06E36585A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582983</xdr:colOff>
      <xdr:row>15</xdr:row>
      <xdr:rowOff>18317</xdr:rowOff>
    </xdr:from>
    <xdr:to>
      <xdr:col>20</xdr:col>
      <xdr:colOff>104385</xdr:colOff>
      <xdr:row>30</xdr:row>
      <xdr:rowOff>130480</xdr:rowOff>
    </xdr:to>
    <xdr:graphicFrame macro="">
      <xdr:nvGraphicFramePr>
        <xdr:cNvPr id="32" name="Chart 31">
          <a:extLst>
            <a:ext uri="{FF2B5EF4-FFF2-40B4-BE49-F238E27FC236}">
              <a16:creationId xmlns:a16="http://schemas.microsoft.com/office/drawing/2014/main" id="{201509AC-0D8A-4018-B2D9-2E0021B43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380267</xdr:colOff>
      <xdr:row>12</xdr:row>
      <xdr:rowOff>47352</xdr:rowOff>
    </xdr:from>
    <xdr:to>
      <xdr:col>19</xdr:col>
      <xdr:colOff>252996</xdr:colOff>
      <xdr:row>13</xdr:row>
      <xdr:rowOff>188880</xdr:rowOff>
    </xdr:to>
    <xdr:sp macro="" textlink="">
      <xdr:nvSpPr>
        <xdr:cNvPr id="33" name="TextBox 32">
          <a:extLst>
            <a:ext uri="{FF2B5EF4-FFF2-40B4-BE49-F238E27FC236}">
              <a16:creationId xmlns:a16="http://schemas.microsoft.com/office/drawing/2014/main" id="{9A929766-5CA1-262E-8C41-CF362A1EA7D7}"/>
            </a:ext>
          </a:extLst>
        </xdr:cNvPr>
        <xdr:cNvSpPr txBox="1"/>
      </xdr:nvSpPr>
      <xdr:spPr>
        <a:xfrm>
          <a:off x="9579068" y="2395982"/>
          <a:ext cx="2325743" cy="33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2"/>
              </a:solidFill>
            </a:rPr>
            <a:t>Products By Gross Profit</a:t>
          </a:r>
        </a:p>
      </xdr:txBody>
    </xdr:sp>
    <xdr:clientData/>
  </xdr:twoCellAnchor>
  <xdr:twoCellAnchor editAs="oneCell">
    <xdr:from>
      <xdr:col>14</xdr:col>
      <xdr:colOff>526523</xdr:colOff>
      <xdr:row>4</xdr:row>
      <xdr:rowOff>27976</xdr:rowOff>
    </xdr:from>
    <xdr:to>
      <xdr:col>20</xdr:col>
      <xdr:colOff>83801</xdr:colOff>
      <xdr:row>10</xdr:row>
      <xdr:rowOff>146397</xdr:rowOff>
    </xdr:to>
    <mc:AlternateContent xmlns:mc="http://schemas.openxmlformats.org/markup-compatibility/2006" xmlns:tsle="http://schemas.microsoft.com/office/drawing/2012/timeslicer">
      <mc:Choice Requires="tsle">
        <xdr:graphicFrame macro="">
          <xdr:nvGraphicFramePr>
            <xdr:cNvPr id="35" name="OrderDate 1">
              <a:extLst>
                <a:ext uri="{FF2B5EF4-FFF2-40B4-BE49-F238E27FC236}">
                  <a16:creationId xmlns:a16="http://schemas.microsoft.com/office/drawing/2014/main" id="{EB0DC90E-324A-4422-88C3-9BFD4AAB5B5D}"/>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9012432" y="778431"/>
              <a:ext cx="3194096" cy="124410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1</xdr:col>
      <xdr:colOff>395846</xdr:colOff>
      <xdr:row>1</xdr:row>
      <xdr:rowOff>86591</xdr:rowOff>
    </xdr:from>
    <xdr:to>
      <xdr:col>5</xdr:col>
      <xdr:colOff>470066</xdr:colOff>
      <xdr:row>3</xdr:row>
      <xdr:rowOff>24740</xdr:rowOff>
    </xdr:to>
    <xdr:sp macro="" textlink="">
      <xdr:nvSpPr>
        <xdr:cNvPr id="36" name="TextBox 35">
          <a:extLst>
            <a:ext uri="{FF2B5EF4-FFF2-40B4-BE49-F238E27FC236}">
              <a16:creationId xmlns:a16="http://schemas.microsoft.com/office/drawing/2014/main" id="{493B19D6-7183-7E25-8387-8AE787B12658}"/>
            </a:ext>
          </a:extLst>
        </xdr:cNvPr>
        <xdr:cNvSpPr txBox="1"/>
      </xdr:nvSpPr>
      <xdr:spPr>
        <a:xfrm>
          <a:off x="1001982" y="272143"/>
          <a:ext cx="2498766" cy="30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 DASHBOARD</a:t>
          </a:r>
          <a:endParaRPr lang="en-NG" sz="2000" b="1"/>
        </a:p>
      </xdr:txBody>
    </xdr:sp>
    <xdr:clientData/>
  </xdr:twoCellAnchor>
  <xdr:twoCellAnchor>
    <xdr:from>
      <xdr:col>1</xdr:col>
      <xdr:colOff>284513</xdr:colOff>
      <xdr:row>4</xdr:row>
      <xdr:rowOff>12370</xdr:rowOff>
    </xdr:from>
    <xdr:to>
      <xdr:col>3</xdr:col>
      <xdr:colOff>457695</xdr:colOff>
      <xdr:row>5</xdr:row>
      <xdr:rowOff>148441</xdr:rowOff>
    </xdr:to>
    <xdr:sp macro="" textlink="">
      <xdr:nvSpPr>
        <xdr:cNvPr id="37" name="TextBox 36">
          <a:extLst>
            <a:ext uri="{FF2B5EF4-FFF2-40B4-BE49-F238E27FC236}">
              <a16:creationId xmlns:a16="http://schemas.microsoft.com/office/drawing/2014/main" id="{6E56D087-6DD0-E11B-79BB-83B8F5E995F1}"/>
            </a:ext>
          </a:extLst>
        </xdr:cNvPr>
        <xdr:cNvSpPr txBox="1"/>
      </xdr:nvSpPr>
      <xdr:spPr>
        <a:xfrm>
          <a:off x="890649" y="754578"/>
          <a:ext cx="1385455"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TOTAL</a:t>
          </a:r>
          <a:r>
            <a:rPr lang="en-US" sz="1200" b="1"/>
            <a:t> </a:t>
          </a:r>
          <a:r>
            <a:rPr lang="en-US" sz="1200" b="1">
              <a:solidFill>
                <a:schemeClr val="bg2"/>
              </a:solidFill>
            </a:rPr>
            <a:t>REVENUE</a:t>
          </a:r>
          <a:endParaRPr lang="en-NG" sz="1200" b="1">
            <a:solidFill>
              <a:schemeClr val="bg2"/>
            </a:solidFill>
          </a:endParaRPr>
        </a:p>
      </xdr:txBody>
    </xdr:sp>
    <xdr:clientData/>
  </xdr:twoCellAnchor>
  <xdr:twoCellAnchor>
    <xdr:from>
      <xdr:col>1</xdr:col>
      <xdr:colOff>325582</xdr:colOff>
      <xdr:row>9</xdr:row>
      <xdr:rowOff>140030</xdr:rowOff>
    </xdr:from>
    <xdr:to>
      <xdr:col>3</xdr:col>
      <xdr:colOff>498764</xdr:colOff>
      <xdr:row>11</xdr:row>
      <xdr:rowOff>90550</xdr:rowOff>
    </xdr:to>
    <xdr:sp macro="" textlink="">
      <xdr:nvSpPr>
        <xdr:cNvPr id="38" name="TextBox 37">
          <a:extLst>
            <a:ext uri="{FF2B5EF4-FFF2-40B4-BE49-F238E27FC236}">
              <a16:creationId xmlns:a16="http://schemas.microsoft.com/office/drawing/2014/main" id="{481FC4B8-19A2-8808-5CC2-F9DB1FDE0D2B}"/>
            </a:ext>
          </a:extLst>
        </xdr:cNvPr>
        <xdr:cNvSpPr txBox="1"/>
      </xdr:nvSpPr>
      <xdr:spPr>
        <a:xfrm>
          <a:off x="931718" y="1809998"/>
          <a:ext cx="1385455"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PROFIT</a:t>
          </a:r>
          <a:r>
            <a:rPr lang="en-US" sz="1200" b="1" baseline="0">
              <a:solidFill>
                <a:schemeClr val="bg2"/>
              </a:solidFill>
            </a:rPr>
            <a:t> MARGIN</a:t>
          </a:r>
          <a:endParaRPr lang="en-NG" sz="1200" b="1">
            <a:solidFill>
              <a:schemeClr val="bg2"/>
            </a:solidFill>
          </a:endParaRPr>
        </a:p>
      </xdr:txBody>
    </xdr:sp>
    <xdr:clientData/>
  </xdr:twoCellAnchor>
  <xdr:twoCellAnchor>
    <xdr:from>
      <xdr:col>5</xdr:col>
      <xdr:colOff>57397</xdr:colOff>
      <xdr:row>4</xdr:row>
      <xdr:rowOff>69769</xdr:rowOff>
    </xdr:from>
    <xdr:to>
      <xdr:col>7</xdr:col>
      <xdr:colOff>230579</xdr:colOff>
      <xdr:row>6</xdr:row>
      <xdr:rowOff>20288</xdr:rowOff>
    </xdr:to>
    <xdr:sp macro="" textlink="">
      <xdr:nvSpPr>
        <xdr:cNvPr id="39" name="TextBox 38">
          <a:extLst>
            <a:ext uri="{FF2B5EF4-FFF2-40B4-BE49-F238E27FC236}">
              <a16:creationId xmlns:a16="http://schemas.microsoft.com/office/drawing/2014/main" id="{3CE2417E-8891-0F51-8ED3-0963445AAEC3}"/>
            </a:ext>
          </a:extLst>
        </xdr:cNvPr>
        <xdr:cNvSpPr txBox="1"/>
      </xdr:nvSpPr>
      <xdr:spPr>
        <a:xfrm>
          <a:off x="3088079" y="811977"/>
          <a:ext cx="1385455"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TOTAL</a:t>
          </a:r>
          <a:r>
            <a:rPr lang="en-US" sz="1200" b="1"/>
            <a:t> </a:t>
          </a:r>
          <a:r>
            <a:rPr lang="en-US" sz="1200" b="1">
              <a:solidFill>
                <a:schemeClr val="bg2"/>
              </a:solidFill>
            </a:rPr>
            <a:t>QUANTITY</a:t>
          </a:r>
          <a:endParaRPr lang="en-NG" sz="1200" b="1">
            <a:solidFill>
              <a:schemeClr val="bg2"/>
            </a:solidFill>
          </a:endParaRPr>
        </a:p>
      </xdr:txBody>
    </xdr:sp>
    <xdr:clientData/>
  </xdr:twoCellAnchor>
  <xdr:twoCellAnchor>
    <xdr:from>
      <xdr:col>8</xdr:col>
      <xdr:colOff>395349</xdr:colOff>
      <xdr:row>0</xdr:row>
      <xdr:rowOff>0</xdr:rowOff>
    </xdr:from>
    <xdr:to>
      <xdr:col>10</xdr:col>
      <xdr:colOff>568531</xdr:colOff>
      <xdr:row>0</xdr:row>
      <xdr:rowOff>135579</xdr:rowOff>
    </xdr:to>
    <xdr:sp macro="" textlink="">
      <xdr:nvSpPr>
        <xdr:cNvPr id="40" name="TextBox 39">
          <a:extLst>
            <a:ext uri="{FF2B5EF4-FFF2-40B4-BE49-F238E27FC236}">
              <a16:creationId xmlns:a16="http://schemas.microsoft.com/office/drawing/2014/main" id="{BCFB9DD6-476D-BB9F-5E81-AB9C4758B38E}"/>
            </a:ext>
          </a:extLst>
        </xdr:cNvPr>
        <xdr:cNvSpPr txBox="1"/>
      </xdr:nvSpPr>
      <xdr:spPr>
        <a:xfrm>
          <a:off x="5244440" y="0"/>
          <a:ext cx="1385455" cy="135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TOTAL</a:t>
          </a:r>
          <a:r>
            <a:rPr lang="en-US" sz="1200" b="1"/>
            <a:t> </a:t>
          </a:r>
          <a:r>
            <a:rPr lang="en-US" sz="1200" b="1">
              <a:solidFill>
                <a:schemeClr val="bg2"/>
              </a:solidFill>
            </a:rPr>
            <a:t>REVENUE</a:t>
          </a:r>
          <a:endParaRPr lang="en-NG" sz="1200" b="1">
            <a:solidFill>
              <a:schemeClr val="bg2"/>
            </a:solidFill>
          </a:endParaRPr>
        </a:p>
      </xdr:txBody>
    </xdr:sp>
    <xdr:clientData/>
  </xdr:twoCellAnchor>
  <xdr:twoCellAnchor>
    <xdr:from>
      <xdr:col>5</xdr:col>
      <xdr:colOff>24245</xdr:colOff>
      <xdr:row>9</xdr:row>
      <xdr:rowOff>160318</xdr:rowOff>
    </xdr:from>
    <xdr:to>
      <xdr:col>7</xdr:col>
      <xdr:colOff>197427</xdr:colOff>
      <xdr:row>11</xdr:row>
      <xdr:rowOff>110838</xdr:rowOff>
    </xdr:to>
    <xdr:sp macro="" textlink="">
      <xdr:nvSpPr>
        <xdr:cNvPr id="41" name="TextBox 40">
          <a:extLst>
            <a:ext uri="{FF2B5EF4-FFF2-40B4-BE49-F238E27FC236}">
              <a16:creationId xmlns:a16="http://schemas.microsoft.com/office/drawing/2014/main" id="{7FA9AA64-DCCB-F469-12DA-E9A0E010CD68}"/>
            </a:ext>
          </a:extLst>
        </xdr:cNvPr>
        <xdr:cNvSpPr txBox="1"/>
      </xdr:nvSpPr>
      <xdr:spPr>
        <a:xfrm>
          <a:off x="3054927" y="1830286"/>
          <a:ext cx="1385455"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GROSS</a:t>
          </a:r>
          <a:r>
            <a:rPr lang="en-US" sz="1200" b="1" baseline="0">
              <a:solidFill>
                <a:schemeClr val="bg2"/>
              </a:solidFill>
            </a:rPr>
            <a:t> PROFIT</a:t>
          </a:r>
          <a:endParaRPr lang="en-NG" sz="1200" b="1">
            <a:solidFill>
              <a:schemeClr val="bg2"/>
            </a:solidFill>
          </a:endParaRPr>
        </a:p>
      </xdr:txBody>
    </xdr:sp>
    <xdr:clientData/>
  </xdr:twoCellAnchor>
  <xdr:twoCellAnchor>
    <xdr:from>
      <xdr:col>1</xdr:col>
      <xdr:colOff>337951</xdr:colOff>
      <xdr:row>6</xdr:row>
      <xdr:rowOff>98962</xdr:rowOff>
    </xdr:from>
    <xdr:to>
      <xdr:col>3</xdr:col>
      <xdr:colOff>511133</xdr:colOff>
      <xdr:row>8</xdr:row>
      <xdr:rowOff>152402</xdr:rowOff>
    </xdr:to>
    <xdr:sp macro="" textlink="'PIVOT TABLE'!F10">
      <xdr:nvSpPr>
        <xdr:cNvPr id="43" name="TextBox 42">
          <a:extLst>
            <a:ext uri="{FF2B5EF4-FFF2-40B4-BE49-F238E27FC236}">
              <a16:creationId xmlns:a16="http://schemas.microsoft.com/office/drawing/2014/main" id="{31B2B6AF-2C1A-69E3-10B3-B350D44A6DCC}"/>
            </a:ext>
          </a:extLst>
        </xdr:cNvPr>
        <xdr:cNvSpPr txBox="1"/>
      </xdr:nvSpPr>
      <xdr:spPr>
        <a:xfrm>
          <a:off x="944087" y="1212274"/>
          <a:ext cx="1385455" cy="42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BD0637-F8E6-47FA-A6FB-3FA36AA46DEB}" type="TxLink">
            <a:rPr lang="en-US" sz="1800" b="0" i="0" u="none" strike="noStrike">
              <a:solidFill>
                <a:schemeClr val="bg2"/>
              </a:solidFill>
              <a:latin typeface="Calibri"/>
              <a:ea typeface="Calibri"/>
              <a:cs typeface="Calibri"/>
            </a:rPr>
            <a:pPr/>
            <a:t>₦2,831.2M</a:t>
          </a:fld>
          <a:endParaRPr lang="en-NG" sz="1800" b="1">
            <a:solidFill>
              <a:schemeClr val="bg2"/>
            </a:solidFill>
          </a:endParaRPr>
        </a:p>
      </xdr:txBody>
    </xdr:sp>
    <xdr:clientData/>
  </xdr:twoCellAnchor>
  <xdr:twoCellAnchor>
    <xdr:from>
      <xdr:col>1</xdr:col>
      <xdr:colOff>354279</xdr:colOff>
      <xdr:row>12</xdr:row>
      <xdr:rowOff>3960</xdr:rowOff>
    </xdr:from>
    <xdr:to>
      <xdr:col>3</xdr:col>
      <xdr:colOff>527461</xdr:colOff>
      <xdr:row>14</xdr:row>
      <xdr:rowOff>57400</xdr:rowOff>
    </xdr:to>
    <xdr:sp macro="" textlink="'PIVOT TABLE'!F10">
      <xdr:nvSpPr>
        <xdr:cNvPr id="44" name="TextBox 43">
          <a:extLst>
            <a:ext uri="{FF2B5EF4-FFF2-40B4-BE49-F238E27FC236}">
              <a16:creationId xmlns:a16="http://schemas.microsoft.com/office/drawing/2014/main" id="{B081EC4D-F4AD-CBDD-9185-9418A277A6C0}"/>
            </a:ext>
          </a:extLst>
        </xdr:cNvPr>
        <xdr:cNvSpPr txBox="1"/>
      </xdr:nvSpPr>
      <xdr:spPr>
        <a:xfrm>
          <a:off x="960415" y="2230583"/>
          <a:ext cx="1385455" cy="42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solidFill>
            </a:rPr>
            <a:t>30%</a:t>
          </a:r>
          <a:endParaRPr lang="en-NG" sz="1800" b="1">
            <a:solidFill>
              <a:schemeClr val="bg2"/>
            </a:solidFill>
          </a:endParaRPr>
        </a:p>
      </xdr:txBody>
    </xdr:sp>
    <xdr:clientData/>
  </xdr:twoCellAnchor>
  <xdr:twoCellAnchor>
    <xdr:from>
      <xdr:col>5</xdr:col>
      <xdr:colOff>156357</xdr:colOff>
      <xdr:row>6</xdr:row>
      <xdr:rowOff>115290</xdr:rowOff>
    </xdr:from>
    <xdr:to>
      <xdr:col>6</xdr:col>
      <xdr:colOff>569026</xdr:colOff>
      <xdr:row>8</xdr:row>
      <xdr:rowOff>148441</xdr:rowOff>
    </xdr:to>
    <xdr:sp macro="" textlink="'PIVOT TABLE'!C57">
      <xdr:nvSpPr>
        <xdr:cNvPr id="45" name="TextBox 44">
          <a:extLst>
            <a:ext uri="{FF2B5EF4-FFF2-40B4-BE49-F238E27FC236}">
              <a16:creationId xmlns:a16="http://schemas.microsoft.com/office/drawing/2014/main" id="{6F2EAE27-266C-7520-B528-B397A58B50E6}"/>
            </a:ext>
          </a:extLst>
        </xdr:cNvPr>
        <xdr:cNvSpPr txBox="1"/>
      </xdr:nvSpPr>
      <xdr:spPr>
        <a:xfrm>
          <a:off x="3187039" y="1228602"/>
          <a:ext cx="1018805" cy="40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28C7D1-BE6F-42AF-9AA3-6F2DA4C469B0}" type="TxLink">
            <a:rPr lang="en-US" sz="1800" b="0" i="0" u="none" strike="noStrike">
              <a:solidFill>
                <a:schemeClr val="bg2"/>
              </a:solidFill>
              <a:latin typeface="Calibri"/>
              <a:ea typeface="Calibri"/>
              <a:cs typeface="Calibri"/>
            </a:rPr>
            <a:pPr/>
            <a:t>1.2K</a:t>
          </a:fld>
          <a:endParaRPr lang="en-NG" sz="1800" b="1">
            <a:solidFill>
              <a:schemeClr val="bg2"/>
            </a:solidFill>
          </a:endParaRPr>
        </a:p>
      </xdr:txBody>
    </xdr:sp>
    <xdr:clientData/>
  </xdr:twoCellAnchor>
  <xdr:twoCellAnchor>
    <xdr:from>
      <xdr:col>5</xdr:col>
      <xdr:colOff>98464</xdr:colOff>
      <xdr:row>11</xdr:row>
      <xdr:rowOff>168731</xdr:rowOff>
    </xdr:from>
    <xdr:to>
      <xdr:col>7</xdr:col>
      <xdr:colOff>271646</xdr:colOff>
      <xdr:row>14</xdr:row>
      <xdr:rowOff>36619</xdr:rowOff>
    </xdr:to>
    <xdr:sp macro="" textlink="'PIVOT TABLE'!D57">
      <xdr:nvSpPr>
        <xdr:cNvPr id="46" name="TextBox 45">
          <a:extLst>
            <a:ext uri="{FF2B5EF4-FFF2-40B4-BE49-F238E27FC236}">
              <a16:creationId xmlns:a16="http://schemas.microsoft.com/office/drawing/2014/main" id="{39EDD432-E06F-4DAC-5F28-A4659782FB52}"/>
            </a:ext>
          </a:extLst>
        </xdr:cNvPr>
        <xdr:cNvSpPr txBox="1"/>
      </xdr:nvSpPr>
      <xdr:spPr>
        <a:xfrm>
          <a:off x="3129146" y="2209802"/>
          <a:ext cx="1385455" cy="42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44061-162D-41C9-8498-D5521EE811E5}" type="TxLink">
            <a:rPr lang="en-US" sz="1800" b="0" i="0" u="none" strike="noStrike">
              <a:solidFill>
                <a:schemeClr val="bg2"/>
              </a:solidFill>
              <a:latin typeface="Calibri"/>
              <a:ea typeface="Calibri"/>
              <a:cs typeface="Calibri"/>
            </a:rPr>
            <a:pPr/>
            <a:t>₦849.4M</a:t>
          </a:fld>
          <a:endParaRPr lang="en-NG" sz="1800" b="1">
            <a:solidFill>
              <a:schemeClr val="bg2"/>
            </a:solidFill>
          </a:endParaRPr>
        </a:p>
      </xdr:txBody>
    </xdr:sp>
    <xdr:clientData/>
  </xdr:twoCellAnchor>
  <xdr:twoCellAnchor editAs="oneCell">
    <xdr:from>
      <xdr:col>3</xdr:col>
      <xdr:colOff>272142</xdr:colOff>
      <xdr:row>4</xdr:row>
      <xdr:rowOff>74219</xdr:rowOff>
    </xdr:from>
    <xdr:to>
      <xdr:col>4</xdr:col>
      <xdr:colOff>580406</xdr:colOff>
      <xdr:row>9</xdr:row>
      <xdr:rowOff>60859</xdr:rowOff>
    </xdr:to>
    <xdr:pic>
      <xdr:nvPicPr>
        <xdr:cNvPr id="48" name="Graphic 47" descr="Bar chart with solid fill">
          <a:extLst>
            <a:ext uri="{FF2B5EF4-FFF2-40B4-BE49-F238E27FC236}">
              <a16:creationId xmlns:a16="http://schemas.microsoft.com/office/drawing/2014/main" id="{96E928C4-8A0A-B216-39FA-77AB828041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90551" y="816427"/>
          <a:ext cx="914400" cy="914400"/>
        </a:xfrm>
        <a:prstGeom prst="rect">
          <a:avLst/>
        </a:prstGeom>
      </xdr:spPr>
    </xdr:pic>
    <xdr:clientData/>
  </xdr:twoCellAnchor>
  <xdr:twoCellAnchor editAs="oneCell">
    <xdr:from>
      <xdr:col>0</xdr:col>
      <xdr:colOff>136072</xdr:colOff>
      <xdr:row>19</xdr:row>
      <xdr:rowOff>163286</xdr:rowOff>
    </xdr:from>
    <xdr:to>
      <xdr:col>1</xdr:col>
      <xdr:colOff>108858</xdr:colOff>
      <xdr:row>23</xdr:row>
      <xdr:rowOff>81643</xdr:rowOff>
    </xdr:to>
    <xdr:pic>
      <xdr:nvPicPr>
        <xdr:cNvPr id="50" name="Graphic 49" descr="Books on shelf with solid fill">
          <a:extLst>
            <a:ext uri="{FF2B5EF4-FFF2-40B4-BE49-F238E27FC236}">
              <a16:creationId xmlns:a16="http://schemas.microsoft.com/office/drawing/2014/main" id="{32A9CF5B-33F8-8A0A-2C4C-A01EC12055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6072" y="3782786"/>
          <a:ext cx="585107" cy="680357"/>
        </a:xfrm>
        <a:prstGeom prst="rect">
          <a:avLst/>
        </a:prstGeom>
      </xdr:spPr>
    </xdr:pic>
    <xdr:clientData/>
  </xdr:twoCellAnchor>
  <xdr:twoCellAnchor editAs="oneCell">
    <xdr:from>
      <xdr:col>12</xdr:col>
      <xdr:colOff>460813</xdr:colOff>
      <xdr:row>0</xdr:row>
      <xdr:rowOff>176894</xdr:rowOff>
    </xdr:from>
    <xdr:to>
      <xdr:col>14</xdr:col>
      <xdr:colOff>156755</xdr:colOff>
      <xdr:row>3</xdr:row>
      <xdr:rowOff>176894</xdr:rowOff>
    </xdr:to>
    <xdr:pic>
      <xdr:nvPicPr>
        <xdr:cNvPr id="52" name="Graphic 51" descr="Chevron arrows with solid fill">
          <a:extLst>
            <a:ext uri="{FF2B5EF4-FFF2-40B4-BE49-F238E27FC236}">
              <a16:creationId xmlns:a16="http://schemas.microsoft.com/office/drawing/2014/main" id="{56AB2AF5-E5C8-AB88-F7E6-C55F3BC42EE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08670" y="176894"/>
          <a:ext cx="920585" cy="571500"/>
        </a:xfrm>
        <a:prstGeom prst="rect">
          <a:avLst/>
        </a:prstGeom>
      </xdr:spPr>
    </xdr:pic>
    <xdr:clientData/>
  </xdr:twoCellAnchor>
  <xdr:twoCellAnchor editAs="oneCell">
    <xdr:from>
      <xdr:col>0</xdr:col>
      <xdr:colOff>121838</xdr:colOff>
      <xdr:row>4</xdr:row>
      <xdr:rowOff>138782</xdr:rowOff>
    </xdr:from>
    <xdr:to>
      <xdr:col>1</xdr:col>
      <xdr:colOff>91337</xdr:colOff>
      <xdr:row>9</xdr:row>
      <xdr:rowOff>8597</xdr:rowOff>
    </xdr:to>
    <xdr:pic>
      <xdr:nvPicPr>
        <xdr:cNvPr id="54" name="Graphic 53" descr="Home with solid fill">
          <a:extLst>
            <a:ext uri="{FF2B5EF4-FFF2-40B4-BE49-F238E27FC236}">
              <a16:creationId xmlns:a16="http://schemas.microsoft.com/office/drawing/2014/main" id="{2F6E337B-4E22-EBD0-A7AB-F66A45BA17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1838" y="921659"/>
          <a:ext cx="582752" cy="848411"/>
        </a:xfrm>
        <a:prstGeom prst="rect">
          <a:avLst/>
        </a:prstGeom>
      </xdr:spPr>
    </xdr:pic>
    <xdr:clientData/>
  </xdr:twoCellAnchor>
  <xdr:twoCellAnchor>
    <xdr:from>
      <xdr:col>11</xdr:col>
      <xdr:colOff>326570</xdr:colOff>
      <xdr:row>1</xdr:row>
      <xdr:rowOff>68035</xdr:rowOff>
    </xdr:from>
    <xdr:to>
      <xdr:col>12</xdr:col>
      <xdr:colOff>435428</xdr:colOff>
      <xdr:row>3</xdr:row>
      <xdr:rowOff>54428</xdr:rowOff>
    </xdr:to>
    <xdr:sp macro="" textlink="">
      <xdr:nvSpPr>
        <xdr:cNvPr id="57" name="TextBox 56">
          <a:extLst>
            <a:ext uri="{FF2B5EF4-FFF2-40B4-BE49-F238E27FC236}">
              <a16:creationId xmlns:a16="http://schemas.microsoft.com/office/drawing/2014/main" id="{31FE26E3-1776-AC68-A609-6FEE2D7F396D}"/>
            </a:ext>
          </a:extLst>
        </xdr:cNvPr>
        <xdr:cNvSpPr txBox="1"/>
      </xdr:nvSpPr>
      <xdr:spPr>
        <a:xfrm>
          <a:off x="7062106" y="258535"/>
          <a:ext cx="721179"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2024</a:t>
          </a:r>
          <a:endParaRPr lang="en-NG"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22.462566782408" createdVersion="8" refreshedVersion="8" minRefreshableVersion="3" recordCount="1200" xr:uid="{22B414EC-6DCA-465E-B187-331189AFF230}">
  <cacheSource type="worksheet">
    <worksheetSource name="Table2"/>
  </cacheSource>
  <cacheFields count="14">
    <cacheField name="OrderID" numFmtId="0">
      <sharedItems containsSemiMixedTypes="0" containsString="0" containsNumber="1" containsInteger="1" minValue="1" maxValue="1200"/>
    </cacheField>
    <cacheField name="OrderDate" numFmtId="164">
      <sharedItems containsSemiMixedTypes="0" containsNonDate="0" containsDate="1" containsString="0" minDate="2024-01-01T00:00:00" maxDate="2024-12-31T00:00:00" count="351">
        <d v="2024-05-18T00:00:00"/>
        <d v="2024-06-17T00:00:00"/>
        <d v="2024-09-27T00:00:00"/>
        <d v="2024-02-19T00:00:00"/>
        <d v="2024-04-22T00:00:00"/>
        <d v="2024-06-10T00:00:00"/>
        <d v="2024-12-23T00:00:00"/>
        <d v="2024-03-01T00:00:00"/>
        <d v="2024-02-25T00:00:00"/>
        <d v="2024-07-16T00:00:00"/>
        <d v="2024-09-08T00:00:00"/>
        <d v="2024-06-01T00:00:00"/>
        <d v="2024-07-28T00:00:00"/>
        <d v="2024-02-27T00:00:00"/>
        <d v="2024-11-25T00:00:00"/>
        <d v="2024-01-03T00:00:00"/>
        <d v="2024-06-22T00:00:00"/>
        <d v="2024-01-31T00:00:00"/>
        <d v="2024-03-16T00:00:00"/>
        <d v="2024-09-28T00:00:00"/>
        <d v="2024-04-01T00:00:00"/>
        <d v="2024-09-10T00:00:00"/>
        <d v="2024-06-20T00:00:00"/>
        <d v="2024-10-25T00:00:00"/>
        <d v="2024-07-29T00:00:00"/>
        <d v="2024-07-23T00:00:00"/>
        <d v="2024-07-24T00:00:00"/>
        <d v="2024-10-04T00:00:00"/>
        <d v="2024-12-12T00:00:00"/>
        <d v="2024-11-21T00:00:00"/>
        <d v="2024-05-07T00:00:00"/>
        <d v="2024-02-16T00:00:00"/>
        <d v="2024-12-28T00:00:00"/>
        <d v="2024-06-11T00:00:00"/>
        <d v="2024-11-07T00:00:00"/>
        <d v="2024-05-24T00:00:00"/>
        <d v="2024-01-06T00:00:00"/>
        <d v="2024-04-03T00:00:00"/>
        <d v="2024-08-23T00:00:00"/>
        <d v="2024-05-23T00:00:00"/>
        <d v="2024-09-07T00:00:00"/>
        <d v="2024-04-24T00:00:00"/>
        <d v="2024-05-16T00:00:00"/>
        <d v="2024-04-26T00:00:00"/>
        <d v="2024-11-24T00:00:00"/>
        <d v="2024-09-11T00:00:00"/>
        <d v="2024-01-12T00:00:00"/>
        <d v="2024-11-20T00:00:00"/>
        <d v="2024-06-14T00:00:00"/>
        <d v="2024-12-13T00:00:00"/>
        <d v="2024-08-30T00:00:00"/>
        <d v="2024-09-18T00:00:00"/>
        <d v="2024-02-18T00:00:00"/>
        <d v="2024-11-05T00:00:00"/>
        <d v="2024-07-12T00:00:00"/>
        <d v="2024-01-13T00:00:00"/>
        <d v="2024-09-16T00:00:00"/>
        <d v="2024-07-18T00:00:00"/>
        <d v="2024-02-28T00:00:00"/>
        <d v="2024-04-11T00:00:00"/>
        <d v="2024-05-01T00:00:00"/>
        <d v="2024-11-06T00:00:00"/>
        <d v="2024-07-31T00:00:00"/>
        <d v="2024-03-25T00:00:00"/>
        <d v="2024-04-06T00:00:00"/>
        <d v="2024-05-25T00:00:00"/>
        <d v="2024-04-16T00:00:00"/>
        <d v="2024-10-07T00:00:00"/>
        <d v="2024-07-26T00:00:00"/>
        <d v="2024-12-08T00:00:00"/>
        <d v="2024-05-15T00:00:00"/>
        <d v="2024-06-19T00:00:00"/>
        <d v="2024-06-28T00:00:00"/>
        <d v="2024-03-13T00:00:00"/>
        <d v="2024-09-26T00:00:00"/>
        <d v="2024-08-10T00:00:00"/>
        <d v="2024-12-15T00:00:00"/>
        <d v="2024-05-22T00:00:00"/>
        <d v="2024-11-02T00:00:00"/>
        <d v="2024-08-08T00:00:00"/>
        <d v="2024-12-26T00:00:00"/>
        <d v="2024-12-20T00:00:00"/>
        <d v="2024-02-14T00:00:00"/>
        <d v="2024-04-18T00:00:00"/>
        <d v="2024-02-12T00:00:00"/>
        <d v="2024-01-23T00:00:00"/>
        <d v="2024-01-01T00:00:00"/>
        <d v="2024-06-26T00:00:00"/>
        <d v="2024-06-25T00:00:00"/>
        <d v="2024-04-25T00:00:00"/>
        <d v="2024-03-11T00:00:00"/>
        <d v="2024-04-12T00:00:00"/>
        <d v="2024-11-08T00:00:00"/>
        <d v="2024-10-21T00:00:00"/>
        <d v="2024-05-10T00:00:00"/>
        <d v="2024-03-18T00:00:00"/>
        <d v="2024-09-05T00:00:00"/>
        <d v="2024-10-10T00:00:00"/>
        <d v="2024-10-29T00:00:00"/>
        <d v="2024-11-09T00:00:00"/>
        <d v="2024-05-29T00:00:00"/>
        <d v="2024-02-21T00:00:00"/>
        <d v="2024-03-08T00:00:00"/>
        <d v="2024-01-21T00:00:00"/>
        <d v="2024-08-16T00:00:00"/>
        <d v="2024-08-24T00:00:00"/>
        <d v="2024-02-17T00:00:00"/>
        <d v="2024-08-19T00:00:00"/>
        <d v="2024-06-09T00:00:00"/>
        <d v="2024-09-13T00:00:00"/>
        <d v="2024-04-14T00:00:00"/>
        <d v="2024-10-27T00:00:00"/>
        <d v="2024-11-16T00:00:00"/>
        <d v="2024-01-28T00:00:00"/>
        <d v="2024-06-24T00:00:00"/>
        <d v="2024-06-13T00:00:00"/>
        <d v="2024-04-09T00:00:00"/>
        <d v="2024-08-03T00:00:00"/>
        <d v="2024-02-03T00:00:00"/>
        <d v="2024-01-02T00:00:00"/>
        <d v="2024-02-29T00:00:00"/>
        <d v="2024-11-29T00:00:00"/>
        <d v="2024-10-02T00:00:00"/>
        <d v="2024-04-10T00:00:00"/>
        <d v="2024-07-03T00:00:00"/>
        <d v="2024-03-09T00:00:00"/>
        <d v="2024-04-30T00:00:00"/>
        <d v="2024-01-07T00:00:00"/>
        <d v="2024-02-24T00:00:00"/>
        <d v="2024-12-01T00:00:00"/>
        <d v="2024-09-21T00:00:00"/>
        <d v="2024-07-17T00:00:00"/>
        <d v="2024-09-25T00:00:00"/>
        <d v="2024-04-29T00:00:00"/>
        <d v="2024-03-14T00:00:00"/>
        <d v="2024-04-04T00:00:00"/>
        <d v="2024-08-20T00:00:00"/>
        <d v="2024-09-30T00:00:00"/>
        <d v="2024-08-31T00:00:00"/>
        <d v="2024-03-07T00:00:00"/>
        <d v="2024-06-18T00:00:00"/>
        <d v="2024-01-08T00:00:00"/>
        <d v="2024-02-01T00:00:00"/>
        <d v="2024-06-12T00:00:00"/>
        <d v="2024-08-15T00:00:00"/>
        <d v="2024-03-04T00:00:00"/>
        <d v="2024-06-07T00:00:00"/>
        <d v="2024-10-28T00:00:00"/>
        <d v="2024-02-06T00:00:00"/>
        <d v="2024-03-10T00:00:00"/>
        <d v="2024-05-17T00:00:00"/>
        <d v="2024-07-06T00:00:00"/>
        <d v="2024-09-24T00:00:00"/>
        <d v="2024-08-09T00:00:00"/>
        <d v="2024-03-17T00:00:00"/>
        <d v="2024-12-25T00:00:00"/>
        <d v="2024-11-11T00:00:00"/>
        <d v="2024-07-05T00:00:00"/>
        <d v="2024-04-02T00:00:00"/>
        <d v="2024-05-05T00:00:00"/>
        <d v="2024-12-29T00:00:00"/>
        <d v="2024-11-04T00:00:00"/>
        <d v="2024-06-05T00:00:00"/>
        <d v="2024-11-27T00:00:00"/>
        <d v="2024-09-14T00:00:00"/>
        <d v="2024-12-02T00:00:00"/>
        <d v="2024-01-19T00:00:00"/>
        <d v="2024-10-18T00:00:00"/>
        <d v="2024-10-09T00:00:00"/>
        <d v="2024-11-28T00:00:00"/>
        <d v="2024-03-12T00:00:00"/>
        <d v="2024-08-04T00:00:00"/>
        <d v="2024-08-25T00:00:00"/>
        <d v="2024-09-01T00:00:00"/>
        <d v="2024-09-09T00:00:00"/>
        <d v="2024-11-13T00:00:00"/>
        <d v="2024-03-26T00:00:00"/>
        <d v="2024-03-05T00:00:00"/>
        <d v="2024-03-24T00:00:00"/>
        <d v="2024-05-26T00:00:00"/>
        <d v="2024-10-06T00:00:00"/>
        <d v="2024-01-09T00:00:00"/>
        <d v="2024-08-14T00:00:00"/>
        <d v="2024-07-14T00:00:00"/>
        <d v="2024-10-03T00:00:00"/>
        <d v="2024-06-27T00:00:00"/>
        <d v="2024-09-12T00:00:00"/>
        <d v="2024-01-14T00:00:00"/>
        <d v="2024-03-06T00:00:00"/>
        <d v="2024-02-07T00:00:00"/>
        <d v="2024-12-24T00:00:00"/>
        <d v="2024-08-13T00:00:00"/>
        <d v="2024-01-22T00:00:00"/>
        <d v="2024-03-30T00:00:00"/>
        <d v="2024-02-08T00:00:00"/>
        <d v="2024-05-20T00:00:00"/>
        <d v="2024-08-27T00:00:00"/>
        <d v="2024-01-05T00:00:00"/>
        <d v="2024-07-02T00:00:00"/>
        <d v="2024-10-22T00:00:00"/>
        <d v="2024-10-12T00:00:00"/>
        <d v="2024-01-17T00:00:00"/>
        <d v="2024-06-08T00:00:00"/>
        <d v="2024-04-23T00:00:00"/>
        <d v="2024-06-06T00:00:00"/>
        <d v="2024-04-05T00:00:00"/>
        <d v="2024-02-22T00:00:00"/>
        <d v="2024-09-03T00:00:00"/>
        <d v="2024-06-21T00:00:00"/>
        <d v="2024-12-07T00:00:00"/>
        <d v="2024-03-29T00:00:00"/>
        <d v="2024-04-27T00:00:00"/>
        <d v="2024-02-20T00:00:00"/>
        <d v="2024-01-18T00:00:00"/>
        <d v="2024-07-01T00:00:00"/>
        <d v="2024-01-29T00:00:00"/>
        <d v="2024-08-01T00:00:00"/>
        <d v="2024-03-22T00:00:00"/>
        <d v="2024-10-30T00:00:00"/>
        <d v="2024-05-13T00:00:00"/>
        <d v="2024-10-19T00:00:00"/>
        <d v="2024-01-24T00:00:00"/>
        <d v="2024-04-28T00:00:00"/>
        <d v="2024-05-03T00:00:00"/>
        <d v="2024-11-03T00:00:00"/>
        <d v="2024-02-23T00:00:00"/>
        <d v="2024-03-21T00:00:00"/>
        <d v="2024-03-23T00:00:00"/>
        <d v="2024-09-23T00:00:00"/>
        <d v="2024-07-04T00:00:00"/>
        <d v="2024-08-26T00:00:00"/>
        <d v="2024-10-23T00:00:00"/>
        <d v="2024-01-15T00:00:00"/>
        <d v="2024-11-19T00:00:00"/>
        <d v="2024-12-09T00:00:00"/>
        <d v="2024-10-15T00:00:00"/>
        <d v="2024-02-02T00:00:00"/>
        <d v="2024-06-16T00:00:00"/>
        <d v="2024-06-29T00:00:00"/>
        <d v="2024-08-22T00:00:00"/>
        <d v="2024-05-19T00:00:00"/>
        <d v="2024-12-18T00:00:00"/>
        <d v="2024-09-17T00:00:00"/>
        <d v="2024-11-12T00:00:00"/>
        <d v="2024-11-23T00:00:00"/>
        <d v="2024-10-13T00:00:00"/>
        <d v="2024-07-22T00:00:00"/>
        <d v="2024-10-01T00:00:00"/>
        <d v="2024-04-07T00:00:00"/>
        <d v="2024-08-05T00:00:00"/>
        <d v="2024-10-11T00:00:00"/>
        <d v="2024-12-17T00:00:00"/>
        <d v="2024-08-18T00:00:00"/>
        <d v="2024-04-19T00:00:00"/>
        <d v="2024-05-30T00:00:00"/>
        <d v="2024-08-02T00:00:00"/>
        <d v="2024-09-20T00:00:00"/>
        <d v="2024-01-27T00:00:00"/>
        <d v="2024-01-10T00:00:00"/>
        <d v="2024-03-15T00:00:00"/>
        <d v="2024-04-08T00:00:00"/>
        <d v="2024-12-21T00:00:00"/>
        <d v="2024-11-18T00:00:00"/>
        <d v="2024-07-25T00:00:00"/>
        <d v="2024-02-04T00:00:00"/>
        <d v="2024-02-15T00:00:00"/>
        <d v="2024-04-15T00:00:00"/>
        <d v="2024-05-31T00:00:00"/>
        <d v="2024-05-14T00:00:00"/>
        <d v="2024-05-09T00:00:00"/>
        <d v="2024-10-26T00:00:00"/>
        <d v="2024-12-10T00:00:00"/>
        <d v="2024-05-06T00:00:00"/>
        <d v="2024-12-19T00:00:00"/>
        <d v="2024-09-29T00:00:00"/>
        <d v="2024-07-10T00:00:00"/>
        <d v="2024-01-16T00:00:00"/>
        <d v="2024-12-16T00:00:00"/>
        <d v="2024-02-10T00:00:00"/>
        <d v="2024-09-02T00:00:00"/>
        <d v="2024-02-26T00:00:00"/>
        <d v="2024-04-17T00:00:00"/>
        <d v="2024-03-19T00:00:00"/>
        <d v="2024-07-09T00:00:00"/>
        <d v="2024-03-03T00:00:00"/>
        <d v="2024-11-01T00:00:00"/>
        <d v="2024-08-06T00:00:00"/>
        <d v="2024-10-24T00:00:00"/>
        <d v="2024-11-17T00:00:00"/>
        <d v="2024-07-15T00:00:00"/>
        <d v="2024-01-11T00:00:00"/>
        <d v="2024-05-28T00:00:00"/>
        <d v="2024-08-11T00:00:00"/>
        <d v="2024-12-06T00:00:00"/>
        <d v="2024-12-27T00:00:00"/>
        <d v="2024-02-09T00:00:00"/>
        <d v="2024-07-27T00:00:00"/>
        <d v="2024-01-26T00:00:00"/>
        <d v="2024-10-20T00:00:00"/>
        <d v="2024-10-17T00:00:00"/>
        <d v="2024-04-21T00:00:00"/>
        <d v="2024-01-30T00:00:00"/>
        <d v="2024-09-15T00:00:00"/>
        <d v="2024-06-03T00:00:00"/>
        <d v="2024-07-07T00:00:00"/>
        <d v="2024-06-30T00:00:00"/>
        <d v="2024-10-16T00:00:00"/>
        <d v="2024-08-21T00:00:00"/>
        <d v="2024-11-26T00:00:00"/>
        <d v="2024-06-23T00:00:00"/>
        <d v="2024-08-12T00:00:00"/>
        <d v="2024-01-25T00:00:00"/>
        <d v="2024-07-11T00:00:00"/>
        <d v="2024-05-21T00:00:00"/>
        <d v="2024-12-22T00:00:00"/>
        <d v="2024-09-19T00:00:00"/>
        <d v="2024-08-07T00:00:00"/>
        <d v="2024-10-14T00:00:00"/>
        <d v="2024-03-28T00:00:00"/>
        <d v="2024-07-13T00:00:00"/>
        <d v="2024-09-06T00:00:00"/>
        <d v="2024-11-10T00:00:00"/>
        <d v="2024-02-13T00:00:00"/>
        <d v="2024-01-04T00:00:00"/>
        <d v="2024-08-28T00:00:00"/>
        <d v="2024-07-08T00:00:00"/>
        <d v="2024-03-02T00:00:00"/>
        <d v="2024-05-08T00:00:00"/>
        <d v="2024-04-13T00:00:00"/>
        <d v="2024-10-05T00:00:00"/>
        <d v="2024-09-04T00:00:00"/>
        <d v="2024-12-14T00:00:00"/>
        <d v="2024-12-03T00:00:00"/>
        <d v="2024-07-30T00:00:00"/>
        <d v="2024-10-31T00:00:00"/>
        <d v="2024-08-17T00:00:00"/>
        <d v="2024-12-04T00:00:00"/>
        <d v="2024-06-04T00:00:00"/>
        <d v="2024-02-05T00:00:00"/>
        <d v="2024-05-11T00:00:00"/>
        <d v="2024-10-08T00:00:00"/>
        <d v="2024-07-20T00:00:00"/>
        <d v="2024-05-12T00:00:00"/>
        <d v="2024-03-20T00:00:00"/>
        <d v="2024-08-29T00:00:00"/>
        <d v="2024-09-22T00:00:00"/>
        <d v="2024-12-30T00:00:00"/>
        <d v="2024-03-27T00:00:00"/>
        <d v="2024-12-11T00:00:00"/>
        <d v="2024-06-02T00:00:00"/>
        <d v="2024-11-30T00:00:00"/>
      </sharedItems>
    </cacheField>
    <cacheField name="Month" numFmtId="164">
      <sharedItems count="12">
        <s v="May"/>
        <s v="Jun"/>
        <s v="Sept"/>
        <s v="Feb"/>
        <s v="Apr"/>
        <s v="Dec"/>
        <s v="Mar"/>
        <s v="Jul"/>
        <s v="Nov"/>
        <s v="Jan"/>
        <s v="Oct"/>
        <s v="Aug"/>
      </sharedItems>
    </cacheField>
    <cacheField name="ProductID" numFmtId="0">
      <sharedItems containsSemiMixedTypes="0" containsString="0" containsNumber="1" containsInteger="1" minValue="1" maxValue="5"/>
    </cacheField>
    <cacheField name="AgentID" numFmtId="0">
      <sharedItems containsSemiMixedTypes="0" containsString="0" containsNumber="1" containsInteger="1" minValue="1" maxValue="4"/>
    </cacheField>
    <cacheField name="Quantity" numFmtId="0">
      <sharedItems containsSemiMixedTypes="0" containsString="0" containsNumber="1" containsInteger="1" minValue="1" maxValue="20"/>
    </cacheField>
    <cacheField name="UnitPrice" numFmtId="165">
      <sharedItems containsSemiMixedTypes="0" containsString="0" containsNumber="1" containsInteger="1" minValue="50207" maxValue="399679"/>
    </cacheField>
    <cacheField name="Total Revenue" numFmtId="165">
      <sharedItems containsSemiMixedTypes="0" containsString="0" containsNumber="1" containsInteger="1" minValue="51019" maxValue="7833780"/>
    </cacheField>
    <cacheField name="Gross Profit By 30%" numFmtId="165">
      <sharedItems containsSemiMixedTypes="0" containsString="0" containsNumber="1" minValue="15305.699999999999" maxValue="2350134"/>
    </cacheField>
    <cacheField name="Profit Margin" numFmtId="10">
      <sharedItems containsSemiMixedTypes="0" containsString="0" containsNumber="1" minValue="0.29999999999999993" maxValue="0.3"/>
    </cacheField>
    <cacheField name="Product" numFmtId="0">
      <sharedItems count="5">
        <s v="Phone"/>
        <s v="Printer"/>
        <s v="Tablet"/>
        <s v="Laptop"/>
        <s v="Monitor"/>
      </sharedItems>
    </cacheField>
    <cacheField name="Category" numFmtId="0">
      <sharedItems/>
    </cacheField>
    <cacheField name="Sales Agent" numFmtId="0">
      <sharedItems count="4">
        <s v="Chinedu"/>
        <s v="Zainab"/>
        <s v="Akin"/>
        <s v="Blessing"/>
      </sharedItems>
    </cacheField>
    <cacheField name="Region" numFmtId="0">
      <sharedItems count="4">
        <s v="South"/>
        <s v="North"/>
        <s v="West"/>
        <s v="East"/>
      </sharedItems>
    </cacheField>
  </cacheFields>
  <extLst>
    <ext xmlns:x14="http://schemas.microsoft.com/office/spreadsheetml/2009/9/main" uri="{725AE2AE-9491-48be-B2B4-4EB974FC3084}">
      <x14:pivotCacheDefinition pivotCacheId="361277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x v="0"/>
    <n v="2"/>
    <n v="3"/>
    <n v="8"/>
    <n v="399679"/>
    <n v="3197432"/>
    <n v="959229.6"/>
    <n v="0.3"/>
    <x v="0"/>
    <s v="Electronics"/>
    <x v="0"/>
    <x v="0"/>
  </r>
  <r>
    <n v="2"/>
    <x v="1"/>
    <x v="1"/>
    <n v="4"/>
    <n v="3"/>
    <n v="16"/>
    <n v="166443"/>
    <n v="2663088"/>
    <n v="798926.4"/>
    <n v="0.3"/>
    <x v="1"/>
    <s v="Accessories"/>
    <x v="0"/>
    <x v="0"/>
  </r>
  <r>
    <n v="3"/>
    <x v="2"/>
    <x v="2"/>
    <n v="3"/>
    <n v="4"/>
    <n v="4"/>
    <n v="55889"/>
    <n v="223556"/>
    <n v="67066.8"/>
    <n v="0.3"/>
    <x v="2"/>
    <s v="Electronics"/>
    <x v="1"/>
    <x v="1"/>
  </r>
  <r>
    <n v="4"/>
    <x v="3"/>
    <x v="3"/>
    <n v="3"/>
    <n v="4"/>
    <n v="7"/>
    <n v="390956"/>
    <n v="2736692"/>
    <n v="821007.6"/>
    <n v="0.3"/>
    <x v="2"/>
    <s v="Electronics"/>
    <x v="1"/>
    <x v="1"/>
  </r>
  <r>
    <n v="5"/>
    <x v="4"/>
    <x v="4"/>
    <n v="1"/>
    <n v="1"/>
    <n v="16"/>
    <n v="67730"/>
    <n v="1083680"/>
    <n v="325104"/>
    <n v="0.3"/>
    <x v="3"/>
    <s v="Electronics"/>
    <x v="2"/>
    <x v="2"/>
  </r>
  <r>
    <n v="6"/>
    <x v="5"/>
    <x v="1"/>
    <n v="4"/>
    <n v="2"/>
    <n v="12"/>
    <n v="210426"/>
    <n v="2525112"/>
    <n v="757533.6"/>
    <n v="0.3"/>
    <x v="1"/>
    <s v="Accessories"/>
    <x v="3"/>
    <x v="3"/>
  </r>
  <r>
    <n v="7"/>
    <x v="6"/>
    <x v="5"/>
    <n v="3"/>
    <n v="1"/>
    <n v="3"/>
    <n v="120353"/>
    <n v="361059"/>
    <n v="108317.7"/>
    <n v="0.3"/>
    <x v="2"/>
    <s v="Electronics"/>
    <x v="2"/>
    <x v="2"/>
  </r>
  <r>
    <n v="8"/>
    <x v="7"/>
    <x v="6"/>
    <n v="1"/>
    <n v="4"/>
    <n v="20"/>
    <n v="59988"/>
    <n v="1199760"/>
    <n v="359928"/>
    <n v="0.3"/>
    <x v="3"/>
    <s v="Electronics"/>
    <x v="1"/>
    <x v="1"/>
  </r>
  <r>
    <n v="9"/>
    <x v="1"/>
    <x v="1"/>
    <n v="4"/>
    <n v="2"/>
    <n v="16"/>
    <n v="97381"/>
    <n v="1558096"/>
    <n v="467428.8"/>
    <n v="0.3"/>
    <x v="1"/>
    <s v="Accessories"/>
    <x v="3"/>
    <x v="3"/>
  </r>
  <r>
    <n v="10"/>
    <x v="8"/>
    <x v="3"/>
    <n v="3"/>
    <n v="1"/>
    <n v="5"/>
    <n v="111122"/>
    <n v="555610"/>
    <n v="166683"/>
    <n v="0.3"/>
    <x v="2"/>
    <s v="Electronics"/>
    <x v="2"/>
    <x v="2"/>
  </r>
  <r>
    <n v="11"/>
    <x v="9"/>
    <x v="7"/>
    <n v="1"/>
    <n v="1"/>
    <n v="10"/>
    <n v="67075"/>
    <n v="670750"/>
    <n v="201225"/>
    <n v="0.3"/>
    <x v="3"/>
    <s v="Electronics"/>
    <x v="2"/>
    <x v="2"/>
  </r>
  <r>
    <n v="12"/>
    <x v="10"/>
    <x v="2"/>
    <n v="1"/>
    <n v="3"/>
    <n v="6"/>
    <n v="234375"/>
    <n v="1406250"/>
    <n v="421875"/>
    <n v="0.3"/>
    <x v="3"/>
    <s v="Electronics"/>
    <x v="0"/>
    <x v="0"/>
  </r>
  <r>
    <n v="13"/>
    <x v="11"/>
    <x v="1"/>
    <n v="4"/>
    <n v="3"/>
    <n v="16"/>
    <n v="371571"/>
    <n v="5945136"/>
    <n v="1783540.8"/>
    <n v="0.3"/>
    <x v="1"/>
    <s v="Accessories"/>
    <x v="0"/>
    <x v="0"/>
  </r>
  <r>
    <n v="14"/>
    <x v="12"/>
    <x v="7"/>
    <n v="5"/>
    <n v="4"/>
    <n v="16"/>
    <n v="112895"/>
    <n v="1806320"/>
    <n v="541896"/>
    <n v="0.3"/>
    <x v="4"/>
    <s v="Accessories"/>
    <x v="1"/>
    <x v="1"/>
  </r>
  <r>
    <n v="15"/>
    <x v="13"/>
    <x v="3"/>
    <n v="2"/>
    <n v="4"/>
    <n v="10"/>
    <n v="388937"/>
    <n v="3889370"/>
    <n v="1166811"/>
    <n v="0.3"/>
    <x v="0"/>
    <s v="Electronics"/>
    <x v="1"/>
    <x v="1"/>
  </r>
  <r>
    <n v="16"/>
    <x v="14"/>
    <x v="8"/>
    <n v="2"/>
    <n v="4"/>
    <n v="18"/>
    <n v="89961"/>
    <n v="1619298"/>
    <n v="485789.39999999997"/>
    <n v="0.3"/>
    <x v="0"/>
    <s v="Electronics"/>
    <x v="1"/>
    <x v="1"/>
  </r>
  <r>
    <n v="17"/>
    <x v="15"/>
    <x v="9"/>
    <n v="1"/>
    <n v="4"/>
    <n v="14"/>
    <n v="264199"/>
    <n v="3698786"/>
    <n v="1109635.8"/>
    <n v="0.3"/>
    <x v="3"/>
    <s v="Electronics"/>
    <x v="1"/>
    <x v="1"/>
  </r>
  <r>
    <n v="18"/>
    <x v="16"/>
    <x v="1"/>
    <n v="2"/>
    <n v="4"/>
    <n v="19"/>
    <n v="315993"/>
    <n v="6003867"/>
    <n v="1801160.0999999999"/>
    <n v="0.3"/>
    <x v="0"/>
    <s v="Electronics"/>
    <x v="1"/>
    <x v="1"/>
  </r>
  <r>
    <n v="19"/>
    <x v="17"/>
    <x v="9"/>
    <n v="4"/>
    <n v="3"/>
    <n v="6"/>
    <n v="353212"/>
    <n v="2119272"/>
    <n v="635781.6"/>
    <n v="0.3"/>
    <x v="1"/>
    <s v="Accessories"/>
    <x v="0"/>
    <x v="0"/>
  </r>
  <r>
    <n v="20"/>
    <x v="18"/>
    <x v="6"/>
    <n v="2"/>
    <n v="2"/>
    <n v="19"/>
    <n v="252753"/>
    <n v="4802307"/>
    <n v="1440692.0999999999"/>
    <n v="0.3"/>
    <x v="0"/>
    <s v="Electronics"/>
    <x v="3"/>
    <x v="3"/>
  </r>
  <r>
    <n v="21"/>
    <x v="19"/>
    <x v="2"/>
    <n v="3"/>
    <n v="2"/>
    <n v="13"/>
    <n v="267660"/>
    <n v="3479580"/>
    <n v="1043874"/>
    <n v="0.3"/>
    <x v="2"/>
    <s v="Electronics"/>
    <x v="3"/>
    <x v="3"/>
  </r>
  <r>
    <n v="22"/>
    <x v="19"/>
    <x v="2"/>
    <n v="1"/>
    <n v="2"/>
    <n v="7"/>
    <n v="325864"/>
    <n v="2281048"/>
    <n v="684314.4"/>
    <n v="0.3"/>
    <x v="3"/>
    <s v="Electronics"/>
    <x v="3"/>
    <x v="3"/>
  </r>
  <r>
    <n v="23"/>
    <x v="20"/>
    <x v="4"/>
    <n v="4"/>
    <n v="4"/>
    <n v="4"/>
    <n v="348272"/>
    <n v="1393088"/>
    <n v="417926.39999999997"/>
    <n v="0.3"/>
    <x v="1"/>
    <s v="Accessories"/>
    <x v="1"/>
    <x v="1"/>
  </r>
  <r>
    <n v="24"/>
    <x v="21"/>
    <x v="2"/>
    <n v="4"/>
    <n v="2"/>
    <n v="12"/>
    <n v="215780"/>
    <n v="2589360"/>
    <n v="776808"/>
    <n v="0.3"/>
    <x v="1"/>
    <s v="Accessories"/>
    <x v="3"/>
    <x v="3"/>
  </r>
  <r>
    <n v="25"/>
    <x v="22"/>
    <x v="1"/>
    <n v="5"/>
    <n v="2"/>
    <n v="6"/>
    <n v="106840"/>
    <n v="641040"/>
    <n v="192312"/>
    <n v="0.3"/>
    <x v="4"/>
    <s v="Accessories"/>
    <x v="3"/>
    <x v="3"/>
  </r>
  <r>
    <n v="26"/>
    <x v="23"/>
    <x v="10"/>
    <n v="3"/>
    <n v="4"/>
    <n v="8"/>
    <n v="79190"/>
    <n v="633520"/>
    <n v="190056"/>
    <n v="0.3"/>
    <x v="2"/>
    <s v="Electronics"/>
    <x v="1"/>
    <x v="1"/>
  </r>
  <r>
    <n v="27"/>
    <x v="5"/>
    <x v="1"/>
    <n v="5"/>
    <n v="3"/>
    <n v="5"/>
    <n v="167651"/>
    <n v="838255"/>
    <n v="251476.5"/>
    <n v="0.3"/>
    <x v="4"/>
    <s v="Accessories"/>
    <x v="0"/>
    <x v="0"/>
  </r>
  <r>
    <n v="28"/>
    <x v="24"/>
    <x v="7"/>
    <n v="3"/>
    <n v="3"/>
    <n v="15"/>
    <n v="139782"/>
    <n v="2096730"/>
    <n v="629019"/>
    <n v="0.3"/>
    <x v="2"/>
    <s v="Electronics"/>
    <x v="0"/>
    <x v="0"/>
  </r>
  <r>
    <n v="29"/>
    <x v="1"/>
    <x v="1"/>
    <n v="4"/>
    <n v="3"/>
    <n v="8"/>
    <n v="85426"/>
    <n v="683408"/>
    <n v="205022.4"/>
    <n v="0.3"/>
    <x v="1"/>
    <s v="Accessories"/>
    <x v="0"/>
    <x v="0"/>
  </r>
  <r>
    <n v="30"/>
    <x v="25"/>
    <x v="7"/>
    <n v="4"/>
    <n v="3"/>
    <n v="7"/>
    <n v="165824"/>
    <n v="1160768"/>
    <n v="348230.39999999997"/>
    <n v="0.3"/>
    <x v="1"/>
    <s v="Accessories"/>
    <x v="0"/>
    <x v="0"/>
  </r>
  <r>
    <n v="31"/>
    <x v="26"/>
    <x v="7"/>
    <n v="3"/>
    <n v="1"/>
    <n v="8"/>
    <n v="370210"/>
    <n v="2961680"/>
    <n v="888504"/>
    <n v="0.3"/>
    <x v="2"/>
    <s v="Electronics"/>
    <x v="2"/>
    <x v="2"/>
  </r>
  <r>
    <n v="32"/>
    <x v="27"/>
    <x v="10"/>
    <n v="2"/>
    <n v="3"/>
    <n v="15"/>
    <n v="85300"/>
    <n v="1279500"/>
    <n v="383850"/>
    <n v="0.3"/>
    <x v="0"/>
    <s v="Electronics"/>
    <x v="0"/>
    <x v="0"/>
  </r>
  <r>
    <n v="33"/>
    <x v="28"/>
    <x v="5"/>
    <n v="3"/>
    <n v="3"/>
    <n v="11"/>
    <n v="118826"/>
    <n v="1307086"/>
    <n v="392125.8"/>
    <n v="0.3"/>
    <x v="2"/>
    <s v="Electronics"/>
    <x v="0"/>
    <x v="0"/>
  </r>
  <r>
    <n v="34"/>
    <x v="5"/>
    <x v="1"/>
    <n v="3"/>
    <n v="2"/>
    <n v="19"/>
    <n v="354182"/>
    <n v="6729458"/>
    <n v="2018837.4"/>
    <n v="0.3"/>
    <x v="2"/>
    <s v="Electronics"/>
    <x v="3"/>
    <x v="3"/>
  </r>
  <r>
    <n v="35"/>
    <x v="29"/>
    <x v="8"/>
    <n v="5"/>
    <n v="2"/>
    <n v="19"/>
    <n v="152174"/>
    <n v="2891306"/>
    <n v="867391.79999999993"/>
    <n v="0.3"/>
    <x v="4"/>
    <s v="Accessories"/>
    <x v="3"/>
    <x v="3"/>
  </r>
  <r>
    <n v="36"/>
    <x v="30"/>
    <x v="0"/>
    <n v="5"/>
    <n v="2"/>
    <n v="11"/>
    <n v="249236"/>
    <n v="2741596"/>
    <n v="822478.79999999993"/>
    <n v="0.3"/>
    <x v="4"/>
    <s v="Accessories"/>
    <x v="3"/>
    <x v="3"/>
  </r>
  <r>
    <n v="37"/>
    <x v="31"/>
    <x v="3"/>
    <n v="3"/>
    <n v="2"/>
    <n v="13"/>
    <n v="64334"/>
    <n v="836342"/>
    <n v="250902.59999999998"/>
    <n v="0.3"/>
    <x v="2"/>
    <s v="Electronics"/>
    <x v="3"/>
    <x v="3"/>
  </r>
  <r>
    <n v="38"/>
    <x v="32"/>
    <x v="5"/>
    <n v="2"/>
    <n v="2"/>
    <n v="1"/>
    <n v="296053"/>
    <n v="296053"/>
    <n v="88815.9"/>
    <n v="0.3"/>
    <x v="0"/>
    <s v="Electronics"/>
    <x v="3"/>
    <x v="3"/>
  </r>
  <r>
    <n v="39"/>
    <x v="33"/>
    <x v="1"/>
    <n v="5"/>
    <n v="4"/>
    <n v="19"/>
    <n v="63109"/>
    <n v="1199071"/>
    <n v="359721.3"/>
    <n v="0.3"/>
    <x v="4"/>
    <s v="Accessories"/>
    <x v="1"/>
    <x v="1"/>
  </r>
  <r>
    <n v="40"/>
    <x v="34"/>
    <x v="8"/>
    <n v="3"/>
    <n v="1"/>
    <n v="14"/>
    <n v="304741"/>
    <n v="4266374"/>
    <n v="1279912.2"/>
    <n v="0.3"/>
    <x v="2"/>
    <s v="Electronics"/>
    <x v="2"/>
    <x v="2"/>
  </r>
  <r>
    <n v="41"/>
    <x v="35"/>
    <x v="0"/>
    <n v="4"/>
    <n v="3"/>
    <n v="17"/>
    <n v="275887"/>
    <n v="4690079"/>
    <n v="1407023.7"/>
    <n v="0.3"/>
    <x v="1"/>
    <s v="Accessories"/>
    <x v="0"/>
    <x v="0"/>
  </r>
  <r>
    <n v="42"/>
    <x v="36"/>
    <x v="9"/>
    <n v="3"/>
    <n v="2"/>
    <n v="7"/>
    <n v="239451"/>
    <n v="1676157"/>
    <n v="502847.1"/>
    <n v="0.3"/>
    <x v="2"/>
    <s v="Electronics"/>
    <x v="3"/>
    <x v="3"/>
  </r>
  <r>
    <n v="43"/>
    <x v="37"/>
    <x v="4"/>
    <n v="5"/>
    <n v="4"/>
    <n v="13"/>
    <n v="134676"/>
    <n v="1750788"/>
    <n v="525236.4"/>
    <n v="0.3"/>
    <x v="4"/>
    <s v="Accessories"/>
    <x v="1"/>
    <x v="1"/>
  </r>
  <r>
    <n v="44"/>
    <x v="38"/>
    <x v="11"/>
    <n v="2"/>
    <n v="2"/>
    <n v="8"/>
    <n v="157322"/>
    <n v="1258576"/>
    <n v="377572.8"/>
    <n v="0.3"/>
    <x v="0"/>
    <s v="Electronics"/>
    <x v="3"/>
    <x v="3"/>
  </r>
  <r>
    <n v="45"/>
    <x v="39"/>
    <x v="0"/>
    <n v="5"/>
    <n v="4"/>
    <n v="11"/>
    <n v="108576"/>
    <n v="1194336"/>
    <n v="358300.8"/>
    <n v="0.3"/>
    <x v="4"/>
    <s v="Accessories"/>
    <x v="1"/>
    <x v="1"/>
  </r>
  <r>
    <n v="46"/>
    <x v="40"/>
    <x v="2"/>
    <n v="1"/>
    <n v="1"/>
    <n v="14"/>
    <n v="67654"/>
    <n v="947156"/>
    <n v="284146.8"/>
    <n v="0.3"/>
    <x v="3"/>
    <s v="Electronics"/>
    <x v="2"/>
    <x v="2"/>
  </r>
  <r>
    <n v="47"/>
    <x v="41"/>
    <x v="4"/>
    <n v="1"/>
    <n v="1"/>
    <n v="4"/>
    <n v="306900"/>
    <n v="1227600"/>
    <n v="368280"/>
    <n v="0.3"/>
    <x v="3"/>
    <s v="Electronics"/>
    <x v="2"/>
    <x v="2"/>
  </r>
  <r>
    <n v="48"/>
    <x v="42"/>
    <x v="0"/>
    <n v="1"/>
    <n v="4"/>
    <n v="18"/>
    <n v="168194"/>
    <n v="3027492"/>
    <n v="908247.6"/>
    <n v="0.3"/>
    <x v="3"/>
    <s v="Electronics"/>
    <x v="1"/>
    <x v="1"/>
  </r>
  <r>
    <n v="49"/>
    <x v="43"/>
    <x v="4"/>
    <n v="4"/>
    <n v="2"/>
    <n v="9"/>
    <n v="154921"/>
    <n v="1394289"/>
    <n v="418286.7"/>
    <n v="0.3"/>
    <x v="1"/>
    <s v="Accessories"/>
    <x v="3"/>
    <x v="3"/>
  </r>
  <r>
    <n v="50"/>
    <x v="44"/>
    <x v="8"/>
    <n v="3"/>
    <n v="1"/>
    <n v="20"/>
    <n v="209920"/>
    <n v="4198400"/>
    <n v="1259520"/>
    <n v="0.3"/>
    <x v="2"/>
    <s v="Electronics"/>
    <x v="2"/>
    <x v="2"/>
  </r>
  <r>
    <n v="51"/>
    <x v="45"/>
    <x v="2"/>
    <n v="3"/>
    <n v="3"/>
    <n v="7"/>
    <n v="131829"/>
    <n v="922803"/>
    <n v="276840.89999999997"/>
    <n v="0.3"/>
    <x v="2"/>
    <s v="Electronics"/>
    <x v="0"/>
    <x v="0"/>
  </r>
  <r>
    <n v="52"/>
    <x v="46"/>
    <x v="9"/>
    <n v="5"/>
    <n v="3"/>
    <n v="1"/>
    <n v="101335"/>
    <n v="101335"/>
    <n v="30400.5"/>
    <n v="0.3"/>
    <x v="4"/>
    <s v="Accessories"/>
    <x v="0"/>
    <x v="0"/>
  </r>
  <r>
    <n v="53"/>
    <x v="47"/>
    <x v="8"/>
    <n v="3"/>
    <n v="3"/>
    <n v="19"/>
    <n v="76414"/>
    <n v="1451866"/>
    <n v="435559.8"/>
    <n v="0.3"/>
    <x v="2"/>
    <s v="Electronics"/>
    <x v="0"/>
    <x v="0"/>
  </r>
  <r>
    <n v="54"/>
    <x v="48"/>
    <x v="1"/>
    <n v="1"/>
    <n v="1"/>
    <n v="16"/>
    <n v="371674"/>
    <n v="5946784"/>
    <n v="1784035.2"/>
    <n v="0.3"/>
    <x v="3"/>
    <s v="Electronics"/>
    <x v="2"/>
    <x v="2"/>
  </r>
  <r>
    <n v="55"/>
    <x v="49"/>
    <x v="5"/>
    <n v="3"/>
    <n v="4"/>
    <n v="16"/>
    <n v="160060"/>
    <n v="2560960"/>
    <n v="768288"/>
    <n v="0.3"/>
    <x v="2"/>
    <s v="Electronics"/>
    <x v="1"/>
    <x v="1"/>
  </r>
  <r>
    <n v="56"/>
    <x v="50"/>
    <x v="11"/>
    <n v="3"/>
    <n v="1"/>
    <n v="4"/>
    <n v="345666"/>
    <n v="1382664"/>
    <n v="414799.2"/>
    <n v="0.3"/>
    <x v="2"/>
    <s v="Electronics"/>
    <x v="2"/>
    <x v="2"/>
  </r>
  <r>
    <n v="57"/>
    <x v="51"/>
    <x v="2"/>
    <n v="3"/>
    <n v="4"/>
    <n v="10"/>
    <n v="138368"/>
    <n v="1383680"/>
    <n v="415104"/>
    <n v="0.3"/>
    <x v="2"/>
    <s v="Electronics"/>
    <x v="1"/>
    <x v="1"/>
  </r>
  <r>
    <n v="58"/>
    <x v="52"/>
    <x v="3"/>
    <n v="4"/>
    <n v="2"/>
    <n v="18"/>
    <n v="377363"/>
    <n v="6792534"/>
    <n v="2037760.2"/>
    <n v="0.3"/>
    <x v="1"/>
    <s v="Accessories"/>
    <x v="3"/>
    <x v="3"/>
  </r>
  <r>
    <n v="59"/>
    <x v="53"/>
    <x v="8"/>
    <n v="1"/>
    <n v="2"/>
    <n v="9"/>
    <n v="140291"/>
    <n v="1262619"/>
    <n v="378785.7"/>
    <n v="0.3"/>
    <x v="3"/>
    <s v="Electronics"/>
    <x v="3"/>
    <x v="3"/>
  </r>
  <r>
    <n v="60"/>
    <x v="54"/>
    <x v="7"/>
    <n v="2"/>
    <n v="1"/>
    <n v="9"/>
    <n v="395073"/>
    <n v="3555657"/>
    <n v="1066697.0999999999"/>
    <n v="0.29999999999999993"/>
    <x v="0"/>
    <s v="Electronics"/>
    <x v="2"/>
    <x v="2"/>
  </r>
  <r>
    <n v="61"/>
    <x v="41"/>
    <x v="4"/>
    <n v="1"/>
    <n v="2"/>
    <n v="19"/>
    <n v="351370"/>
    <n v="6676030"/>
    <n v="2002809"/>
    <n v="0.3"/>
    <x v="3"/>
    <s v="Electronics"/>
    <x v="3"/>
    <x v="3"/>
  </r>
  <r>
    <n v="62"/>
    <x v="55"/>
    <x v="9"/>
    <n v="4"/>
    <n v="3"/>
    <n v="13"/>
    <n v="132110"/>
    <n v="1717430"/>
    <n v="515229"/>
    <n v="0.3"/>
    <x v="1"/>
    <s v="Accessories"/>
    <x v="0"/>
    <x v="0"/>
  </r>
  <r>
    <n v="63"/>
    <x v="56"/>
    <x v="2"/>
    <n v="3"/>
    <n v="2"/>
    <n v="20"/>
    <n v="286018"/>
    <n v="5720360"/>
    <n v="1716108"/>
    <n v="0.3"/>
    <x v="2"/>
    <s v="Electronics"/>
    <x v="3"/>
    <x v="3"/>
  </r>
  <r>
    <n v="64"/>
    <x v="57"/>
    <x v="7"/>
    <n v="4"/>
    <n v="3"/>
    <n v="10"/>
    <n v="333589"/>
    <n v="3335890"/>
    <n v="1000767"/>
    <n v="0.3"/>
    <x v="1"/>
    <s v="Accessories"/>
    <x v="0"/>
    <x v="0"/>
  </r>
  <r>
    <n v="65"/>
    <x v="58"/>
    <x v="3"/>
    <n v="3"/>
    <n v="2"/>
    <n v="17"/>
    <n v="317662"/>
    <n v="5400254"/>
    <n v="1620076.2"/>
    <n v="0.3"/>
    <x v="2"/>
    <s v="Electronics"/>
    <x v="3"/>
    <x v="3"/>
  </r>
  <r>
    <n v="66"/>
    <x v="59"/>
    <x v="4"/>
    <n v="5"/>
    <n v="2"/>
    <n v="8"/>
    <n v="75841"/>
    <n v="606728"/>
    <n v="182018.4"/>
    <n v="0.3"/>
    <x v="4"/>
    <s v="Accessories"/>
    <x v="3"/>
    <x v="3"/>
  </r>
  <r>
    <n v="67"/>
    <x v="60"/>
    <x v="0"/>
    <n v="4"/>
    <n v="4"/>
    <n v="1"/>
    <n v="235337"/>
    <n v="235337"/>
    <n v="70601.099999999991"/>
    <n v="0.3"/>
    <x v="1"/>
    <s v="Accessories"/>
    <x v="1"/>
    <x v="1"/>
  </r>
  <r>
    <n v="68"/>
    <x v="61"/>
    <x v="8"/>
    <n v="3"/>
    <n v="1"/>
    <n v="1"/>
    <n v="287551"/>
    <n v="287551"/>
    <n v="86265.3"/>
    <n v="0.3"/>
    <x v="2"/>
    <s v="Electronics"/>
    <x v="2"/>
    <x v="2"/>
  </r>
  <r>
    <n v="69"/>
    <x v="45"/>
    <x v="2"/>
    <n v="1"/>
    <n v="1"/>
    <n v="10"/>
    <n v="114043"/>
    <n v="1140430"/>
    <n v="342129"/>
    <n v="0.3"/>
    <x v="3"/>
    <s v="Electronics"/>
    <x v="2"/>
    <x v="2"/>
  </r>
  <r>
    <n v="70"/>
    <x v="12"/>
    <x v="7"/>
    <n v="1"/>
    <n v="4"/>
    <n v="11"/>
    <n v="58664"/>
    <n v="645304"/>
    <n v="193591.19999999998"/>
    <n v="0.3"/>
    <x v="3"/>
    <s v="Electronics"/>
    <x v="1"/>
    <x v="1"/>
  </r>
  <r>
    <n v="71"/>
    <x v="62"/>
    <x v="7"/>
    <n v="4"/>
    <n v="1"/>
    <n v="19"/>
    <n v="160347"/>
    <n v="3046593"/>
    <n v="913977.9"/>
    <n v="0.3"/>
    <x v="1"/>
    <s v="Accessories"/>
    <x v="2"/>
    <x v="2"/>
  </r>
  <r>
    <n v="72"/>
    <x v="63"/>
    <x v="6"/>
    <n v="4"/>
    <n v="4"/>
    <n v="13"/>
    <n v="242547"/>
    <n v="3153111"/>
    <n v="945933.29999999993"/>
    <n v="0.3"/>
    <x v="1"/>
    <s v="Accessories"/>
    <x v="1"/>
    <x v="1"/>
  </r>
  <r>
    <n v="73"/>
    <x v="33"/>
    <x v="1"/>
    <n v="3"/>
    <n v="1"/>
    <n v="19"/>
    <n v="119965"/>
    <n v="2279335"/>
    <n v="683800.5"/>
    <n v="0.3"/>
    <x v="2"/>
    <s v="Electronics"/>
    <x v="2"/>
    <x v="2"/>
  </r>
  <r>
    <n v="74"/>
    <x v="64"/>
    <x v="4"/>
    <n v="5"/>
    <n v="2"/>
    <n v="6"/>
    <n v="144919"/>
    <n v="869514"/>
    <n v="260854.19999999998"/>
    <n v="0.3"/>
    <x v="4"/>
    <s v="Accessories"/>
    <x v="3"/>
    <x v="3"/>
  </r>
  <r>
    <n v="75"/>
    <x v="65"/>
    <x v="0"/>
    <n v="4"/>
    <n v="1"/>
    <n v="13"/>
    <n v="94519"/>
    <n v="1228747"/>
    <n v="368624.1"/>
    <n v="0.3"/>
    <x v="1"/>
    <s v="Accessories"/>
    <x v="2"/>
    <x v="2"/>
  </r>
  <r>
    <n v="76"/>
    <x v="66"/>
    <x v="4"/>
    <n v="1"/>
    <n v="4"/>
    <n v="2"/>
    <n v="348188"/>
    <n v="696376"/>
    <n v="208912.8"/>
    <n v="0.3"/>
    <x v="3"/>
    <s v="Electronics"/>
    <x v="1"/>
    <x v="1"/>
  </r>
  <r>
    <n v="77"/>
    <x v="67"/>
    <x v="10"/>
    <n v="3"/>
    <n v="3"/>
    <n v="12"/>
    <n v="217279"/>
    <n v="2607348"/>
    <n v="782204.4"/>
    <n v="0.3"/>
    <x v="2"/>
    <s v="Electronics"/>
    <x v="0"/>
    <x v="0"/>
  </r>
  <r>
    <n v="78"/>
    <x v="68"/>
    <x v="7"/>
    <n v="3"/>
    <n v="2"/>
    <n v="10"/>
    <n v="269031"/>
    <n v="2690310"/>
    <n v="807093"/>
    <n v="0.3"/>
    <x v="2"/>
    <s v="Electronics"/>
    <x v="3"/>
    <x v="3"/>
  </r>
  <r>
    <n v="79"/>
    <x v="69"/>
    <x v="5"/>
    <n v="3"/>
    <n v="2"/>
    <n v="15"/>
    <n v="296028"/>
    <n v="4440420"/>
    <n v="1332126"/>
    <n v="0.3"/>
    <x v="2"/>
    <s v="Electronics"/>
    <x v="3"/>
    <x v="3"/>
  </r>
  <r>
    <n v="80"/>
    <x v="70"/>
    <x v="0"/>
    <n v="5"/>
    <n v="4"/>
    <n v="17"/>
    <n v="285185"/>
    <n v="4848145"/>
    <n v="1454443.5"/>
    <n v="0.3"/>
    <x v="4"/>
    <s v="Accessories"/>
    <x v="1"/>
    <x v="1"/>
  </r>
  <r>
    <n v="81"/>
    <x v="43"/>
    <x v="4"/>
    <n v="2"/>
    <n v="2"/>
    <n v="5"/>
    <n v="199721"/>
    <n v="998605"/>
    <n v="299581.5"/>
    <n v="0.3"/>
    <x v="0"/>
    <s v="Electronics"/>
    <x v="3"/>
    <x v="3"/>
  </r>
  <r>
    <n v="82"/>
    <x v="71"/>
    <x v="1"/>
    <n v="2"/>
    <n v="1"/>
    <n v="1"/>
    <n v="164595"/>
    <n v="164595"/>
    <n v="49378.5"/>
    <n v="0.3"/>
    <x v="0"/>
    <s v="Electronics"/>
    <x v="2"/>
    <x v="2"/>
  </r>
  <r>
    <n v="83"/>
    <x v="72"/>
    <x v="1"/>
    <n v="5"/>
    <n v="2"/>
    <n v="18"/>
    <n v="78780"/>
    <n v="1418040"/>
    <n v="425412"/>
    <n v="0.3"/>
    <x v="4"/>
    <s v="Accessories"/>
    <x v="3"/>
    <x v="3"/>
  </r>
  <r>
    <n v="84"/>
    <x v="65"/>
    <x v="0"/>
    <n v="1"/>
    <n v="1"/>
    <n v="18"/>
    <n v="70222"/>
    <n v="1263996"/>
    <n v="379198.8"/>
    <n v="0.3"/>
    <x v="3"/>
    <s v="Electronics"/>
    <x v="2"/>
    <x v="2"/>
  </r>
  <r>
    <n v="85"/>
    <x v="73"/>
    <x v="6"/>
    <n v="3"/>
    <n v="1"/>
    <n v="12"/>
    <n v="165559"/>
    <n v="1986708"/>
    <n v="596012.4"/>
    <n v="0.3"/>
    <x v="2"/>
    <s v="Electronics"/>
    <x v="2"/>
    <x v="2"/>
  </r>
  <r>
    <n v="86"/>
    <x v="74"/>
    <x v="2"/>
    <n v="4"/>
    <n v="1"/>
    <n v="6"/>
    <n v="258062"/>
    <n v="1548372"/>
    <n v="464511.6"/>
    <n v="0.3"/>
    <x v="1"/>
    <s v="Accessories"/>
    <x v="2"/>
    <x v="2"/>
  </r>
  <r>
    <n v="87"/>
    <x v="75"/>
    <x v="11"/>
    <n v="1"/>
    <n v="1"/>
    <n v="19"/>
    <n v="181157"/>
    <n v="3441983"/>
    <n v="1032594.8999999999"/>
    <n v="0.3"/>
    <x v="3"/>
    <s v="Electronics"/>
    <x v="2"/>
    <x v="2"/>
  </r>
  <r>
    <n v="88"/>
    <x v="11"/>
    <x v="1"/>
    <n v="1"/>
    <n v="2"/>
    <n v="1"/>
    <n v="267065"/>
    <n v="267065"/>
    <n v="80119.5"/>
    <n v="0.3"/>
    <x v="3"/>
    <s v="Electronics"/>
    <x v="3"/>
    <x v="3"/>
  </r>
  <r>
    <n v="89"/>
    <x v="76"/>
    <x v="5"/>
    <n v="1"/>
    <n v="4"/>
    <n v="20"/>
    <n v="236490"/>
    <n v="4729800"/>
    <n v="1418940"/>
    <n v="0.3"/>
    <x v="3"/>
    <s v="Electronics"/>
    <x v="1"/>
    <x v="1"/>
  </r>
  <r>
    <n v="90"/>
    <x v="77"/>
    <x v="0"/>
    <n v="2"/>
    <n v="4"/>
    <n v="9"/>
    <n v="139041"/>
    <n v="1251369"/>
    <n v="375410.7"/>
    <n v="0.3"/>
    <x v="0"/>
    <s v="Electronics"/>
    <x v="1"/>
    <x v="1"/>
  </r>
  <r>
    <n v="91"/>
    <x v="60"/>
    <x v="0"/>
    <n v="5"/>
    <n v="2"/>
    <n v="10"/>
    <n v="176371"/>
    <n v="1763710"/>
    <n v="529113"/>
    <n v="0.3"/>
    <x v="4"/>
    <s v="Accessories"/>
    <x v="3"/>
    <x v="3"/>
  </r>
  <r>
    <n v="92"/>
    <x v="78"/>
    <x v="8"/>
    <n v="5"/>
    <n v="1"/>
    <n v="2"/>
    <n v="335704"/>
    <n v="671408"/>
    <n v="201422.4"/>
    <n v="0.3"/>
    <x v="4"/>
    <s v="Accessories"/>
    <x v="2"/>
    <x v="2"/>
  </r>
  <r>
    <n v="93"/>
    <x v="79"/>
    <x v="11"/>
    <n v="5"/>
    <n v="3"/>
    <n v="7"/>
    <n v="328841"/>
    <n v="2301887"/>
    <n v="690566.1"/>
    <n v="0.3"/>
    <x v="4"/>
    <s v="Accessories"/>
    <x v="0"/>
    <x v="0"/>
  </r>
  <r>
    <n v="94"/>
    <x v="80"/>
    <x v="5"/>
    <n v="4"/>
    <n v="3"/>
    <n v="4"/>
    <n v="98785"/>
    <n v="395140"/>
    <n v="118542"/>
    <n v="0.3"/>
    <x v="1"/>
    <s v="Accessories"/>
    <x v="0"/>
    <x v="0"/>
  </r>
  <r>
    <n v="95"/>
    <x v="81"/>
    <x v="5"/>
    <n v="2"/>
    <n v="3"/>
    <n v="8"/>
    <n v="308956"/>
    <n v="2471648"/>
    <n v="741494.4"/>
    <n v="0.3"/>
    <x v="0"/>
    <s v="Electronics"/>
    <x v="0"/>
    <x v="0"/>
  </r>
  <r>
    <n v="96"/>
    <x v="49"/>
    <x v="5"/>
    <n v="4"/>
    <n v="1"/>
    <n v="12"/>
    <n v="125999"/>
    <n v="1511988"/>
    <n v="453596.39999999997"/>
    <n v="0.3"/>
    <x v="1"/>
    <s v="Accessories"/>
    <x v="2"/>
    <x v="2"/>
  </r>
  <r>
    <n v="97"/>
    <x v="82"/>
    <x v="3"/>
    <n v="3"/>
    <n v="3"/>
    <n v="12"/>
    <n v="89398"/>
    <n v="1072776"/>
    <n v="321832.8"/>
    <n v="0.3"/>
    <x v="2"/>
    <s v="Electronics"/>
    <x v="0"/>
    <x v="0"/>
  </r>
  <r>
    <n v="98"/>
    <x v="83"/>
    <x v="4"/>
    <n v="1"/>
    <n v="1"/>
    <n v="17"/>
    <n v="169134"/>
    <n v="2875278"/>
    <n v="862583.4"/>
    <n v="0.3"/>
    <x v="3"/>
    <s v="Electronics"/>
    <x v="2"/>
    <x v="2"/>
  </r>
  <r>
    <n v="99"/>
    <x v="84"/>
    <x v="3"/>
    <n v="4"/>
    <n v="2"/>
    <n v="18"/>
    <n v="368954"/>
    <n v="6641172"/>
    <n v="1992351.5999999999"/>
    <n v="0.3"/>
    <x v="1"/>
    <s v="Accessories"/>
    <x v="3"/>
    <x v="3"/>
  </r>
  <r>
    <n v="100"/>
    <x v="85"/>
    <x v="9"/>
    <n v="1"/>
    <n v="1"/>
    <n v="15"/>
    <n v="126023"/>
    <n v="1890345"/>
    <n v="567103.5"/>
    <n v="0.3"/>
    <x v="3"/>
    <s v="Electronics"/>
    <x v="2"/>
    <x v="2"/>
  </r>
  <r>
    <n v="101"/>
    <x v="86"/>
    <x v="9"/>
    <n v="4"/>
    <n v="1"/>
    <n v="2"/>
    <n v="53432"/>
    <n v="106864"/>
    <n v="32059.199999999997"/>
    <n v="0.3"/>
    <x v="1"/>
    <s v="Accessories"/>
    <x v="2"/>
    <x v="2"/>
  </r>
  <r>
    <n v="102"/>
    <x v="82"/>
    <x v="3"/>
    <n v="3"/>
    <n v="3"/>
    <n v="17"/>
    <n v="64258"/>
    <n v="1092386"/>
    <n v="327715.8"/>
    <n v="0.3"/>
    <x v="2"/>
    <s v="Electronics"/>
    <x v="0"/>
    <x v="0"/>
  </r>
  <r>
    <n v="103"/>
    <x v="87"/>
    <x v="1"/>
    <n v="5"/>
    <n v="4"/>
    <n v="17"/>
    <n v="109936"/>
    <n v="1868912"/>
    <n v="560673.6"/>
    <n v="0.3"/>
    <x v="4"/>
    <s v="Accessories"/>
    <x v="1"/>
    <x v="1"/>
  </r>
  <r>
    <n v="104"/>
    <x v="39"/>
    <x v="0"/>
    <n v="1"/>
    <n v="1"/>
    <n v="1"/>
    <n v="306519"/>
    <n v="306519"/>
    <n v="91955.7"/>
    <n v="0.3"/>
    <x v="3"/>
    <s v="Electronics"/>
    <x v="2"/>
    <x v="2"/>
  </r>
  <r>
    <n v="105"/>
    <x v="88"/>
    <x v="1"/>
    <n v="2"/>
    <n v="4"/>
    <n v="6"/>
    <n v="343344"/>
    <n v="2060064"/>
    <n v="618019.19999999995"/>
    <n v="0.3"/>
    <x v="0"/>
    <s v="Electronics"/>
    <x v="1"/>
    <x v="1"/>
  </r>
  <r>
    <n v="106"/>
    <x v="89"/>
    <x v="4"/>
    <n v="5"/>
    <n v="4"/>
    <n v="9"/>
    <n v="275707"/>
    <n v="2481363"/>
    <n v="744408.9"/>
    <n v="0.3"/>
    <x v="4"/>
    <s v="Accessories"/>
    <x v="1"/>
    <x v="1"/>
  </r>
  <r>
    <n v="107"/>
    <x v="85"/>
    <x v="9"/>
    <n v="1"/>
    <n v="1"/>
    <n v="6"/>
    <n v="61544"/>
    <n v="369264"/>
    <n v="110779.2"/>
    <n v="0.3"/>
    <x v="3"/>
    <s v="Electronics"/>
    <x v="2"/>
    <x v="2"/>
  </r>
  <r>
    <n v="108"/>
    <x v="90"/>
    <x v="6"/>
    <n v="4"/>
    <n v="1"/>
    <n v="19"/>
    <n v="144149"/>
    <n v="2738831"/>
    <n v="821649.29999999993"/>
    <n v="0.3"/>
    <x v="1"/>
    <s v="Accessories"/>
    <x v="2"/>
    <x v="2"/>
  </r>
  <r>
    <n v="109"/>
    <x v="91"/>
    <x v="4"/>
    <n v="5"/>
    <n v="2"/>
    <n v="20"/>
    <n v="135307"/>
    <n v="2706140"/>
    <n v="811842"/>
    <n v="0.3"/>
    <x v="4"/>
    <s v="Accessories"/>
    <x v="3"/>
    <x v="3"/>
  </r>
  <r>
    <n v="110"/>
    <x v="92"/>
    <x v="8"/>
    <n v="4"/>
    <n v="3"/>
    <n v="13"/>
    <n v="210559"/>
    <n v="2737267"/>
    <n v="821180.1"/>
    <n v="0.3"/>
    <x v="1"/>
    <s v="Accessories"/>
    <x v="0"/>
    <x v="0"/>
  </r>
  <r>
    <n v="111"/>
    <x v="42"/>
    <x v="0"/>
    <n v="4"/>
    <n v="3"/>
    <n v="11"/>
    <n v="55352"/>
    <n v="608872"/>
    <n v="182661.6"/>
    <n v="0.3"/>
    <x v="1"/>
    <s v="Accessories"/>
    <x v="0"/>
    <x v="0"/>
  </r>
  <r>
    <n v="112"/>
    <x v="27"/>
    <x v="10"/>
    <n v="2"/>
    <n v="1"/>
    <n v="16"/>
    <n v="255952"/>
    <n v="4095232"/>
    <n v="1228569.5999999999"/>
    <n v="0.3"/>
    <x v="0"/>
    <s v="Electronics"/>
    <x v="2"/>
    <x v="2"/>
  </r>
  <r>
    <n v="113"/>
    <x v="93"/>
    <x v="10"/>
    <n v="2"/>
    <n v="4"/>
    <n v="12"/>
    <n v="154100"/>
    <n v="1849200"/>
    <n v="554760"/>
    <n v="0.3"/>
    <x v="0"/>
    <s v="Electronics"/>
    <x v="1"/>
    <x v="1"/>
  </r>
  <r>
    <n v="114"/>
    <x v="94"/>
    <x v="0"/>
    <n v="4"/>
    <n v="3"/>
    <n v="18"/>
    <n v="184966"/>
    <n v="3329388"/>
    <n v="998816.39999999991"/>
    <n v="0.3"/>
    <x v="1"/>
    <s v="Accessories"/>
    <x v="0"/>
    <x v="0"/>
  </r>
  <r>
    <n v="115"/>
    <x v="77"/>
    <x v="0"/>
    <n v="4"/>
    <n v="1"/>
    <n v="14"/>
    <n v="120651"/>
    <n v="1689114"/>
    <n v="506734.19999999995"/>
    <n v="0.3"/>
    <x v="1"/>
    <s v="Accessories"/>
    <x v="2"/>
    <x v="2"/>
  </r>
  <r>
    <n v="116"/>
    <x v="95"/>
    <x v="6"/>
    <n v="3"/>
    <n v="4"/>
    <n v="9"/>
    <n v="301635"/>
    <n v="2714715"/>
    <n v="814414.5"/>
    <n v="0.3"/>
    <x v="2"/>
    <s v="Electronics"/>
    <x v="1"/>
    <x v="1"/>
  </r>
  <r>
    <n v="117"/>
    <x v="96"/>
    <x v="2"/>
    <n v="1"/>
    <n v="4"/>
    <n v="4"/>
    <n v="78327"/>
    <n v="313308"/>
    <n v="93992.4"/>
    <n v="0.3"/>
    <x v="3"/>
    <s v="Electronics"/>
    <x v="1"/>
    <x v="1"/>
  </r>
  <r>
    <n v="118"/>
    <x v="97"/>
    <x v="10"/>
    <n v="2"/>
    <n v="2"/>
    <n v="8"/>
    <n v="74022"/>
    <n v="592176"/>
    <n v="177652.8"/>
    <n v="0.3"/>
    <x v="0"/>
    <s v="Electronics"/>
    <x v="3"/>
    <x v="3"/>
  </r>
  <r>
    <n v="119"/>
    <x v="98"/>
    <x v="10"/>
    <n v="2"/>
    <n v="2"/>
    <n v="18"/>
    <n v="238089"/>
    <n v="4285602"/>
    <n v="1285680.5999999999"/>
    <n v="0.3"/>
    <x v="0"/>
    <s v="Electronics"/>
    <x v="3"/>
    <x v="3"/>
  </r>
  <r>
    <n v="120"/>
    <x v="33"/>
    <x v="1"/>
    <n v="1"/>
    <n v="1"/>
    <n v="16"/>
    <n v="363780"/>
    <n v="5820480"/>
    <n v="1746144"/>
    <n v="0.3"/>
    <x v="3"/>
    <s v="Electronics"/>
    <x v="2"/>
    <x v="2"/>
  </r>
  <r>
    <n v="121"/>
    <x v="68"/>
    <x v="7"/>
    <n v="5"/>
    <n v="3"/>
    <n v="11"/>
    <n v="81370"/>
    <n v="895070"/>
    <n v="268521"/>
    <n v="0.3"/>
    <x v="4"/>
    <s v="Accessories"/>
    <x v="0"/>
    <x v="0"/>
  </r>
  <r>
    <n v="122"/>
    <x v="99"/>
    <x v="8"/>
    <n v="5"/>
    <n v="2"/>
    <n v="13"/>
    <n v="227745"/>
    <n v="2960685"/>
    <n v="888205.5"/>
    <n v="0.3"/>
    <x v="4"/>
    <s v="Accessories"/>
    <x v="3"/>
    <x v="3"/>
  </r>
  <r>
    <n v="123"/>
    <x v="10"/>
    <x v="2"/>
    <n v="3"/>
    <n v="1"/>
    <n v="18"/>
    <n v="326124"/>
    <n v="5870232"/>
    <n v="1761069.5999999999"/>
    <n v="0.3"/>
    <x v="2"/>
    <s v="Electronics"/>
    <x v="2"/>
    <x v="2"/>
  </r>
  <r>
    <n v="124"/>
    <x v="100"/>
    <x v="0"/>
    <n v="2"/>
    <n v="4"/>
    <n v="2"/>
    <n v="98678"/>
    <n v="197356"/>
    <n v="59206.799999999996"/>
    <n v="0.3"/>
    <x v="0"/>
    <s v="Electronics"/>
    <x v="1"/>
    <x v="1"/>
  </r>
  <r>
    <n v="125"/>
    <x v="52"/>
    <x v="3"/>
    <n v="3"/>
    <n v="3"/>
    <n v="14"/>
    <n v="362387"/>
    <n v="5073418"/>
    <n v="1522025.4"/>
    <n v="0.3"/>
    <x v="2"/>
    <s v="Electronics"/>
    <x v="0"/>
    <x v="0"/>
  </r>
  <r>
    <n v="126"/>
    <x v="101"/>
    <x v="3"/>
    <n v="4"/>
    <n v="1"/>
    <n v="12"/>
    <n v="164989"/>
    <n v="1979868"/>
    <n v="593960.4"/>
    <n v="0.3"/>
    <x v="1"/>
    <s v="Accessories"/>
    <x v="2"/>
    <x v="2"/>
  </r>
  <r>
    <n v="127"/>
    <x v="102"/>
    <x v="6"/>
    <n v="5"/>
    <n v="4"/>
    <n v="20"/>
    <n v="116024"/>
    <n v="2320480"/>
    <n v="696144"/>
    <n v="0.3"/>
    <x v="4"/>
    <s v="Accessories"/>
    <x v="1"/>
    <x v="1"/>
  </r>
  <r>
    <n v="128"/>
    <x v="103"/>
    <x v="9"/>
    <n v="3"/>
    <n v="3"/>
    <n v="5"/>
    <n v="270339"/>
    <n v="1351695"/>
    <n v="405508.5"/>
    <n v="0.3"/>
    <x v="2"/>
    <s v="Electronics"/>
    <x v="0"/>
    <x v="0"/>
  </r>
  <r>
    <n v="129"/>
    <x v="60"/>
    <x v="0"/>
    <n v="2"/>
    <n v="3"/>
    <n v="19"/>
    <n v="378878"/>
    <n v="7198682"/>
    <n v="2159604.6"/>
    <n v="0.3"/>
    <x v="0"/>
    <s v="Electronics"/>
    <x v="0"/>
    <x v="0"/>
  </r>
  <r>
    <n v="130"/>
    <x v="104"/>
    <x v="11"/>
    <n v="2"/>
    <n v="3"/>
    <n v="12"/>
    <n v="390403"/>
    <n v="4684836"/>
    <n v="1405450.8"/>
    <n v="0.3"/>
    <x v="0"/>
    <s v="Electronics"/>
    <x v="0"/>
    <x v="0"/>
  </r>
  <r>
    <n v="131"/>
    <x v="105"/>
    <x v="11"/>
    <n v="5"/>
    <n v="3"/>
    <n v="7"/>
    <n v="243986"/>
    <n v="1707902"/>
    <n v="512370.6"/>
    <n v="0.3"/>
    <x v="4"/>
    <s v="Accessories"/>
    <x v="0"/>
    <x v="0"/>
  </r>
  <r>
    <n v="132"/>
    <x v="106"/>
    <x v="3"/>
    <n v="1"/>
    <n v="1"/>
    <n v="1"/>
    <n v="391577"/>
    <n v="391577"/>
    <n v="117473.09999999999"/>
    <n v="0.3"/>
    <x v="3"/>
    <s v="Electronics"/>
    <x v="2"/>
    <x v="2"/>
  </r>
  <r>
    <n v="133"/>
    <x v="107"/>
    <x v="11"/>
    <n v="3"/>
    <n v="3"/>
    <n v="4"/>
    <n v="172792"/>
    <n v="691168"/>
    <n v="207350.39999999999"/>
    <n v="0.3"/>
    <x v="2"/>
    <s v="Electronics"/>
    <x v="0"/>
    <x v="0"/>
  </r>
  <r>
    <n v="134"/>
    <x v="86"/>
    <x v="9"/>
    <n v="2"/>
    <n v="3"/>
    <n v="19"/>
    <n v="265225"/>
    <n v="5039275"/>
    <n v="1511782.5"/>
    <n v="0.3"/>
    <x v="0"/>
    <s v="Electronics"/>
    <x v="0"/>
    <x v="0"/>
  </r>
  <r>
    <n v="135"/>
    <x v="108"/>
    <x v="1"/>
    <n v="5"/>
    <n v="3"/>
    <n v="17"/>
    <n v="262722"/>
    <n v="4466274"/>
    <n v="1339882.2"/>
    <n v="0.3"/>
    <x v="4"/>
    <s v="Accessories"/>
    <x v="0"/>
    <x v="0"/>
  </r>
  <r>
    <n v="136"/>
    <x v="109"/>
    <x v="2"/>
    <n v="4"/>
    <n v="4"/>
    <n v="3"/>
    <n v="183764"/>
    <n v="551292"/>
    <n v="165387.6"/>
    <n v="0.3"/>
    <x v="1"/>
    <s v="Accessories"/>
    <x v="1"/>
    <x v="1"/>
  </r>
  <r>
    <n v="137"/>
    <x v="1"/>
    <x v="1"/>
    <n v="5"/>
    <n v="3"/>
    <n v="7"/>
    <n v="139226"/>
    <n v="974582"/>
    <n v="292374.59999999998"/>
    <n v="0.3"/>
    <x v="4"/>
    <s v="Accessories"/>
    <x v="0"/>
    <x v="0"/>
  </r>
  <r>
    <n v="138"/>
    <x v="110"/>
    <x v="4"/>
    <n v="3"/>
    <n v="2"/>
    <n v="12"/>
    <n v="313885"/>
    <n v="3766620"/>
    <n v="1129986"/>
    <n v="0.3"/>
    <x v="2"/>
    <s v="Electronics"/>
    <x v="3"/>
    <x v="3"/>
  </r>
  <r>
    <n v="139"/>
    <x v="111"/>
    <x v="10"/>
    <n v="2"/>
    <n v="4"/>
    <n v="4"/>
    <n v="229522"/>
    <n v="918088"/>
    <n v="275426.39999999997"/>
    <n v="0.3"/>
    <x v="0"/>
    <s v="Electronics"/>
    <x v="1"/>
    <x v="1"/>
  </r>
  <r>
    <n v="140"/>
    <x v="112"/>
    <x v="8"/>
    <n v="2"/>
    <n v="4"/>
    <n v="16"/>
    <n v="255972"/>
    <n v="4095552"/>
    <n v="1228665.5999999999"/>
    <n v="0.3"/>
    <x v="0"/>
    <s v="Electronics"/>
    <x v="1"/>
    <x v="1"/>
  </r>
  <r>
    <n v="141"/>
    <x v="113"/>
    <x v="9"/>
    <n v="4"/>
    <n v="2"/>
    <n v="2"/>
    <n v="319719"/>
    <n v="639438"/>
    <n v="191831.4"/>
    <n v="0.3"/>
    <x v="1"/>
    <s v="Accessories"/>
    <x v="3"/>
    <x v="3"/>
  </r>
  <r>
    <n v="142"/>
    <x v="114"/>
    <x v="1"/>
    <n v="1"/>
    <n v="2"/>
    <n v="13"/>
    <n v="296161"/>
    <n v="3850093"/>
    <n v="1155027.8999999999"/>
    <n v="0.3"/>
    <x v="3"/>
    <s v="Electronics"/>
    <x v="3"/>
    <x v="3"/>
  </r>
  <r>
    <n v="143"/>
    <x v="115"/>
    <x v="1"/>
    <n v="1"/>
    <n v="2"/>
    <n v="11"/>
    <n v="76622"/>
    <n v="842842"/>
    <n v="252852.59999999998"/>
    <n v="0.3"/>
    <x v="3"/>
    <s v="Electronics"/>
    <x v="3"/>
    <x v="3"/>
  </r>
  <r>
    <n v="144"/>
    <x v="116"/>
    <x v="4"/>
    <n v="1"/>
    <n v="2"/>
    <n v="8"/>
    <n v="52305"/>
    <n v="418440"/>
    <n v="125532"/>
    <n v="0.3"/>
    <x v="3"/>
    <s v="Electronics"/>
    <x v="3"/>
    <x v="3"/>
  </r>
  <r>
    <n v="145"/>
    <x v="117"/>
    <x v="11"/>
    <n v="1"/>
    <n v="4"/>
    <n v="6"/>
    <n v="260211"/>
    <n v="1561266"/>
    <n v="468379.8"/>
    <n v="0.3"/>
    <x v="3"/>
    <s v="Electronics"/>
    <x v="1"/>
    <x v="1"/>
  </r>
  <r>
    <n v="146"/>
    <x v="118"/>
    <x v="3"/>
    <n v="5"/>
    <n v="2"/>
    <n v="1"/>
    <n v="193718"/>
    <n v="193718"/>
    <n v="58115.4"/>
    <n v="0.3"/>
    <x v="4"/>
    <s v="Accessories"/>
    <x v="3"/>
    <x v="3"/>
  </r>
  <r>
    <n v="147"/>
    <x v="119"/>
    <x v="9"/>
    <n v="5"/>
    <n v="2"/>
    <n v="16"/>
    <n v="291870"/>
    <n v="4669920"/>
    <n v="1400976"/>
    <n v="0.3"/>
    <x v="4"/>
    <s v="Accessories"/>
    <x v="3"/>
    <x v="3"/>
  </r>
  <r>
    <n v="148"/>
    <x v="120"/>
    <x v="3"/>
    <n v="3"/>
    <n v="3"/>
    <n v="3"/>
    <n v="278457"/>
    <n v="835371"/>
    <n v="250611.3"/>
    <n v="0.3"/>
    <x v="2"/>
    <s v="Electronics"/>
    <x v="0"/>
    <x v="0"/>
  </r>
  <r>
    <n v="149"/>
    <x v="48"/>
    <x v="1"/>
    <n v="4"/>
    <n v="3"/>
    <n v="12"/>
    <n v="204702"/>
    <n v="2456424"/>
    <n v="736927.2"/>
    <n v="0.3"/>
    <x v="1"/>
    <s v="Accessories"/>
    <x v="0"/>
    <x v="0"/>
  </r>
  <r>
    <n v="150"/>
    <x v="100"/>
    <x v="0"/>
    <n v="4"/>
    <n v="3"/>
    <n v="16"/>
    <n v="200956"/>
    <n v="3215296"/>
    <n v="964588.79999999993"/>
    <n v="0.3"/>
    <x v="1"/>
    <s v="Accessories"/>
    <x v="0"/>
    <x v="0"/>
  </r>
  <r>
    <n v="151"/>
    <x v="121"/>
    <x v="8"/>
    <n v="2"/>
    <n v="1"/>
    <n v="10"/>
    <n v="93864"/>
    <n v="938640"/>
    <n v="281592"/>
    <n v="0.3"/>
    <x v="0"/>
    <s v="Electronics"/>
    <x v="2"/>
    <x v="2"/>
  </r>
  <r>
    <n v="152"/>
    <x v="122"/>
    <x v="10"/>
    <n v="4"/>
    <n v="2"/>
    <n v="8"/>
    <n v="145433"/>
    <n v="1163464"/>
    <n v="349039.2"/>
    <n v="0.3"/>
    <x v="1"/>
    <s v="Accessories"/>
    <x v="3"/>
    <x v="3"/>
  </r>
  <r>
    <n v="153"/>
    <x v="42"/>
    <x v="0"/>
    <n v="4"/>
    <n v="2"/>
    <n v="3"/>
    <n v="258218"/>
    <n v="774654"/>
    <n v="232396.19999999998"/>
    <n v="0.3"/>
    <x v="1"/>
    <s v="Accessories"/>
    <x v="3"/>
    <x v="3"/>
  </r>
  <r>
    <n v="154"/>
    <x v="123"/>
    <x v="4"/>
    <n v="4"/>
    <n v="4"/>
    <n v="9"/>
    <n v="87286"/>
    <n v="785574"/>
    <n v="235672.19999999998"/>
    <n v="0.3"/>
    <x v="1"/>
    <s v="Accessories"/>
    <x v="1"/>
    <x v="1"/>
  </r>
  <r>
    <n v="155"/>
    <x v="124"/>
    <x v="7"/>
    <n v="1"/>
    <n v="1"/>
    <n v="10"/>
    <n v="285251"/>
    <n v="2852510"/>
    <n v="855753"/>
    <n v="0.3"/>
    <x v="3"/>
    <s v="Electronics"/>
    <x v="2"/>
    <x v="2"/>
  </r>
  <r>
    <n v="156"/>
    <x v="125"/>
    <x v="6"/>
    <n v="2"/>
    <n v="1"/>
    <n v="12"/>
    <n v="304530"/>
    <n v="3654360"/>
    <n v="1096308"/>
    <n v="0.3"/>
    <x v="0"/>
    <s v="Electronics"/>
    <x v="2"/>
    <x v="2"/>
  </r>
  <r>
    <n v="157"/>
    <x v="36"/>
    <x v="9"/>
    <n v="4"/>
    <n v="4"/>
    <n v="1"/>
    <n v="372395"/>
    <n v="372395"/>
    <n v="111718.5"/>
    <n v="0.3"/>
    <x v="1"/>
    <s v="Accessories"/>
    <x v="1"/>
    <x v="1"/>
  </r>
  <r>
    <n v="158"/>
    <x v="126"/>
    <x v="4"/>
    <n v="4"/>
    <n v="1"/>
    <n v="17"/>
    <n v="216262"/>
    <n v="3676454"/>
    <n v="1102936.2"/>
    <n v="0.3"/>
    <x v="1"/>
    <s v="Accessories"/>
    <x v="2"/>
    <x v="2"/>
  </r>
  <r>
    <n v="159"/>
    <x v="127"/>
    <x v="9"/>
    <n v="3"/>
    <n v="4"/>
    <n v="11"/>
    <n v="104775"/>
    <n v="1152525"/>
    <n v="345757.5"/>
    <n v="0.3"/>
    <x v="2"/>
    <s v="Electronics"/>
    <x v="1"/>
    <x v="1"/>
  </r>
  <r>
    <n v="160"/>
    <x v="51"/>
    <x v="2"/>
    <n v="1"/>
    <n v="1"/>
    <n v="13"/>
    <n v="76118"/>
    <n v="989534"/>
    <n v="296860.2"/>
    <n v="0.3"/>
    <x v="3"/>
    <s v="Electronics"/>
    <x v="2"/>
    <x v="2"/>
  </r>
  <r>
    <n v="161"/>
    <x v="86"/>
    <x v="9"/>
    <n v="1"/>
    <n v="1"/>
    <n v="20"/>
    <n v="323509"/>
    <n v="6470180"/>
    <n v="1941054"/>
    <n v="0.3"/>
    <x v="3"/>
    <s v="Electronics"/>
    <x v="2"/>
    <x v="2"/>
  </r>
  <r>
    <n v="162"/>
    <x v="76"/>
    <x v="5"/>
    <n v="1"/>
    <n v="1"/>
    <n v="13"/>
    <n v="198375"/>
    <n v="2578875"/>
    <n v="773662.5"/>
    <n v="0.3"/>
    <x v="3"/>
    <s v="Electronics"/>
    <x v="2"/>
    <x v="2"/>
  </r>
  <r>
    <n v="163"/>
    <x v="128"/>
    <x v="3"/>
    <n v="3"/>
    <n v="4"/>
    <n v="12"/>
    <n v="221142"/>
    <n v="2653704"/>
    <n v="796111.2"/>
    <n v="0.3"/>
    <x v="2"/>
    <s v="Electronics"/>
    <x v="1"/>
    <x v="1"/>
  </r>
  <r>
    <n v="164"/>
    <x v="27"/>
    <x v="10"/>
    <n v="1"/>
    <n v="3"/>
    <n v="11"/>
    <n v="336630"/>
    <n v="3702930"/>
    <n v="1110879"/>
    <n v="0.3"/>
    <x v="3"/>
    <s v="Electronics"/>
    <x v="0"/>
    <x v="0"/>
  </r>
  <r>
    <n v="165"/>
    <x v="129"/>
    <x v="5"/>
    <n v="2"/>
    <n v="2"/>
    <n v="8"/>
    <n v="71988"/>
    <n v="575904"/>
    <n v="172771.19999999998"/>
    <n v="0.3"/>
    <x v="0"/>
    <s v="Electronics"/>
    <x v="3"/>
    <x v="3"/>
  </r>
  <r>
    <n v="166"/>
    <x v="130"/>
    <x v="2"/>
    <n v="5"/>
    <n v="1"/>
    <n v="4"/>
    <n v="396875"/>
    <n v="1587500"/>
    <n v="476250"/>
    <n v="0.3"/>
    <x v="4"/>
    <s v="Accessories"/>
    <x v="2"/>
    <x v="2"/>
  </r>
  <r>
    <n v="167"/>
    <x v="131"/>
    <x v="7"/>
    <n v="4"/>
    <n v="4"/>
    <n v="15"/>
    <n v="302599"/>
    <n v="4538985"/>
    <n v="1361695.5"/>
    <n v="0.3"/>
    <x v="1"/>
    <s v="Accessories"/>
    <x v="1"/>
    <x v="1"/>
  </r>
  <r>
    <n v="168"/>
    <x v="132"/>
    <x v="2"/>
    <n v="4"/>
    <n v="1"/>
    <n v="15"/>
    <n v="393985"/>
    <n v="5909775"/>
    <n v="1772932.5"/>
    <n v="0.3"/>
    <x v="1"/>
    <s v="Accessories"/>
    <x v="2"/>
    <x v="2"/>
  </r>
  <r>
    <n v="169"/>
    <x v="133"/>
    <x v="4"/>
    <n v="2"/>
    <n v="4"/>
    <n v="14"/>
    <n v="302330"/>
    <n v="4232620"/>
    <n v="1269786"/>
    <n v="0.3"/>
    <x v="0"/>
    <s v="Electronics"/>
    <x v="1"/>
    <x v="1"/>
  </r>
  <r>
    <n v="170"/>
    <x v="5"/>
    <x v="1"/>
    <n v="1"/>
    <n v="1"/>
    <n v="9"/>
    <n v="347450"/>
    <n v="3127050"/>
    <n v="938115"/>
    <n v="0.3"/>
    <x v="3"/>
    <s v="Electronics"/>
    <x v="2"/>
    <x v="2"/>
  </r>
  <r>
    <n v="171"/>
    <x v="35"/>
    <x v="0"/>
    <n v="2"/>
    <n v="4"/>
    <n v="13"/>
    <n v="102667"/>
    <n v="1334671"/>
    <n v="400401.3"/>
    <n v="0.3"/>
    <x v="0"/>
    <s v="Electronics"/>
    <x v="1"/>
    <x v="1"/>
  </r>
  <r>
    <n v="172"/>
    <x v="43"/>
    <x v="4"/>
    <n v="1"/>
    <n v="3"/>
    <n v="1"/>
    <n v="379325"/>
    <n v="379325"/>
    <n v="113797.5"/>
    <n v="0.3"/>
    <x v="3"/>
    <s v="Electronics"/>
    <x v="0"/>
    <x v="0"/>
  </r>
  <r>
    <n v="173"/>
    <x v="134"/>
    <x v="6"/>
    <n v="5"/>
    <n v="2"/>
    <n v="6"/>
    <n v="376075"/>
    <n v="2256450"/>
    <n v="676935"/>
    <n v="0.3"/>
    <x v="4"/>
    <s v="Accessories"/>
    <x v="3"/>
    <x v="3"/>
  </r>
  <r>
    <n v="174"/>
    <x v="135"/>
    <x v="4"/>
    <n v="2"/>
    <n v="1"/>
    <n v="2"/>
    <n v="393951"/>
    <n v="787902"/>
    <n v="236370.59999999998"/>
    <n v="0.3"/>
    <x v="0"/>
    <s v="Electronics"/>
    <x v="2"/>
    <x v="2"/>
  </r>
  <r>
    <n v="175"/>
    <x v="136"/>
    <x v="11"/>
    <n v="1"/>
    <n v="2"/>
    <n v="7"/>
    <n v="341047"/>
    <n v="2387329"/>
    <n v="716198.7"/>
    <n v="0.3"/>
    <x v="3"/>
    <s v="Electronics"/>
    <x v="3"/>
    <x v="3"/>
  </r>
  <r>
    <n v="176"/>
    <x v="39"/>
    <x v="0"/>
    <n v="4"/>
    <n v="3"/>
    <n v="20"/>
    <n v="350291"/>
    <n v="7005820"/>
    <n v="2101746"/>
    <n v="0.3"/>
    <x v="1"/>
    <s v="Accessories"/>
    <x v="0"/>
    <x v="0"/>
  </r>
  <r>
    <n v="177"/>
    <x v="137"/>
    <x v="2"/>
    <n v="3"/>
    <n v="3"/>
    <n v="10"/>
    <n v="234646"/>
    <n v="2346460"/>
    <n v="703938"/>
    <n v="0.3"/>
    <x v="2"/>
    <s v="Electronics"/>
    <x v="0"/>
    <x v="0"/>
  </r>
  <r>
    <n v="178"/>
    <x v="138"/>
    <x v="11"/>
    <n v="4"/>
    <n v="2"/>
    <n v="5"/>
    <n v="175089"/>
    <n v="875445"/>
    <n v="262633.5"/>
    <n v="0.3"/>
    <x v="1"/>
    <s v="Accessories"/>
    <x v="3"/>
    <x v="3"/>
  </r>
  <r>
    <n v="179"/>
    <x v="139"/>
    <x v="6"/>
    <n v="3"/>
    <n v="4"/>
    <n v="13"/>
    <n v="80569"/>
    <n v="1047397"/>
    <n v="314219.09999999998"/>
    <n v="0.3"/>
    <x v="2"/>
    <s v="Electronics"/>
    <x v="1"/>
    <x v="1"/>
  </r>
  <r>
    <n v="180"/>
    <x v="140"/>
    <x v="1"/>
    <n v="1"/>
    <n v="1"/>
    <n v="3"/>
    <n v="58676"/>
    <n v="176028"/>
    <n v="52808.4"/>
    <n v="0.3"/>
    <x v="3"/>
    <s v="Electronics"/>
    <x v="2"/>
    <x v="2"/>
  </r>
  <r>
    <n v="181"/>
    <x v="67"/>
    <x v="10"/>
    <n v="3"/>
    <n v="2"/>
    <n v="8"/>
    <n v="237840"/>
    <n v="1902720"/>
    <n v="570816"/>
    <n v="0.3"/>
    <x v="2"/>
    <s v="Electronics"/>
    <x v="3"/>
    <x v="3"/>
  </r>
  <r>
    <n v="182"/>
    <x v="63"/>
    <x v="6"/>
    <n v="4"/>
    <n v="1"/>
    <n v="3"/>
    <n v="293186"/>
    <n v="879558"/>
    <n v="263867.39999999997"/>
    <n v="0.29999999999999993"/>
    <x v="1"/>
    <s v="Accessories"/>
    <x v="2"/>
    <x v="2"/>
  </r>
  <r>
    <n v="183"/>
    <x v="141"/>
    <x v="9"/>
    <n v="3"/>
    <n v="3"/>
    <n v="18"/>
    <n v="264371"/>
    <n v="4758678"/>
    <n v="1427603.4"/>
    <n v="0.3"/>
    <x v="2"/>
    <s v="Electronics"/>
    <x v="0"/>
    <x v="0"/>
  </r>
  <r>
    <n v="184"/>
    <x v="142"/>
    <x v="3"/>
    <n v="1"/>
    <n v="3"/>
    <n v="19"/>
    <n v="85585"/>
    <n v="1626115"/>
    <n v="487834.5"/>
    <n v="0.3"/>
    <x v="3"/>
    <s v="Electronics"/>
    <x v="0"/>
    <x v="0"/>
  </r>
  <r>
    <n v="185"/>
    <x v="143"/>
    <x v="1"/>
    <n v="1"/>
    <n v="1"/>
    <n v="3"/>
    <n v="114816"/>
    <n v="344448"/>
    <n v="103334.39999999999"/>
    <n v="0.3"/>
    <x v="3"/>
    <s v="Electronics"/>
    <x v="2"/>
    <x v="2"/>
  </r>
  <r>
    <n v="186"/>
    <x v="144"/>
    <x v="11"/>
    <n v="5"/>
    <n v="4"/>
    <n v="8"/>
    <n v="162177"/>
    <n v="1297416"/>
    <n v="389224.8"/>
    <n v="0.3"/>
    <x v="4"/>
    <s v="Accessories"/>
    <x v="1"/>
    <x v="1"/>
  </r>
  <r>
    <n v="187"/>
    <x v="145"/>
    <x v="6"/>
    <n v="4"/>
    <n v="3"/>
    <n v="20"/>
    <n v="382154"/>
    <n v="7643080"/>
    <n v="2292924"/>
    <n v="0.3"/>
    <x v="1"/>
    <s v="Accessories"/>
    <x v="0"/>
    <x v="0"/>
  </r>
  <r>
    <n v="188"/>
    <x v="4"/>
    <x v="4"/>
    <n v="4"/>
    <n v="2"/>
    <n v="8"/>
    <n v="244547"/>
    <n v="1956376"/>
    <n v="586912.79999999993"/>
    <n v="0.3"/>
    <x v="1"/>
    <s v="Accessories"/>
    <x v="3"/>
    <x v="3"/>
  </r>
  <r>
    <n v="189"/>
    <x v="146"/>
    <x v="1"/>
    <n v="1"/>
    <n v="1"/>
    <n v="14"/>
    <n v="311212"/>
    <n v="4356968"/>
    <n v="1307090.3999999999"/>
    <n v="0.3"/>
    <x v="3"/>
    <s v="Electronics"/>
    <x v="2"/>
    <x v="2"/>
  </r>
  <r>
    <n v="190"/>
    <x v="147"/>
    <x v="10"/>
    <n v="2"/>
    <n v="4"/>
    <n v="9"/>
    <n v="333366"/>
    <n v="3000294"/>
    <n v="900088.2"/>
    <n v="0.3"/>
    <x v="0"/>
    <s v="Electronics"/>
    <x v="1"/>
    <x v="1"/>
  </r>
  <r>
    <n v="191"/>
    <x v="148"/>
    <x v="3"/>
    <n v="1"/>
    <n v="4"/>
    <n v="8"/>
    <n v="241507"/>
    <n v="1932056"/>
    <n v="579616.79999999993"/>
    <n v="0.3"/>
    <x v="3"/>
    <s v="Electronics"/>
    <x v="1"/>
    <x v="1"/>
  </r>
  <r>
    <n v="192"/>
    <x v="49"/>
    <x v="5"/>
    <n v="1"/>
    <n v="4"/>
    <n v="15"/>
    <n v="175563"/>
    <n v="2633445"/>
    <n v="790033.5"/>
    <n v="0.3"/>
    <x v="3"/>
    <s v="Electronics"/>
    <x v="1"/>
    <x v="1"/>
  </r>
  <r>
    <n v="193"/>
    <x v="124"/>
    <x v="7"/>
    <n v="3"/>
    <n v="1"/>
    <n v="19"/>
    <n v="213008"/>
    <n v="4047152"/>
    <n v="1214145.5999999999"/>
    <n v="0.3"/>
    <x v="2"/>
    <s v="Electronics"/>
    <x v="2"/>
    <x v="2"/>
  </r>
  <r>
    <n v="194"/>
    <x v="149"/>
    <x v="6"/>
    <n v="3"/>
    <n v="2"/>
    <n v="11"/>
    <n v="89606"/>
    <n v="985666"/>
    <n v="295699.8"/>
    <n v="0.3"/>
    <x v="2"/>
    <s v="Electronics"/>
    <x v="3"/>
    <x v="3"/>
  </r>
  <r>
    <n v="195"/>
    <x v="10"/>
    <x v="2"/>
    <n v="2"/>
    <n v="3"/>
    <n v="9"/>
    <n v="68443"/>
    <n v="615987"/>
    <n v="184796.1"/>
    <n v="0.3"/>
    <x v="0"/>
    <s v="Electronics"/>
    <x v="0"/>
    <x v="0"/>
  </r>
  <r>
    <n v="196"/>
    <x v="88"/>
    <x v="1"/>
    <n v="1"/>
    <n v="1"/>
    <n v="13"/>
    <n v="288505"/>
    <n v="3750565"/>
    <n v="1125169.5"/>
    <n v="0.3"/>
    <x v="3"/>
    <s v="Electronics"/>
    <x v="2"/>
    <x v="2"/>
  </r>
  <r>
    <n v="197"/>
    <x v="50"/>
    <x v="11"/>
    <n v="4"/>
    <n v="3"/>
    <n v="16"/>
    <n v="384297"/>
    <n v="6148752"/>
    <n v="1844625.5999999999"/>
    <n v="0.3"/>
    <x v="1"/>
    <s v="Accessories"/>
    <x v="0"/>
    <x v="0"/>
  </r>
  <r>
    <n v="198"/>
    <x v="128"/>
    <x v="3"/>
    <n v="3"/>
    <n v="2"/>
    <n v="1"/>
    <n v="295919"/>
    <n v="295919"/>
    <n v="88775.7"/>
    <n v="0.3"/>
    <x v="2"/>
    <s v="Electronics"/>
    <x v="3"/>
    <x v="3"/>
  </r>
  <r>
    <n v="199"/>
    <x v="150"/>
    <x v="0"/>
    <n v="5"/>
    <n v="1"/>
    <n v="8"/>
    <n v="128613"/>
    <n v="1028904"/>
    <n v="308671.2"/>
    <n v="0.3"/>
    <x v="4"/>
    <s v="Accessories"/>
    <x v="2"/>
    <x v="2"/>
  </r>
  <r>
    <n v="200"/>
    <x v="125"/>
    <x v="6"/>
    <n v="4"/>
    <n v="4"/>
    <n v="2"/>
    <n v="388682"/>
    <n v="777364"/>
    <n v="233209.19999999998"/>
    <n v="0.3"/>
    <x v="1"/>
    <s v="Accessories"/>
    <x v="1"/>
    <x v="1"/>
  </r>
  <r>
    <n v="201"/>
    <x v="40"/>
    <x v="2"/>
    <n v="1"/>
    <n v="4"/>
    <n v="9"/>
    <n v="365556"/>
    <n v="3290004"/>
    <n v="987001.2"/>
    <n v="0.3"/>
    <x v="3"/>
    <s v="Electronics"/>
    <x v="1"/>
    <x v="1"/>
  </r>
  <r>
    <n v="202"/>
    <x v="151"/>
    <x v="7"/>
    <n v="5"/>
    <n v="2"/>
    <n v="13"/>
    <n v="377017"/>
    <n v="4901221"/>
    <n v="1470366.3"/>
    <n v="0.3"/>
    <x v="4"/>
    <s v="Accessories"/>
    <x v="3"/>
    <x v="3"/>
  </r>
  <r>
    <n v="203"/>
    <x v="152"/>
    <x v="2"/>
    <n v="1"/>
    <n v="3"/>
    <n v="17"/>
    <n v="116131"/>
    <n v="1974227"/>
    <n v="592268.1"/>
    <n v="0.3"/>
    <x v="3"/>
    <s v="Electronics"/>
    <x v="0"/>
    <x v="0"/>
  </r>
  <r>
    <n v="204"/>
    <x v="59"/>
    <x v="4"/>
    <n v="2"/>
    <n v="4"/>
    <n v="18"/>
    <n v="132072"/>
    <n v="2377296"/>
    <n v="713188.79999999993"/>
    <n v="0.3"/>
    <x v="0"/>
    <s v="Electronics"/>
    <x v="1"/>
    <x v="1"/>
  </r>
  <r>
    <n v="205"/>
    <x v="153"/>
    <x v="11"/>
    <n v="1"/>
    <n v="1"/>
    <n v="20"/>
    <n v="271896"/>
    <n v="5437920"/>
    <n v="1631376"/>
    <n v="0.3"/>
    <x v="3"/>
    <s v="Electronics"/>
    <x v="2"/>
    <x v="2"/>
  </r>
  <r>
    <n v="206"/>
    <x v="154"/>
    <x v="6"/>
    <n v="3"/>
    <n v="1"/>
    <n v="2"/>
    <n v="372910"/>
    <n v="745820"/>
    <n v="223746"/>
    <n v="0.3"/>
    <x v="2"/>
    <s v="Electronics"/>
    <x v="2"/>
    <x v="2"/>
  </r>
  <r>
    <n v="207"/>
    <x v="155"/>
    <x v="5"/>
    <n v="3"/>
    <n v="1"/>
    <n v="19"/>
    <n v="387137"/>
    <n v="7355603"/>
    <n v="2206680.9"/>
    <n v="0.3"/>
    <x v="2"/>
    <s v="Electronics"/>
    <x v="2"/>
    <x v="2"/>
  </r>
  <r>
    <n v="208"/>
    <x v="156"/>
    <x v="8"/>
    <n v="2"/>
    <n v="2"/>
    <n v="4"/>
    <n v="135847"/>
    <n v="543388"/>
    <n v="163016.4"/>
    <n v="0.3"/>
    <x v="0"/>
    <s v="Electronics"/>
    <x v="3"/>
    <x v="3"/>
  </r>
  <r>
    <n v="209"/>
    <x v="157"/>
    <x v="7"/>
    <n v="3"/>
    <n v="1"/>
    <n v="20"/>
    <n v="191411"/>
    <n v="3828220"/>
    <n v="1148466"/>
    <n v="0.3"/>
    <x v="2"/>
    <s v="Electronics"/>
    <x v="2"/>
    <x v="2"/>
  </r>
  <r>
    <n v="210"/>
    <x v="158"/>
    <x v="4"/>
    <n v="3"/>
    <n v="4"/>
    <n v="16"/>
    <n v="260508"/>
    <n v="4168128"/>
    <n v="1250438.3999999999"/>
    <n v="0.3"/>
    <x v="2"/>
    <s v="Electronics"/>
    <x v="1"/>
    <x v="1"/>
  </r>
  <r>
    <n v="211"/>
    <x v="159"/>
    <x v="0"/>
    <n v="2"/>
    <n v="2"/>
    <n v="4"/>
    <n v="221069"/>
    <n v="884276"/>
    <n v="265282.8"/>
    <n v="0.3"/>
    <x v="0"/>
    <s v="Electronics"/>
    <x v="3"/>
    <x v="3"/>
  </r>
  <r>
    <n v="212"/>
    <x v="160"/>
    <x v="5"/>
    <n v="3"/>
    <n v="1"/>
    <n v="2"/>
    <n v="357296"/>
    <n v="714592"/>
    <n v="214377.60000000001"/>
    <n v="0.3"/>
    <x v="2"/>
    <s v="Electronics"/>
    <x v="2"/>
    <x v="2"/>
  </r>
  <r>
    <n v="213"/>
    <x v="161"/>
    <x v="8"/>
    <n v="4"/>
    <n v="1"/>
    <n v="19"/>
    <n v="327007"/>
    <n v="6213133"/>
    <n v="1863939.9"/>
    <n v="0.3"/>
    <x v="1"/>
    <s v="Accessories"/>
    <x v="2"/>
    <x v="2"/>
  </r>
  <r>
    <n v="214"/>
    <x v="162"/>
    <x v="1"/>
    <n v="1"/>
    <n v="1"/>
    <n v="8"/>
    <n v="211167"/>
    <n v="1689336"/>
    <n v="506800.8"/>
    <n v="0.3"/>
    <x v="3"/>
    <s v="Electronics"/>
    <x v="2"/>
    <x v="2"/>
  </r>
  <r>
    <n v="215"/>
    <x v="158"/>
    <x v="4"/>
    <n v="2"/>
    <n v="1"/>
    <n v="17"/>
    <n v="89696"/>
    <n v="1524832"/>
    <n v="457449.6"/>
    <n v="0.3"/>
    <x v="0"/>
    <s v="Electronics"/>
    <x v="2"/>
    <x v="2"/>
  </r>
  <r>
    <n v="216"/>
    <x v="144"/>
    <x v="11"/>
    <n v="4"/>
    <n v="4"/>
    <n v="12"/>
    <n v="170363"/>
    <n v="2044356"/>
    <n v="613306.79999999993"/>
    <n v="0.3"/>
    <x v="1"/>
    <s v="Accessories"/>
    <x v="1"/>
    <x v="1"/>
  </r>
  <r>
    <n v="217"/>
    <x v="163"/>
    <x v="8"/>
    <n v="1"/>
    <n v="1"/>
    <n v="8"/>
    <n v="311371"/>
    <n v="2490968"/>
    <n v="747290.4"/>
    <n v="0.3"/>
    <x v="3"/>
    <s v="Electronics"/>
    <x v="2"/>
    <x v="2"/>
  </r>
  <r>
    <n v="218"/>
    <x v="120"/>
    <x v="3"/>
    <n v="4"/>
    <n v="4"/>
    <n v="13"/>
    <n v="307465"/>
    <n v="3997045"/>
    <n v="1199113.5"/>
    <n v="0.3"/>
    <x v="1"/>
    <s v="Accessories"/>
    <x v="1"/>
    <x v="1"/>
  </r>
  <r>
    <n v="219"/>
    <x v="164"/>
    <x v="2"/>
    <n v="3"/>
    <n v="2"/>
    <n v="4"/>
    <n v="181745"/>
    <n v="726980"/>
    <n v="218094"/>
    <n v="0.3"/>
    <x v="2"/>
    <s v="Electronics"/>
    <x v="3"/>
    <x v="3"/>
  </r>
  <r>
    <n v="220"/>
    <x v="165"/>
    <x v="5"/>
    <n v="2"/>
    <n v="2"/>
    <n v="13"/>
    <n v="286854"/>
    <n v="3729102"/>
    <n v="1118730.5999999999"/>
    <n v="0.3"/>
    <x v="0"/>
    <s v="Electronics"/>
    <x v="3"/>
    <x v="3"/>
  </r>
  <r>
    <n v="221"/>
    <x v="166"/>
    <x v="9"/>
    <n v="3"/>
    <n v="4"/>
    <n v="11"/>
    <n v="59463"/>
    <n v="654093"/>
    <n v="196227.9"/>
    <n v="0.3"/>
    <x v="2"/>
    <s v="Electronics"/>
    <x v="1"/>
    <x v="1"/>
  </r>
  <r>
    <n v="222"/>
    <x v="167"/>
    <x v="10"/>
    <n v="2"/>
    <n v="4"/>
    <n v="18"/>
    <n v="397973"/>
    <n v="7163514"/>
    <n v="2149054.1999999997"/>
    <n v="0.29999999999999993"/>
    <x v="0"/>
    <s v="Electronics"/>
    <x v="1"/>
    <x v="1"/>
  </r>
  <r>
    <n v="223"/>
    <x v="168"/>
    <x v="10"/>
    <n v="1"/>
    <n v="4"/>
    <n v="18"/>
    <n v="208546"/>
    <n v="3753828"/>
    <n v="1126148.3999999999"/>
    <n v="0.3"/>
    <x v="3"/>
    <s v="Electronics"/>
    <x v="1"/>
    <x v="1"/>
  </r>
  <r>
    <n v="224"/>
    <x v="125"/>
    <x v="6"/>
    <n v="3"/>
    <n v="1"/>
    <n v="14"/>
    <n v="178698"/>
    <n v="2501772"/>
    <n v="750531.6"/>
    <n v="0.3"/>
    <x v="2"/>
    <s v="Electronics"/>
    <x v="2"/>
    <x v="2"/>
  </r>
  <r>
    <n v="225"/>
    <x v="169"/>
    <x v="8"/>
    <n v="2"/>
    <n v="3"/>
    <n v="18"/>
    <n v="85396"/>
    <n v="1537128"/>
    <n v="461138.39999999997"/>
    <n v="0.3"/>
    <x v="0"/>
    <s v="Electronics"/>
    <x v="0"/>
    <x v="0"/>
  </r>
  <r>
    <n v="226"/>
    <x v="27"/>
    <x v="10"/>
    <n v="1"/>
    <n v="2"/>
    <n v="13"/>
    <n v="285520"/>
    <n v="3711760"/>
    <n v="1113528"/>
    <n v="0.3"/>
    <x v="3"/>
    <s v="Electronics"/>
    <x v="3"/>
    <x v="3"/>
  </r>
  <r>
    <n v="227"/>
    <x v="150"/>
    <x v="0"/>
    <n v="4"/>
    <n v="1"/>
    <n v="5"/>
    <n v="358077"/>
    <n v="1790385"/>
    <n v="537115.5"/>
    <n v="0.3"/>
    <x v="1"/>
    <s v="Accessories"/>
    <x v="2"/>
    <x v="2"/>
  </r>
  <r>
    <n v="228"/>
    <x v="170"/>
    <x v="6"/>
    <n v="4"/>
    <n v="4"/>
    <n v="16"/>
    <n v="195045"/>
    <n v="3120720"/>
    <n v="936216"/>
    <n v="0.3"/>
    <x v="1"/>
    <s v="Accessories"/>
    <x v="1"/>
    <x v="1"/>
  </r>
  <r>
    <n v="229"/>
    <x v="171"/>
    <x v="11"/>
    <n v="2"/>
    <n v="4"/>
    <n v="11"/>
    <n v="198714"/>
    <n v="2185854"/>
    <n v="655756.19999999995"/>
    <n v="0.3"/>
    <x v="0"/>
    <s v="Electronics"/>
    <x v="1"/>
    <x v="1"/>
  </r>
  <r>
    <n v="230"/>
    <x v="141"/>
    <x v="9"/>
    <n v="2"/>
    <n v="1"/>
    <n v="20"/>
    <n v="321635"/>
    <n v="6432700"/>
    <n v="1929810"/>
    <n v="0.3"/>
    <x v="0"/>
    <s v="Electronics"/>
    <x v="2"/>
    <x v="2"/>
  </r>
  <r>
    <n v="231"/>
    <x v="110"/>
    <x v="4"/>
    <n v="3"/>
    <n v="4"/>
    <n v="15"/>
    <n v="349442"/>
    <n v="5241630"/>
    <n v="1572489"/>
    <n v="0.3"/>
    <x v="2"/>
    <s v="Electronics"/>
    <x v="1"/>
    <x v="1"/>
  </r>
  <r>
    <n v="232"/>
    <x v="172"/>
    <x v="11"/>
    <n v="4"/>
    <n v="2"/>
    <n v="5"/>
    <n v="146423"/>
    <n v="732115"/>
    <n v="219634.5"/>
    <n v="0.3"/>
    <x v="1"/>
    <s v="Accessories"/>
    <x v="3"/>
    <x v="3"/>
  </r>
  <r>
    <n v="233"/>
    <x v="23"/>
    <x v="10"/>
    <n v="2"/>
    <n v="4"/>
    <n v="9"/>
    <n v="82830"/>
    <n v="745470"/>
    <n v="223641"/>
    <n v="0.3"/>
    <x v="0"/>
    <s v="Electronics"/>
    <x v="1"/>
    <x v="1"/>
  </r>
  <r>
    <n v="234"/>
    <x v="5"/>
    <x v="1"/>
    <n v="2"/>
    <n v="3"/>
    <n v="10"/>
    <n v="274210"/>
    <n v="2742100"/>
    <n v="822630"/>
    <n v="0.3"/>
    <x v="0"/>
    <s v="Electronics"/>
    <x v="0"/>
    <x v="0"/>
  </r>
  <r>
    <n v="235"/>
    <x v="123"/>
    <x v="4"/>
    <n v="4"/>
    <n v="1"/>
    <n v="8"/>
    <n v="175941"/>
    <n v="1407528"/>
    <n v="422258.39999999997"/>
    <n v="0.3"/>
    <x v="1"/>
    <s v="Accessories"/>
    <x v="2"/>
    <x v="2"/>
  </r>
  <r>
    <n v="236"/>
    <x v="173"/>
    <x v="2"/>
    <n v="4"/>
    <n v="2"/>
    <n v="16"/>
    <n v="296011"/>
    <n v="4736176"/>
    <n v="1420852.8"/>
    <n v="0.3"/>
    <x v="1"/>
    <s v="Accessories"/>
    <x v="3"/>
    <x v="3"/>
  </r>
  <r>
    <n v="237"/>
    <x v="174"/>
    <x v="2"/>
    <n v="5"/>
    <n v="2"/>
    <n v="16"/>
    <n v="273519"/>
    <n v="4376304"/>
    <n v="1312891.2"/>
    <n v="0.3"/>
    <x v="4"/>
    <s v="Accessories"/>
    <x v="3"/>
    <x v="3"/>
  </r>
  <r>
    <n v="238"/>
    <x v="74"/>
    <x v="2"/>
    <n v="1"/>
    <n v="4"/>
    <n v="9"/>
    <n v="56528"/>
    <n v="508752"/>
    <n v="152625.60000000001"/>
    <n v="0.3"/>
    <x v="3"/>
    <s v="Electronics"/>
    <x v="1"/>
    <x v="1"/>
  </r>
  <r>
    <n v="239"/>
    <x v="82"/>
    <x v="3"/>
    <n v="1"/>
    <n v="2"/>
    <n v="9"/>
    <n v="131404"/>
    <n v="1182636"/>
    <n v="354790.8"/>
    <n v="0.3"/>
    <x v="3"/>
    <s v="Electronics"/>
    <x v="3"/>
    <x v="3"/>
  </r>
  <r>
    <n v="240"/>
    <x v="175"/>
    <x v="8"/>
    <n v="5"/>
    <n v="2"/>
    <n v="12"/>
    <n v="200388"/>
    <n v="2404656"/>
    <n v="721396.79999999993"/>
    <n v="0.3"/>
    <x v="4"/>
    <s v="Accessories"/>
    <x v="3"/>
    <x v="3"/>
  </r>
  <r>
    <n v="241"/>
    <x v="155"/>
    <x v="5"/>
    <n v="1"/>
    <n v="1"/>
    <n v="8"/>
    <n v="371480"/>
    <n v="2971840"/>
    <n v="891552"/>
    <n v="0.3"/>
    <x v="3"/>
    <s v="Electronics"/>
    <x v="2"/>
    <x v="2"/>
  </r>
  <r>
    <n v="242"/>
    <x v="176"/>
    <x v="6"/>
    <n v="2"/>
    <n v="2"/>
    <n v="7"/>
    <n v="223931"/>
    <n v="1567517"/>
    <n v="470255.1"/>
    <n v="0.3"/>
    <x v="0"/>
    <s v="Electronics"/>
    <x v="3"/>
    <x v="3"/>
  </r>
  <r>
    <n v="243"/>
    <x v="177"/>
    <x v="6"/>
    <n v="5"/>
    <n v="1"/>
    <n v="16"/>
    <n v="194106"/>
    <n v="3105696"/>
    <n v="931708.79999999993"/>
    <n v="0.3"/>
    <x v="4"/>
    <s v="Accessories"/>
    <x v="2"/>
    <x v="2"/>
  </r>
  <r>
    <n v="244"/>
    <x v="156"/>
    <x v="8"/>
    <n v="1"/>
    <n v="2"/>
    <n v="19"/>
    <n v="306121"/>
    <n v="5816299"/>
    <n v="1744889.7"/>
    <n v="0.3"/>
    <x v="3"/>
    <s v="Electronics"/>
    <x v="3"/>
    <x v="3"/>
  </r>
  <r>
    <n v="245"/>
    <x v="82"/>
    <x v="3"/>
    <n v="1"/>
    <n v="4"/>
    <n v="7"/>
    <n v="53882"/>
    <n v="377174"/>
    <n v="113152.2"/>
    <n v="0.3"/>
    <x v="3"/>
    <s v="Electronics"/>
    <x v="1"/>
    <x v="1"/>
  </r>
  <r>
    <n v="246"/>
    <x v="178"/>
    <x v="6"/>
    <n v="1"/>
    <n v="3"/>
    <n v="17"/>
    <n v="190525"/>
    <n v="3238925"/>
    <n v="971677.5"/>
    <n v="0.3"/>
    <x v="3"/>
    <s v="Electronics"/>
    <x v="0"/>
    <x v="0"/>
  </r>
  <r>
    <n v="247"/>
    <x v="31"/>
    <x v="3"/>
    <n v="3"/>
    <n v="2"/>
    <n v="5"/>
    <n v="392852"/>
    <n v="1964260"/>
    <n v="589278"/>
    <n v="0.3"/>
    <x v="2"/>
    <s v="Electronics"/>
    <x v="3"/>
    <x v="3"/>
  </r>
  <r>
    <n v="248"/>
    <x v="53"/>
    <x v="8"/>
    <n v="4"/>
    <n v="4"/>
    <n v="12"/>
    <n v="207763"/>
    <n v="2493156"/>
    <n v="747946.79999999993"/>
    <n v="0.3"/>
    <x v="1"/>
    <s v="Accessories"/>
    <x v="1"/>
    <x v="1"/>
  </r>
  <r>
    <n v="249"/>
    <x v="80"/>
    <x v="5"/>
    <n v="1"/>
    <n v="2"/>
    <n v="12"/>
    <n v="371952"/>
    <n v="4463424"/>
    <n v="1339027.2"/>
    <n v="0.3"/>
    <x v="3"/>
    <s v="Electronics"/>
    <x v="3"/>
    <x v="3"/>
  </r>
  <r>
    <n v="250"/>
    <x v="12"/>
    <x v="7"/>
    <n v="1"/>
    <n v="1"/>
    <n v="20"/>
    <n v="301917"/>
    <n v="6038340"/>
    <n v="1811502"/>
    <n v="0.3"/>
    <x v="3"/>
    <s v="Electronics"/>
    <x v="2"/>
    <x v="2"/>
  </r>
  <r>
    <n v="251"/>
    <x v="179"/>
    <x v="0"/>
    <n v="4"/>
    <n v="1"/>
    <n v="2"/>
    <n v="337605"/>
    <n v="675210"/>
    <n v="202563"/>
    <n v="0.3"/>
    <x v="1"/>
    <s v="Accessories"/>
    <x v="2"/>
    <x v="2"/>
  </r>
  <r>
    <n v="252"/>
    <x v="41"/>
    <x v="4"/>
    <n v="4"/>
    <n v="4"/>
    <n v="4"/>
    <n v="250970"/>
    <n v="1003880"/>
    <n v="301164"/>
    <n v="0.3"/>
    <x v="1"/>
    <s v="Accessories"/>
    <x v="1"/>
    <x v="1"/>
  </r>
  <r>
    <n v="253"/>
    <x v="180"/>
    <x v="10"/>
    <n v="2"/>
    <n v="1"/>
    <n v="16"/>
    <n v="74306"/>
    <n v="1188896"/>
    <n v="356668.8"/>
    <n v="0.3"/>
    <x v="0"/>
    <s v="Electronics"/>
    <x v="2"/>
    <x v="2"/>
  </r>
  <r>
    <n v="254"/>
    <x v="171"/>
    <x v="11"/>
    <n v="2"/>
    <n v="4"/>
    <n v="8"/>
    <n v="168906"/>
    <n v="1351248"/>
    <n v="405374.39999999997"/>
    <n v="0.3"/>
    <x v="0"/>
    <s v="Electronics"/>
    <x v="1"/>
    <x v="1"/>
  </r>
  <r>
    <n v="255"/>
    <x v="93"/>
    <x v="10"/>
    <n v="1"/>
    <n v="1"/>
    <n v="14"/>
    <n v="311956"/>
    <n v="4367384"/>
    <n v="1310215.2"/>
    <n v="0.3"/>
    <x v="3"/>
    <s v="Electronics"/>
    <x v="2"/>
    <x v="2"/>
  </r>
  <r>
    <n v="256"/>
    <x v="181"/>
    <x v="9"/>
    <n v="3"/>
    <n v="1"/>
    <n v="9"/>
    <n v="231603"/>
    <n v="2084427"/>
    <n v="625328.1"/>
    <n v="0.3"/>
    <x v="2"/>
    <s v="Electronics"/>
    <x v="2"/>
    <x v="2"/>
  </r>
  <r>
    <n v="257"/>
    <x v="182"/>
    <x v="11"/>
    <n v="4"/>
    <n v="4"/>
    <n v="2"/>
    <n v="344062"/>
    <n v="688124"/>
    <n v="206437.19999999998"/>
    <n v="0.3"/>
    <x v="1"/>
    <s v="Accessories"/>
    <x v="1"/>
    <x v="1"/>
  </r>
  <r>
    <n v="258"/>
    <x v="183"/>
    <x v="7"/>
    <n v="1"/>
    <n v="2"/>
    <n v="2"/>
    <n v="153447"/>
    <n v="306894"/>
    <n v="92068.2"/>
    <n v="0.3"/>
    <x v="3"/>
    <s v="Electronics"/>
    <x v="3"/>
    <x v="3"/>
  </r>
  <r>
    <n v="259"/>
    <x v="160"/>
    <x v="5"/>
    <n v="4"/>
    <n v="4"/>
    <n v="15"/>
    <n v="222224"/>
    <n v="3333360"/>
    <n v="1000008"/>
    <n v="0.3"/>
    <x v="1"/>
    <s v="Accessories"/>
    <x v="1"/>
    <x v="1"/>
  </r>
  <r>
    <n v="260"/>
    <x v="52"/>
    <x v="3"/>
    <n v="2"/>
    <n v="3"/>
    <n v="20"/>
    <n v="274964"/>
    <n v="5499280"/>
    <n v="1649784"/>
    <n v="0.3"/>
    <x v="0"/>
    <s v="Electronics"/>
    <x v="0"/>
    <x v="0"/>
  </r>
  <r>
    <n v="261"/>
    <x v="184"/>
    <x v="10"/>
    <n v="2"/>
    <n v="3"/>
    <n v="14"/>
    <n v="296384"/>
    <n v="4149376"/>
    <n v="1244812.8"/>
    <n v="0.3"/>
    <x v="0"/>
    <s v="Electronics"/>
    <x v="0"/>
    <x v="0"/>
  </r>
  <r>
    <n v="262"/>
    <x v="140"/>
    <x v="1"/>
    <n v="1"/>
    <n v="4"/>
    <n v="20"/>
    <n v="386280"/>
    <n v="7725600"/>
    <n v="2317680"/>
    <n v="0.3"/>
    <x v="3"/>
    <s v="Electronics"/>
    <x v="1"/>
    <x v="1"/>
  </r>
  <r>
    <n v="263"/>
    <x v="185"/>
    <x v="1"/>
    <n v="1"/>
    <n v="1"/>
    <n v="11"/>
    <n v="197197"/>
    <n v="2169167"/>
    <n v="650750.1"/>
    <n v="0.3"/>
    <x v="3"/>
    <s v="Electronics"/>
    <x v="2"/>
    <x v="2"/>
  </r>
  <r>
    <n v="264"/>
    <x v="186"/>
    <x v="2"/>
    <n v="2"/>
    <n v="3"/>
    <n v="6"/>
    <n v="150316"/>
    <n v="901896"/>
    <n v="270568.8"/>
    <n v="0.3"/>
    <x v="0"/>
    <s v="Electronics"/>
    <x v="0"/>
    <x v="0"/>
  </r>
  <r>
    <n v="265"/>
    <x v="164"/>
    <x v="2"/>
    <n v="1"/>
    <n v="3"/>
    <n v="5"/>
    <n v="172845"/>
    <n v="864225"/>
    <n v="259267.5"/>
    <n v="0.3"/>
    <x v="3"/>
    <s v="Electronics"/>
    <x v="0"/>
    <x v="0"/>
  </r>
  <r>
    <n v="266"/>
    <x v="187"/>
    <x v="9"/>
    <n v="3"/>
    <n v="1"/>
    <n v="1"/>
    <n v="295326"/>
    <n v="295326"/>
    <n v="88597.8"/>
    <n v="0.3"/>
    <x v="2"/>
    <s v="Electronics"/>
    <x v="2"/>
    <x v="2"/>
  </r>
  <r>
    <n v="267"/>
    <x v="106"/>
    <x v="3"/>
    <n v="5"/>
    <n v="4"/>
    <n v="8"/>
    <n v="236129"/>
    <n v="1889032"/>
    <n v="566709.6"/>
    <n v="0.3"/>
    <x v="4"/>
    <s v="Accessories"/>
    <x v="1"/>
    <x v="1"/>
  </r>
  <r>
    <n v="268"/>
    <x v="188"/>
    <x v="6"/>
    <n v="1"/>
    <n v="4"/>
    <n v="12"/>
    <n v="65405"/>
    <n v="784860"/>
    <n v="235458"/>
    <n v="0.3"/>
    <x v="3"/>
    <s v="Electronics"/>
    <x v="1"/>
    <x v="1"/>
  </r>
  <r>
    <n v="269"/>
    <x v="189"/>
    <x v="3"/>
    <n v="1"/>
    <n v="1"/>
    <n v="10"/>
    <n v="218739"/>
    <n v="2187390"/>
    <n v="656217"/>
    <n v="0.3"/>
    <x v="3"/>
    <s v="Electronics"/>
    <x v="2"/>
    <x v="2"/>
  </r>
  <r>
    <n v="270"/>
    <x v="55"/>
    <x v="9"/>
    <n v="2"/>
    <n v="2"/>
    <n v="14"/>
    <n v="203778"/>
    <n v="2852892"/>
    <n v="855867.6"/>
    <n v="0.3"/>
    <x v="0"/>
    <s v="Electronics"/>
    <x v="3"/>
    <x v="3"/>
  </r>
  <r>
    <n v="271"/>
    <x v="163"/>
    <x v="8"/>
    <n v="5"/>
    <n v="4"/>
    <n v="5"/>
    <n v="306598"/>
    <n v="1532990"/>
    <n v="459897"/>
    <n v="0.3"/>
    <x v="4"/>
    <s v="Accessories"/>
    <x v="1"/>
    <x v="1"/>
  </r>
  <r>
    <n v="272"/>
    <x v="190"/>
    <x v="5"/>
    <n v="1"/>
    <n v="3"/>
    <n v="16"/>
    <n v="50244"/>
    <n v="803904"/>
    <n v="241171.19999999998"/>
    <n v="0.3"/>
    <x v="3"/>
    <s v="Electronics"/>
    <x v="0"/>
    <x v="0"/>
  </r>
  <r>
    <n v="273"/>
    <x v="85"/>
    <x v="9"/>
    <n v="2"/>
    <n v="1"/>
    <n v="18"/>
    <n v="212269"/>
    <n v="3820842"/>
    <n v="1146252.5999999999"/>
    <n v="0.3"/>
    <x v="0"/>
    <s v="Electronics"/>
    <x v="2"/>
    <x v="2"/>
  </r>
  <r>
    <n v="274"/>
    <x v="191"/>
    <x v="11"/>
    <n v="1"/>
    <n v="4"/>
    <n v="14"/>
    <n v="370322"/>
    <n v="5184508"/>
    <n v="1555352.4"/>
    <n v="0.3"/>
    <x v="3"/>
    <s v="Electronics"/>
    <x v="1"/>
    <x v="1"/>
  </r>
  <r>
    <n v="275"/>
    <x v="189"/>
    <x v="3"/>
    <n v="3"/>
    <n v="4"/>
    <n v="6"/>
    <n v="267949"/>
    <n v="1607694"/>
    <n v="482308.19999999995"/>
    <n v="0.3"/>
    <x v="2"/>
    <s v="Electronics"/>
    <x v="1"/>
    <x v="1"/>
  </r>
  <r>
    <n v="276"/>
    <x v="115"/>
    <x v="1"/>
    <n v="1"/>
    <n v="1"/>
    <n v="15"/>
    <n v="176517"/>
    <n v="2647755"/>
    <n v="794326.5"/>
    <n v="0.3"/>
    <x v="3"/>
    <s v="Electronics"/>
    <x v="2"/>
    <x v="2"/>
  </r>
  <r>
    <n v="277"/>
    <x v="2"/>
    <x v="2"/>
    <n v="3"/>
    <n v="1"/>
    <n v="6"/>
    <n v="393823"/>
    <n v="2362938"/>
    <n v="708881.4"/>
    <n v="0.3"/>
    <x v="2"/>
    <s v="Electronics"/>
    <x v="2"/>
    <x v="2"/>
  </r>
  <r>
    <n v="278"/>
    <x v="192"/>
    <x v="9"/>
    <n v="1"/>
    <n v="3"/>
    <n v="11"/>
    <n v="323287"/>
    <n v="3556157"/>
    <n v="1066847.0999999999"/>
    <n v="0.29999999999999993"/>
    <x v="3"/>
    <s v="Electronics"/>
    <x v="0"/>
    <x v="0"/>
  </r>
  <r>
    <n v="279"/>
    <x v="193"/>
    <x v="6"/>
    <n v="5"/>
    <n v="1"/>
    <n v="6"/>
    <n v="383648"/>
    <n v="2301888"/>
    <n v="690566.4"/>
    <n v="0.3"/>
    <x v="4"/>
    <s v="Accessories"/>
    <x v="2"/>
    <x v="2"/>
  </r>
  <r>
    <n v="280"/>
    <x v="194"/>
    <x v="3"/>
    <n v="2"/>
    <n v="4"/>
    <n v="16"/>
    <n v="50270"/>
    <n v="804320"/>
    <n v="241296"/>
    <n v="0.3"/>
    <x v="0"/>
    <s v="Electronics"/>
    <x v="1"/>
    <x v="1"/>
  </r>
  <r>
    <n v="281"/>
    <x v="195"/>
    <x v="0"/>
    <n v="1"/>
    <n v="4"/>
    <n v="14"/>
    <n v="107546"/>
    <n v="1505644"/>
    <n v="451693.2"/>
    <n v="0.3"/>
    <x v="3"/>
    <s v="Electronics"/>
    <x v="1"/>
    <x v="1"/>
  </r>
  <r>
    <n v="282"/>
    <x v="196"/>
    <x v="11"/>
    <n v="3"/>
    <n v="1"/>
    <n v="14"/>
    <n v="57665"/>
    <n v="807310"/>
    <n v="242193"/>
    <n v="0.3"/>
    <x v="2"/>
    <s v="Electronics"/>
    <x v="2"/>
    <x v="2"/>
  </r>
  <r>
    <n v="283"/>
    <x v="197"/>
    <x v="9"/>
    <n v="2"/>
    <n v="2"/>
    <n v="3"/>
    <n v="319797"/>
    <n v="959391"/>
    <n v="287817.3"/>
    <n v="0.3"/>
    <x v="0"/>
    <s v="Electronics"/>
    <x v="3"/>
    <x v="3"/>
  </r>
  <r>
    <n v="284"/>
    <x v="198"/>
    <x v="7"/>
    <n v="1"/>
    <n v="1"/>
    <n v="3"/>
    <n v="311300"/>
    <n v="933900"/>
    <n v="280170"/>
    <n v="0.3"/>
    <x v="3"/>
    <s v="Electronics"/>
    <x v="2"/>
    <x v="2"/>
  </r>
  <r>
    <n v="285"/>
    <x v="199"/>
    <x v="10"/>
    <n v="4"/>
    <n v="2"/>
    <n v="14"/>
    <n v="262466"/>
    <n v="3674524"/>
    <n v="1102357.2"/>
    <n v="0.3"/>
    <x v="1"/>
    <s v="Accessories"/>
    <x v="3"/>
    <x v="3"/>
  </r>
  <r>
    <n v="286"/>
    <x v="200"/>
    <x v="10"/>
    <n v="4"/>
    <n v="4"/>
    <n v="12"/>
    <n v="333027"/>
    <n v="3996324"/>
    <n v="1198897.2"/>
    <n v="0.3"/>
    <x v="1"/>
    <s v="Accessories"/>
    <x v="1"/>
    <x v="1"/>
  </r>
  <r>
    <n v="287"/>
    <x v="121"/>
    <x v="8"/>
    <n v="4"/>
    <n v="2"/>
    <n v="9"/>
    <n v="264052"/>
    <n v="2376468"/>
    <n v="712940.4"/>
    <n v="0.3"/>
    <x v="1"/>
    <s v="Accessories"/>
    <x v="3"/>
    <x v="3"/>
  </r>
  <r>
    <n v="288"/>
    <x v="51"/>
    <x v="2"/>
    <n v="5"/>
    <n v="1"/>
    <n v="20"/>
    <n v="278001"/>
    <n v="5560020"/>
    <n v="1668006"/>
    <n v="0.3"/>
    <x v="4"/>
    <s v="Accessories"/>
    <x v="2"/>
    <x v="2"/>
  </r>
  <r>
    <n v="289"/>
    <x v="201"/>
    <x v="9"/>
    <n v="2"/>
    <n v="2"/>
    <n v="4"/>
    <n v="338461"/>
    <n v="1353844"/>
    <n v="406153.2"/>
    <n v="0.3"/>
    <x v="0"/>
    <s v="Electronics"/>
    <x v="3"/>
    <x v="3"/>
  </r>
  <r>
    <n v="290"/>
    <x v="13"/>
    <x v="3"/>
    <n v="3"/>
    <n v="3"/>
    <n v="6"/>
    <n v="117622"/>
    <n v="705732"/>
    <n v="211719.6"/>
    <n v="0.3"/>
    <x v="2"/>
    <s v="Electronics"/>
    <x v="0"/>
    <x v="0"/>
  </r>
  <r>
    <n v="291"/>
    <x v="92"/>
    <x v="8"/>
    <n v="5"/>
    <n v="3"/>
    <n v="19"/>
    <n v="237603"/>
    <n v="4514457"/>
    <n v="1354337.0999999999"/>
    <n v="0.3"/>
    <x v="4"/>
    <s v="Accessories"/>
    <x v="0"/>
    <x v="0"/>
  </r>
  <r>
    <n v="292"/>
    <x v="96"/>
    <x v="2"/>
    <n v="2"/>
    <n v="4"/>
    <n v="10"/>
    <n v="371097"/>
    <n v="3710970"/>
    <n v="1113291"/>
    <n v="0.3"/>
    <x v="0"/>
    <s v="Electronics"/>
    <x v="1"/>
    <x v="1"/>
  </r>
  <r>
    <n v="293"/>
    <x v="202"/>
    <x v="1"/>
    <n v="4"/>
    <n v="2"/>
    <n v="7"/>
    <n v="202206"/>
    <n v="1415442"/>
    <n v="424632.6"/>
    <n v="0.3"/>
    <x v="1"/>
    <s v="Accessories"/>
    <x v="3"/>
    <x v="3"/>
  </r>
  <r>
    <n v="294"/>
    <x v="52"/>
    <x v="3"/>
    <n v="2"/>
    <n v="1"/>
    <n v="20"/>
    <n v="89129"/>
    <n v="1782580"/>
    <n v="534774"/>
    <n v="0.3"/>
    <x v="0"/>
    <s v="Electronics"/>
    <x v="2"/>
    <x v="2"/>
  </r>
  <r>
    <n v="295"/>
    <x v="194"/>
    <x v="3"/>
    <n v="3"/>
    <n v="4"/>
    <n v="6"/>
    <n v="170125"/>
    <n v="1020750"/>
    <n v="306225"/>
    <n v="0.3"/>
    <x v="2"/>
    <s v="Electronics"/>
    <x v="1"/>
    <x v="1"/>
  </r>
  <r>
    <n v="296"/>
    <x v="62"/>
    <x v="7"/>
    <n v="3"/>
    <n v="1"/>
    <n v="12"/>
    <n v="242701"/>
    <n v="2912412"/>
    <n v="873723.6"/>
    <n v="0.3"/>
    <x v="2"/>
    <s v="Electronics"/>
    <x v="2"/>
    <x v="2"/>
  </r>
  <r>
    <n v="297"/>
    <x v="203"/>
    <x v="4"/>
    <n v="3"/>
    <n v="3"/>
    <n v="20"/>
    <n v="306319"/>
    <n v="6126380"/>
    <n v="1837914"/>
    <n v="0.3"/>
    <x v="2"/>
    <s v="Electronics"/>
    <x v="0"/>
    <x v="0"/>
  </r>
  <r>
    <n v="298"/>
    <x v="199"/>
    <x v="10"/>
    <n v="1"/>
    <n v="4"/>
    <n v="11"/>
    <n v="268595"/>
    <n v="2954545"/>
    <n v="886363.5"/>
    <n v="0.3"/>
    <x v="3"/>
    <s v="Electronics"/>
    <x v="1"/>
    <x v="1"/>
  </r>
  <r>
    <n v="299"/>
    <x v="204"/>
    <x v="1"/>
    <n v="2"/>
    <n v="2"/>
    <n v="13"/>
    <n v="147489"/>
    <n v="1917357"/>
    <n v="575207.1"/>
    <n v="0.3"/>
    <x v="0"/>
    <s v="Electronics"/>
    <x v="3"/>
    <x v="3"/>
  </r>
  <r>
    <n v="300"/>
    <x v="152"/>
    <x v="2"/>
    <n v="5"/>
    <n v="1"/>
    <n v="10"/>
    <n v="203061"/>
    <n v="2030610"/>
    <n v="609183"/>
    <n v="0.3"/>
    <x v="4"/>
    <s v="Accessories"/>
    <x v="2"/>
    <x v="2"/>
  </r>
  <r>
    <n v="301"/>
    <x v="117"/>
    <x v="11"/>
    <n v="4"/>
    <n v="2"/>
    <n v="15"/>
    <n v="63452"/>
    <n v="951780"/>
    <n v="285534"/>
    <n v="0.3"/>
    <x v="1"/>
    <s v="Accessories"/>
    <x v="3"/>
    <x v="3"/>
  </r>
  <r>
    <n v="302"/>
    <x v="105"/>
    <x v="11"/>
    <n v="1"/>
    <n v="3"/>
    <n v="10"/>
    <n v="118867"/>
    <n v="1188670"/>
    <n v="356601"/>
    <n v="0.3"/>
    <x v="3"/>
    <s v="Electronics"/>
    <x v="0"/>
    <x v="0"/>
  </r>
  <r>
    <n v="303"/>
    <x v="151"/>
    <x v="7"/>
    <n v="3"/>
    <n v="4"/>
    <n v="8"/>
    <n v="393789"/>
    <n v="3150312"/>
    <n v="945093.6"/>
    <n v="0.3"/>
    <x v="2"/>
    <s v="Electronics"/>
    <x v="1"/>
    <x v="1"/>
  </r>
  <r>
    <n v="304"/>
    <x v="190"/>
    <x v="5"/>
    <n v="5"/>
    <n v="3"/>
    <n v="15"/>
    <n v="57126"/>
    <n v="856890"/>
    <n v="257067"/>
    <n v="0.3"/>
    <x v="4"/>
    <s v="Accessories"/>
    <x v="0"/>
    <x v="0"/>
  </r>
  <r>
    <n v="305"/>
    <x v="93"/>
    <x v="10"/>
    <n v="3"/>
    <n v="4"/>
    <n v="15"/>
    <n v="211351"/>
    <n v="3170265"/>
    <n v="951079.5"/>
    <n v="0.3"/>
    <x v="2"/>
    <s v="Electronics"/>
    <x v="1"/>
    <x v="1"/>
  </r>
  <r>
    <n v="306"/>
    <x v="85"/>
    <x v="9"/>
    <n v="1"/>
    <n v="4"/>
    <n v="18"/>
    <n v="98309"/>
    <n v="1769562"/>
    <n v="530868.6"/>
    <n v="0.3"/>
    <x v="3"/>
    <s v="Electronics"/>
    <x v="1"/>
    <x v="1"/>
  </r>
  <r>
    <n v="307"/>
    <x v="205"/>
    <x v="4"/>
    <n v="4"/>
    <n v="2"/>
    <n v="9"/>
    <n v="243051"/>
    <n v="2187459"/>
    <n v="656237.69999999995"/>
    <n v="0.3"/>
    <x v="1"/>
    <s v="Accessories"/>
    <x v="3"/>
    <x v="3"/>
  </r>
  <r>
    <n v="308"/>
    <x v="206"/>
    <x v="3"/>
    <n v="1"/>
    <n v="2"/>
    <n v="8"/>
    <n v="94661"/>
    <n v="757288"/>
    <n v="227186.4"/>
    <n v="0.3"/>
    <x v="3"/>
    <s v="Electronics"/>
    <x v="3"/>
    <x v="3"/>
  </r>
  <r>
    <n v="309"/>
    <x v="206"/>
    <x v="3"/>
    <n v="3"/>
    <n v="2"/>
    <n v="11"/>
    <n v="226832"/>
    <n v="2495152"/>
    <n v="748545.6"/>
    <n v="0.3"/>
    <x v="2"/>
    <s v="Electronics"/>
    <x v="3"/>
    <x v="3"/>
  </r>
  <r>
    <n v="310"/>
    <x v="49"/>
    <x v="5"/>
    <n v="4"/>
    <n v="3"/>
    <n v="2"/>
    <n v="143838"/>
    <n v="287676"/>
    <n v="86302.8"/>
    <n v="0.3"/>
    <x v="1"/>
    <s v="Accessories"/>
    <x v="0"/>
    <x v="0"/>
  </r>
  <r>
    <n v="311"/>
    <x v="207"/>
    <x v="2"/>
    <n v="2"/>
    <n v="2"/>
    <n v="18"/>
    <n v="163141"/>
    <n v="2936538"/>
    <n v="880961.4"/>
    <n v="0.3"/>
    <x v="0"/>
    <s v="Electronics"/>
    <x v="3"/>
    <x v="3"/>
  </r>
  <r>
    <n v="312"/>
    <x v="208"/>
    <x v="1"/>
    <n v="4"/>
    <n v="1"/>
    <n v="20"/>
    <n v="147341"/>
    <n v="2946820"/>
    <n v="884046"/>
    <n v="0.3"/>
    <x v="1"/>
    <s v="Accessories"/>
    <x v="2"/>
    <x v="2"/>
  </r>
  <r>
    <n v="313"/>
    <x v="144"/>
    <x v="11"/>
    <n v="5"/>
    <n v="3"/>
    <n v="2"/>
    <n v="252902"/>
    <n v="505804"/>
    <n v="151741.19999999998"/>
    <n v="0.3"/>
    <x v="4"/>
    <s v="Accessories"/>
    <x v="0"/>
    <x v="0"/>
  </r>
  <r>
    <n v="314"/>
    <x v="209"/>
    <x v="5"/>
    <n v="5"/>
    <n v="4"/>
    <n v="11"/>
    <n v="278272"/>
    <n v="3060992"/>
    <n v="918297.59999999998"/>
    <n v="0.3"/>
    <x v="4"/>
    <s v="Accessories"/>
    <x v="1"/>
    <x v="1"/>
  </r>
  <r>
    <n v="315"/>
    <x v="40"/>
    <x v="2"/>
    <n v="4"/>
    <n v="4"/>
    <n v="10"/>
    <n v="361239"/>
    <n v="3612390"/>
    <n v="1083717"/>
    <n v="0.3"/>
    <x v="1"/>
    <s v="Accessories"/>
    <x v="1"/>
    <x v="1"/>
  </r>
  <r>
    <n v="316"/>
    <x v="190"/>
    <x v="5"/>
    <n v="2"/>
    <n v="2"/>
    <n v="19"/>
    <n v="161705"/>
    <n v="3072395"/>
    <n v="921718.5"/>
    <n v="0.3"/>
    <x v="0"/>
    <s v="Electronics"/>
    <x v="3"/>
    <x v="3"/>
  </r>
  <r>
    <n v="317"/>
    <x v="210"/>
    <x v="6"/>
    <n v="4"/>
    <n v="2"/>
    <n v="1"/>
    <n v="170609"/>
    <n v="170609"/>
    <n v="51182.7"/>
    <n v="0.3"/>
    <x v="1"/>
    <s v="Accessories"/>
    <x v="3"/>
    <x v="3"/>
  </r>
  <r>
    <n v="318"/>
    <x v="109"/>
    <x v="2"/>
    <n v="2"/>
    <n v="1"/>
    <n v="1"/>
    <n v="149430"/>
    <n v="149430"/>
    <n v="44829"/>
    <n v="0.3"/>
    <x v="0"/>
    <s v="Electronics"/>
    <x v="2"/>
    <x v="2"/>
  </r>
  <r>
    <n v="319"/>
    <x v="211"/>
    <x v="4"/>
    <n v="4"/>
    <n v="2"/>
    <n v="5"/>
    <n v="183173"/>
    <n v="915865"/>
    <n v="274759.5"/>
    <n v="0.3"/>
    <x v="1"/>
    <s v="Accessories"/>
    <x v="3"/>
    <x v="3"/>
  </r>
  <r>
    <n v="320"/>
    <x v="187"/>
    <x v="9"/>
    <n v="1"/>
    <n v="2"/>
    <n v="12"/>
    <n v="88988"/>
    <n v="1067856"/>
    <n v="320356.8"/>
    <n v="0.3"/>
    <x v="3"/>
    <s v="Electronics"/>
    <x v="3"/>
    <x v="3"/>
  </r>
  <r>
    <n v="321"/>
    <x v="156"/>
    <x v="8"/>
    <n v="3"/>
    <n v="1"/>
    <n v="14"/>
    <n v="327501"/>
    <n v="4585014"/>
    <n v="1375504.2"/>
    <n v="0.3"/>
    <x v="2"/>
    <s v="Electronics"/>
    <x v="2"/>
    <x v="2"/>
  </r>
  <r>
    <n v="322"/>
    <x v="212"/>
    <x v="3"/>
    <n v="4"/>
    <n v="3"/>
    <n v="4"/>
    <n v="190241"/>
    <n v="760964"/>
    <n v="228289.19999999998"/>
    <n v="0.3"/>
    <x v="1"/>
    <s v="Accessories"/>
    <x v="0"/>
    <x v="0"/>
  </r>
  <r>
    <n v="323"/>
    <x v="213"/>
    <x v="9"/>
    <n v="4"/>
    <n v="4"/>
    <n v="2"/>
    <n v="288952"/>
    <n v="577904"/>
    <n v="173371.19999999998"/>
    <n v="0.3"/>
    <x v="1"/>
    <s v="Accessories"/>
    <x v="1"/>
    <x v="1"/>
  </r>
  <r>
    <n v="324"/>
    <x v="214"/>
    <x v="7"/>
    <n v="2"/>
    <n v="4"/>
    <n v="15"/>
    <n v="345506"/>
    <n v="5182590"/>
    <n v="1554777"/>
    <n v="0.3"/>
    <x v="0"/>
    <s v="Electronics"/>
    <x v="1"/>
    <x v="1"/>
  </r>
  <r>
    <n v="325"/>
    <x v="183"/>
    <x v="7"/>
    <n v="1"/>
    <n v="3"/>
    <n v="1"/>
    <n v="94558"/>
    <n v="94558"/>
    <n v="28367.399999999998"/>
    <n v="0.3"/>
    <x v="3"/>
    <s v="Electronics"/>
    <x v="0"/>
    <x v="0"/>
  </r>
  <r>
    <n v="326"/>
    <x v="84"/>
    <x v="3"/>
    <n v="3"/>
    <n v="4"/>
    <n v="14"/>
    <n v="128868"/>
    <n v="1804152"/>
    <n v="541245.6"/>
    <n v="0.3"/>
    <x v="2"/>
    <s v="Electronics"/>
    <x v="1"/>
    <x v="1"/>
  </r>
  <r>
    <n v="327"/>
    <x v="215"/>
    <x v="9"/>
    <n v="1"/>
    <n v="3"/>
    <n v="9"/>
    <n v="385200"/>
    <n v="3466800"/>
    <n v="1040040"/>
    <n v="0.3"/>
    <x v="3"/>
    <s v="Electronics"/>
    <x v="0"/>
    <x v="0"/>
  </r>
  <r>
    <n v="328"/>
    <x v="216"/>
    <x v="11"/>
    <n v="4"/>
    <n v="1"/>
    <n v="20"/>
    <n v="266852"/>
    <n v="5337040"/>
    <n v="1601112"/>
    <n v="0.3"/>
    <x v="1"/>
    <s v="Accessories"/>
    <x v="2"/>
    <x v="2"/>
  </r>
  <r>
    <n v="329"/>
    <x v="44"/>
    <x v="8"/>
    <n v="2"/>
    <n v="1"/>
    <n v="18"/>
    <n v="155209"/>
    <n v="2793762"/>
    <n v="838128.6"/>
    <n v="0.3"/>
    <x v="0"/>
    <s v="Electronics"/>
    <x v="2"/>
    <x v="2"/>
  </r>
  <r>
    <n v="330"/>
    <x v="217"/>
    <x v="6"/>
    <n v="1"/>
    <n v="2"/>
    <n v="11"/>
    <n v="209189"/>
    <n v="2301079"/>
    <n v="690323.7"/>
    <n v="0.3"/>
    <x v="3"/>
    <s v="Electronics"/>
    <x v="3"/>
    <x v="3"/>
  </r>
  <r>
    <n v="331"/>
    <x v="39"/>
    <x v="0"/>
    <n v="1"/>
    <n v="3"/>
    <n v="20"/>
    <n v="207399"/>
    <n v="4147980"/>
    <n v="1244394"/>
    <n v="0.3"/>
    <x v="3"/>
    <s v="Electronics"/>
    <x v="0"/>
    <x v="0"/>
  </r>
  <r>
    <n v="332"/>
    <x v="218"/>
    <x v="10"/>
    <n v="5"/>
    <n v="1"/>
    <n v="19"/>
    <n v="151000"/>
    <n v="2869000"/>
    <n v="860700"/>
    <n v="0.3"/>
    <x v="4"/>
    <s v="Accessories"/>
    <x v="2"/>
    <x v="2"/>
  </r>
  <r>
    <n v="333"/>
    <x v="219"/>
    <x v="0"/>
    <n v="5"/>
    <n v="3"/>
    <n v="5"/>
    <n v="281245"/>
    <n v="1406225"/>
    <n v="421867.5"/>
    <n v="0.3"/>
    <x v="4"/>
    <s v="Accessories"/>
    <x v="0"/>
    <x v="0"/>
  </r>
  <r>
    <n v="334"/>
    <x v="149"/>
    <x v="6"/>
    <n v="5"/>
    <n v="1"/>
    <n v="6"/>
    <n v="203010"/>
    <n v="1218060"/>
    <n v="365418"/>
    <n v="0.3"/>
    <x v="4"/>
    <s v="Accessories"/>
    <x v="2"/>
    <x v="2"/>
  </r>
  <r>
    <n v="335"/>
    <x v="220"/>
    <x v="10"/>
    <n v="2"/>
    <n v="1"/>
    <n v="13"/>
    <n v="60753"/>
    <n v="789789"/>
    <n v="236936.69999999998"/>
    <n v="0.3"/>
    <x v="0"/>
    <s v="Electronics"/>
    <x v="2"/>
    <x v="2"/>
  </r>
  <r>
    <n v="336"/>
    <x v="185"/>
    <x v="1"/>
    <n v="1"/>
    <n v="2"/>
    <n v="2"/>
    <n v="131712"/>
    <n v="263424"/>
    <n v="79027.199999999997"/>
    <n v="0.3"/>
    <x v="3"/>
    <s v="Electronics"/>
    <x v="3"/>
    <x v="3"/>
  </r>
  <r>
    <n v="337"/>
    <x v="129"/>
    <x v="5"/>
    <n v="4"/>
    <n v="4"/>
    <n v="4"/>
    <n v="243070"/>
    <n v="972280"/>
    <n v="291684"/>
    <n v="0.3"/>
    <x v="1"/>
    <s v="Accessories"/>
    <x v="1"/>
    <x v="1"/>
  </r>
  <r>
    <n v="338"/>
    <x v="221"/>
    <x v="9"/>
    <n v="5"/>
    <n v="4"/>
    <n v="17"/>
    <n v="258812"/>
    <n v="4399804"/>
    <n v="1319941.2"/>
    <n v="0.3"/>
    <x v="4"/>
    <s v="Accessories"/>
    <x v="1"/>
    <x v="1"/>
  </r>
  <r>
    <n v="339"/>
    <x v="48"/>
    <x v="1"/>
    <n v="4"/>
    <n v="1"/>
    <n v="6"/>
    <n v="75413"/>
    <n v="452478"/>
    <n v="135743.4"/>
    <n v="0.3"/>
    <x v="1"/>
    <s v="Accessories"/>
    <x v="2"/>
    <x v="2"/>
  </r>
  <r>
    <n v="340"/>
    <x v="222"/>
    <x v="4"/>
    <n v="1"/>
    <n v="3"/>
    <n v="3"/>
    <n v="379446"/>
    <n v="1138338"/>
    <n v="341501.39999999997"/>
    <n v="0.3"/>
    <x v="3"/>
    <s v="Electronics"/>
    <x v="0"/>
    <x v="0"/>
  </r>
  <r>
    <n v="341"/>
    <x v="223"/>
    <x v="0"/>
    <n v="5"/>
    <n v="3"/>
    <n v="12"/>
    <n v="343146"/>
    <n v="4117752"/>
    <n v="1235325.5999999999"/>
    <n v="0.3"/>
    <x v="4"/>
    <s v="Accessories"/>
    <x v="0"/>
    <x v="0"/>
  </r>
  <r>
    <n v="342"/>
    <x v="224"/>
    <x v="8"/>
    <n v="4"/>
    <n v="4"/>
    <n v="13"/>
    <n v="278740"/>
    <n v="3623620"/>
    <n v="1087086"/>
    <n v="0.3"/>
    <x v="1"/>
    <s v="Accessories"/>
    <x v="1"/>
    <x v="1"/>
  </r>
  <r>
    <n v="343"/>
    <x v="225"/>
    <x v="3"/>
    <n v="4"/>
    <n v="3"/>
    <n v="9"/>
    <n v="85701"/>
    <n v="771309"/>
    <n v="231392.69999999998"/>
    <n v="0.3"/>
    <x v="1"/>
    <s v="Accessories"/>
    <x v="0"/>
    <x v="0"/>
  </r>
  <r>
    <n v="344"/>
    <x v="108"/>
    <x v="1"/>
    <n v="2"/>
    <n v="1"/>
    <n v="20"/>
    <n v="283003"/>
    <n v="5660060"/>
    <n v="1698018"/>
    <n v="0.3"/>
    <x v="0"/>
    <s v="Electronics"/>
    <x v="2"/>
    <x v="2"/>
  </r>
  <r>
    <n v="345"/>
    <x v="226"/>
    <x v="6"/>
    <n v="4"/>
    <n v="4"/>
    <n v="19"/>
    <n v="199006"/>
    <n v="3781114"/>
    <n v="1134334.2"/>
    <n v="0.3"/>
    <x v="1"/>
    <s v="Accessories"/>
    <x v="1"/>
    <x v="1"/>
  </r>
  <r>
    <n v="346"/>
    <x v="113"/>
    <x v="9"/>
    <n v="5"/>
    <n v="3"/>
    <n v="13"/>
    <n v="300288"/>
    <n v="3903744"/>
    <n v="1171123.2"/>
    <n v="0.3"/>
    <x v="4"/>
    <s v="Accessories"/>
    <x v="0"/>
    <x v="0"/>
  </r>
  <r>
    <n v="347"/>
    <x v="9"/>
    <x v="7"/>
    <n v="1"/>
    <n v="3"/>
    <n v="1"/>
    <n v="320432"/>
    <n v="320432"/>
    <n v="96129.599999999991"/>
    <n v="0.3"/>
    <x v="3"/>
    <s v="Electronics"/>
    <x v="0"/>
    <x v="0"/>
  </r>
  <r>
    <n v="348"/>
    <x v="209"/>
    <x v="5"/>
    <n v="4"/>
    <n v="3"/>
    <n v="11"/>
    <n v="326252"/>
    <n v="3588772"/>
    <n v="1076631.5999999999"/>
    <n v="0.29999999999999993"/>
    <x v="1"/>
    <s v="Accessories"/>
    <x v="0"/>
    <x v="0"/>
  </r>
  <r>
    <n v="349"/>
    <x v="87"/>
    <x v="1"/>
    <n v="3"/>
    <n v="4"/>
    <n v="17"/>
    <n v="199529"/>
    <n v="3391993"/>
    <n v="1017597.8999999999"/>
    <n v="0.3"/>
    <x v="2"/>
    <s v="Electronics"/>
    <x v="1"/>
    <x v="1"/>
  </r>
  <r>
    <n v="350"/>
    <x v="227"/>
    <x v="6"/>
    <n v="5"/>
    <n v="2"/>
    <n v="11"/>
    <n v="265304"/>
    <n v="2918344"/>
    <n v="875503.2"/>
    <n v="0.3"/>
    <x v="4"/>
    <s v="Accessories"/>
    <x v="3"/>
    <x v="3"/>
  </r>
  <r>
    <n v="351"/>
    <x v="44"/>
    <x v="8"/>
    <n v="3"/>
    <n v="4"/>
    <n v="4"/>
    <n v="96730"/>
    <n v="386920"/>
    <n v="116076"/>
    <n v="0.3"/>
    <x v="2"/>
    <s v="Electronics"/>
    <x v="1"/>
    <x v="1"/>
  </r>
  <r>
    <n v="352"/>
    <x v="1"/>
    <x v="1"/>
    <n v="5"/>
    <n v="2"/>
    <n v="7"/>
    <n v="298589"/>
    <n v="2090123"/>
    <n v="627036.9"/>
    <n v="0.3"/>
    <x v="4"/>
    <s v="Accessories"/>
    <x v="3"/>
    <x v="3"/>
  </r>
  <r>
    <n v="353"/>
    <x v="50"/>
    <x v="11"/>
    <n v="3"/>
    <n v="3"/>
    <n v="4"/>
    <n v="369857"/>
    <n v="1479428"/>
    <n v="443828.39999999997"/>
    <n v="0.3"/>
    <x v="2"/>
    <s v="Electronics"/>
    <x v="0"/>
    <x v="0"/>
  </r>
  <r>
    <n v="354"/>
    <x v="26"/>
    <x v="7"/>
    <n v="3"/>
    <n v="1"/>
    <n v="13"/>
    <n v="288157"/>
    <n v="3746041"/>
    <n v="1123812.3"/>
    <n v="0.3"/>
    <x v="2"/>
    <s v="Electronics"/>
    <x v="2"/>
    <x v="2"/>
  </r>
  <r>
    <n v="355"/>
    <x v="135"/>
    <x v="4"/>
    <n v="1"/>
    <n v="1"/>
    <n v="12"/>
    <n v="87299"/>
    <n v="1047588"/>
    <n v="314276.39999999997"/>
    <n v="0.3"/>
    <x v="3"/>
    <s v="Electronics"/>
    <x v="2"/>
    <x v="2"/>
  </r>
  <r>
    <n v="356"/>
    <x v="201"/>
    <x v="9"/>
    <n v="2"/>
    <n v="1"/>
    <n v="11"/>
    <n v="195749"/>
    <n v="2153239"/>
    <n v="645971.69999999995"/>
    <n v="0.3"/>
    <x v="0"/>
    <s v="Electronics"/>
    <x v="2"/>
    <x v="2"/>
  </r>
  <r>
    <n v="357"/>
    <x v="228"/>
    <x v="2"/>
    <n v="4"/>
    <n v="2"/>
    <n v="8"/>
    <n v="383959"/>
    <n v="3071672"/>
    <n v="921501.6"/>
    <n v="0.3"/>
    <x v="1"/>
    <s v="Accessories"/>
    <x v="3"/>
    <x v="3"/>
  </r>
  <r>
    <n v="358"/>
    <x v="229"/>
    <x v="7"/>
    <n v="5"/>
    <n v="4"/>
    <n v="18"/>
    <n v="277082"/>
    <n v="4987476"/>
    <n v="1496242.8"/>
    <n v="0.3"/>
    <x v="4"/>
    <s v="Accessories"/>
    <x v="1"/>
    <x v="1"/>
  </r>
  <r>
    <n v="359"/>
    <x v="175"/>
    <x v="8"/>
    <n v="4"/>
    <n v="4"/>
    <n v="12"/>
    <n v="165960"/>
    <n v="1991520"/>
    <n v="597456"/>
    <n v="0.3"/>
    <x v="1"/>
    <s v="Accessories"/>
    <x v="1"/>
    <x v="1"/>
  </r>
  <r>
    <n v="360"/>
    <x v="230"/>
    <x v="11"/>
    <n v="1"/>
    <n v="3"/>
    <n v="8"/>
    <n v="69475"/>
    <n v="555800"/>
    <n v="166740"/>
    <n v="0.3"/>
    <x v="3"/>
    <s v="Electronics"/>
    <x v="0"/>
    <x v="0"/>
  </r>
  <r>
    <n v="361"/>
    <x v="1"/>
    <x v="1"/>
    <n v="1"/>
    <n v="2"/>
    <n v="3"/>
    <n v="245489"/>
    <n v="736467"/>
    <n v="220940.1"/>
    <n v="0.3"/>
    <x v="3"/>
    <s v="Electronics"/>
    <x v="3"/>
    <x v="3"/>
  </r>
  <r>
    <n v="362"/>
    <x v="46"/>
    <x v="9"/>
    <n v="1"/>
    <n v="1"/>
    <n v="13"/>
    <n v="210153"/>
    <n v="2731989"/>
    <n v="819596.7"/>
    <n v="0.3"/>
    <x v="3"/>
    <s v="Electronics"/>
    <x v="2"/>
    <x v="2"/>
  </r>
  <r>
    <n v="363"/>
    <x v="231"/>
    <x v="10"/>
    <n v="5"/>
    <n v="3"/>
    <n v="16"/>
    <n v="296406"/>
    <n v="4742496"/>
    <n v="1422748.8"/>
    <n v="0.3"/>
    <x v="4"/>
    <s v="Accessories"/>
    <x v="0"/>
    <x v="0"/>
  </r>
  <r>
    <n v="364"/>
    <x v="232"/>
    <x v="9"/>
    <n v="3"/>
    <n v="1"/>
    <n v="20"/>
    <n v="318605"/>
    <n v="6372100"/>
    <n v="1911630"/>
    <n v="0.3"/>
    <x v="2"/>
    <s v="Electronics"/>
    <x v="2"/>
    <x v="2"/>
  </r>
  <r>
    <n v="365"/>
    <x v="179"/>
    <x v="0"/>
    <n v="3"/>
    <n v="2"/>
    <n v="3"/>
    <n v="183910"/>
    <n v="551730"/>
    <n v="165519"/>
    <n v="0.3"/>
    <x v="2"/>
    <s v="Electronics"/>
    <x v="3"/>
    <x v="3"/>
  </r>
  <r>
    <n v="366"/>
    <x v="233"/>
    <x v="8"/>
    <n v="2"/>
    <n v="1"/>
    <n v="10"/>
    <n v="54986"/>
    <n v="549860"/>
    <n v="164958"/>
    <n v="0.3"/>
    <x v="0"/>
    <s v="Electronics"/>
    <x v="2"/>
    <x v="2"/>
  </r>
  <r>
    <n v="367"/>
    <x v="133"/>
    <x v="4"/>
    <n v="4"/>
    <n v="2"/>
    <n v="1"/>
    <n v="126109"/>
    <n v="126109"/>
    <n v="37832.699999999997"/>
    <n v="0.3"/>
    <x v="1"/>
    <s v="Accessories"/>
    <x v="3"/>
    <x v="3"/>
  </r>
  <r>
    <n v="368"/>
    <x v="84"/>
    <x v="3"/>
    <n v="2"/>
    <n v="4"/>
    <n v="5"/>
    <n v="116423"/>
    <n v="582115"/>
    <n v="174634.5"/>
    <n v="0.3"/>
    <x v="0"/>
    <s v="Electronics"/>
    <x v="1"/>
    <x v="1"/>
  </r>
  <r>
    <n v="369"/>
    <x v="234"/>
    <x v="5"/>
    <n v="2"/>
    <n v="4"/>
    <n v="17"/>
    <n v="272782"/>
    <n v="4637294"/>
    <n v="1391188.2"/>
    <n v="0.3"/>
    <x v="0"/>
    <s v="Electronics"/>
    <x v="1"/>
    <x v="1"/>
  </r>
  <r>
    <n v="370"/>
    <x v="235"/>
    <x v="10"/>
    <n v="2"/>
    <n v="4"/>
    <n v="17"/>
    <n v="99175"/>
    <n v="1685975"/>
    <n v="505792.5"/>
    <n v="0.3"/>
    <x v="0"/>
    <s v="Electronics"/>
    <x v="1"/>
    <x v="1"/>
  </r>
  <r>
    <n v="371"/>
    <x v="2"/>
    <x v="2"/>
    <n v="3"/>
    <n v="2"/>
    <n v="12"/>
    <n v="130639"/>
    <n v="1567668"/>
    <n v="470300.39999999997"/>
    <n v="0.3"/>
    <x v="2"/>
    <s v="Electronics"/>
    <x v="3"/>
    <x v="3"/>
  </r>
  <r>
    <n v="372"/>
    <x v="145"/>
    <x v="6"/>
    <n v="4"/>
    <n v="4"/>
    <n v="19"/>
    <n v="61645"/>
    <n v="1171255"/>
    <n v="351376.5"/>
    <n v="0.3"/>
    <x v="1"/>
    <s v="Accessories"/>
    <x v="1"/>
    <x v="1"/>
  </r>
  <r>
    <n v="373"/>
    <x v="236"/>
    <x v="3"/>
    <n v="5"/>
    <n v="4"/>
    <n v="20"/>
    <n v="77964"/>
    <n v="1559280"/>
    <n v="467784"/>
    <n v="0.3"/>
    <x v="4"/>
    <s v="Accessories"/>
    <x v="1"/>
    <x v="1"/>
  </r>
  <r>
    <n v="374"/>
    <x v="131"/>
    <x v="7"/>
    <n v="3"/>
    <n v="1"/>
    <n v="12"/>
    <n v="283744"/>
    <n v="3404928"/>
    <n v="1021478.3999999999"/>
    <n v="0.3"/>
    <x v="2"/>
    <s v="Electronics"/>
    <x v="2"/>
    <x v="2"/>
  </r>
  <r>
    <n v="375"/>
    <x v="237"/>
    <x v="1"/>
    <n v="1"/>
    <n v="3"/>
    <n v="17"/>
    <n v="353398"/>
    <n v="6007766"/>
    <n v="1802329.8"/>
    <n v="0.3"/>
    <x v="3"/>
    <s v="Electronics"/>
    <x v="0"/>
    <x v="0"/>
  </r>
  <r>
    <n v="376"/>
    <x v="238"/>
    <x v="1"/>
    <n v="3"/>
    <n v="4"/>
    <n v="7"/>
    <n v="115575"/>
    <n v="809025"/>
    <n v="242707.5"/>
    <n v="0.3"/>
    <x v="2"/>
    <s v="Electronics"/>
    <x v="1"/>
    <x v="1"/>
  </r>
  <r>
    <n v="377"/>
    <x v="60"/>
    <x v="0"/>
    <n v="2"/>
    <n v="4"/>
    <n v="20"/>
    <n v="150818"/>
    <n v="3016360"/>
    <n v="904908"/>
    <n v="0.3"/>
    <x v="0"/>
    <s v="Electronics"/>
    <x v="1"/>
    <x v="1"/>
  </r>
  <r>
    <n v="378"/>
    <x v="24"/>
    <x v="7"/>
    <n v="5"/>
    <n v="1"/>
    <n v="3"/>
    <n v="232597"/>
    <n v="697791"/>
    <n v="209337.3"/>
    <n v="0.3"/>
    <x v="4"/>
    <s v="Accessories"/>
    <x v="2"/>
    <x v="2"/>
  </r>
  <r>
    <n v="379"/>
    <x v="239"/>
    <x v="11"/>
    <n v="2"/>
    <n v="3"/>
    <n v="6"/>
    <n v="81988"/>
    <n v="491928"/>
    <n v="147578.4"/>
    <n v="0.3"/>
    <x v="0"/>
    <s v="Electronics"/>
    <x v="0"/>
    <x v="0"/>
  </r>
  <r>
    <n v="380"/>
    <x v="120"/>
    <x v="3"/>
    <n v="5"/>
    <n v="3"/>
    <n v="12"/>
    <n v="149340"/>
    <n v="1792080"/>
    <n v="537624"/>
    <n v="0.3"/>
    <x v="4"/>
    <s v="Accessories"/>
    <x v="0"/>
    <x v="0"/>
  </r>
  <r>
    <n v="381"/>
    <x v="240"/>
    <x v="0"/>
    <n v="5"/>
    <n v="4"/>
    <n v="9"/>
    <n v="265680"/>
    <n v="2391120"/>
    <n v="717336"/>
    <n v="0.3"/>
    <x v="4"/>
    <s v="Accessories"/>
    <x v="1"/>
    <x v="1"/>
  </r>
  <r>
    <n v="382"/>
    <x v="177"/>
    <x v="6"/>
    <n v="5"/>
    <n v="3"/>
    <n v="3"/>
    <n v="63723"/>
    <n v="191169"/>
    <n v="57350.7"/>
    <n v="0.3"/>
    <x v="4"/>
    <s v="Accessories"/>
    <x v="0"/>
    <x v="0"/>
  </r>
  <r>
    <n v="383"/>
    <x v="42"/>
    <x v="0"/>
    <n v="3"/>
    <n v="2"/>
    <n v="1"/>
    <n v="87829"/>
    <n v="87829"/>
    <n v="26348.7"/>
    <n v="0.3"/>
    <x v="2"/>
    <s v="Electronics"/>
    <x v="3"/>
    <x v="3"/>
  </r>
  <r>
    <n v="384"/>
    <x v="62"/>
    <x v="7"/>
    <n v="1"/>
    <n v="1"/>
    <n v="8"/>
    <n v="392211"/>
    <n v="3137688"/>
    <n v="941306.4"/>
    <n v="0.3"/>
    <x v="3"/>
    <s v="Electronics"/>
    <x v="2"/>
    <x v="2"/>
  </r>
  <r>
    <n v="385"/>
    <x v="241"/>
    <x v="5"/>
    <n v="2"/>
    <n v="2"/>
    <n v="5"/>
    <n v="283356"/>
    <n v="1416780"/>
    <n v="425034"/>
    <n v="0.3"/>
    <x v="0"/>
    <s v="Electronics"/>
    <x v="3"/>
    <x v="3"/>
  </r>
  <r>
    <n v="386"/>
    <x v="53"/>
    <x v="8"/>
    <n v="4"/>
    <n v="2"/>
    <n v="13"/>
    <n v="391057"/>
    <n v="5083741"/>
    <n v="1525122.3"/>
    <n v="0.3"/>
    <x v="1"/>
    <s v="Accessories"/>
    <x v="3"/>
    <x v="3"/>
  </r>
  <r>
    <n v="387"/>
    <x v="152"/>
    <x v="2"/>
    <n v="5"/>
    <n v="1"/>
    <n v="18"/>
    <n v="238312"/>
    <n v="4289616"/>
    <n v="1286884.8"/>
    <n v="0.3"/>
    <x v="4"/>
    <s v="Accessories"/>
    <x v="2"/>
    <x v="2"/>
  </r>
  <r>
    <n v="388"/>
    <x v="242"/>
    <x v="2"/>
    <n v="2"/>
    <n v="4"/>
    <n v="4"/>
    <n v="198196"/>
    <n v="792784"/>
    <n v="237835.19999999998"/>
    <n v="0.3"/>
    <x v="0"/>
    <s v="Electronics"/>
    <x v="1"/>
    <x v="1"/>
  </r>
  <r>
    <n v="389"/>
    <x v="243"/>
    <x v="8"/>
    <n v="2"/>
    <n v="1"/>
    <n v="11"/>
    <n v="140071"/>
    <n v="1540781"/>
    <n v="462234.3"/>
    <n v="0.3"/>
    <x v="0"/>
    <s v="Electronics"/>
    <x v="2"/>
    <x v="2"/>
  </r>
  <r>
    <n v="390"/>
    <x v="244"/>
    <x v="8"/>
    <n v="2"/>
    <n v="2"/>
    <n v="14"/>
    <n v="55930"/>
    <n v="783020"/>
    <n v="234906"/>
    <n v="0.3"/>
    <x v="0"/>
    <s v="Electronics"/>
    <x v="3"/>
    <x v="3"/>
  </r>
  <r>
    <n v="391"/>
    <x v="106"/>
    <x v="3"/>
    <n v="5"/>
    <n v="2"/>
    <n v="14"/>
    <n v="332269"/>
    <n v="4651766"/>
    <n v="1395529.8"/>
    <n v="0.3"/>
    <x v="4"/>
    <s v="Accessories"/>
    <x v="3"/>
    <x v="3"/>
  </r>
  <r>
    <n v="392"/>
    <x v="67"/>
    <x v="10"/>
    <n v="1"/>
    <n v="1"/>
    <n v="5"/>
    <n v="53480"/>
    <n v="267400"/>
    <n v="80220"/>
    <n v="0.3"/>
    <x v="3"/>
    <s v="Electronics"/>
    <x v="2"/>
    <x v="2"/>
  </r>
  <r>
    <n v="393"/>
    <x v="245"/>
    <x v="10"/>
    <n v="4"/>
    <n v="2"/>
    <n v="20"/>
    <n v="373956"/>
    <n v="7479120"/>
    <n v="2243736"/>
    <n v="0.3"/>
    <x v="1"/>
    <s v="Accessories"/>
    <x v="3"/>
    <x v="3"/>
  </r>
  <r>
    <n v="394"/>
    <x v="246"/>
    <x v="7"/>
    <n v="5"/>
    <n v="4"/>
    <n v="14"/>
    <n v="255685"/>
    <n v="3579590"/>
    <n v="1073877"/>
    <n v="0.3"/>
    <x v="4"/>
    <s v="Accessories"/>
    <x v="1"/>
    <x v="1"/>
  </r>
  <r>
    <n v="395"/>
    <x v="247"/>
    <x v="10"/>
    <n v="5"/>
    <n v="4"/>
    <n v="12"/>
    <n v="109408"/>
    <n v="1312896"/>
    <n v="393868.79999999999"/>
    <n v="0.3"/>
    <x v="4"/>
    <s v="Accessories"/>
    <x v="1"/>
    <x v="1"/>
  </r>
  <r>
    <n v="396"/>
    <x v="167"/>
    <x v="10"/>
    <n v="2"/>
    <n v="3"/>
    <n v="2"/>
    <n v="286189"/>
    <n v="572378"/>
    <n v="171713.4"/>
    <n v="0.3"/>
    <x v="0"/>
    <s v="Electronics"/>
    <x v="0"/>
    <x v="0"/>
  </r>
  <r>
    <n v="397"/>
    <x v="188"/>
    <x v="6"/>
    <n v="5"/>
    <n v="3"/>
    <n v="4"/>
    <n v="63462"/>
    <n v="253848"/>
    <n v="76154.399999999994"/>
    <n v="0.3"/>
    <x v="4"/>
    <s v="Accessories"/>
    <x v="0"/>
    <x v="0"/>
  </r>
  <r>
    <n v="398"/>
    <x v="165"/>
    <x v="5"/>
    <n v="2"/>
    <n v="4"/>
    <n v="15"/>
    <n v="363480"/>
    <n v="5452200"/>
    <n v="1635660"/>
    <n v="0.3"/>
    <x v="0"/>
    <s v="Electronics"/>
    <x v="1"/>
    <x v="1"/>
  </r>
  <r>
    <n v="399"/>
    <x v="20"/>
    <x v="4"/>
    <n v="2"/>
    <n v="1"/>
    <n v="14"/>
    <n v="238759"/>
    <n v="3342626"/>
    <n v="1002787.7999999999"/>
    <n v="0.3"/>
    <x v="0"/>
    <s v="Electronics"/>
    <x v="2"/>
    <x v="2"/>
  </r>
  <r>
    <n v="400"/>
    <x v="80"/>
    <x v="5"/>
    <n v="2"/>
    <n v="2"/>
    <n v="14"/>
    <n v="209777"/>
    <n v="2936878"/>
    <n v="881063.4"/>
    <n v="0.3"/>
    <x v="0"/>
    <s v="Electronics"/>
    <x v="3"/>
    <x v="3"/>
  </r>
  <r>
    <n v="401"/>
    <x v="248"/>
    <x v="4"/>
    <n v="1"/>
    <n v="2"/>
    <n v="12"/>
    <n v="337979"/>
    <n v="4055748"/>
    <n v="1216724.3999999999"/>
    <n v="0.3"/>
    <x v="3"/>
    <s v="Electronics"/>
    <x v="3"/>
    <x v="3"/>
  </r>
  <r>
    <n v="402"/>
    <x v="227"/>
    <x v="6"/>
    <n v="5"/>
    <n v="2"/>
    <n v="16"/>
    <n v="97113"/>
    <n v="1553808"/>
    <n v="466142.39999999997"/>
    <n v="0.3"/>
    <x v="4"/>
    <s v="Accessories"/>
    <x v="3"/>
    <x v="3"/>
  </r>
  <r>
    <n v="403"/>
    <x v="209"/>
    <x v="5"/>
    <n v="3"/>
    <n v="4"/>
    <n v="11"/>
    <n v="133651"/>
    <n v="1470161"/>
    <n v="441048.3"/>
    <n v="0.3"/>
    <x v="2"/>
    <s v="Electronics"/>
    <x v="1"/>
    <x v="1"/>
  </r>
  <r>
    <n v="404"/>
    <x v="57"/>
    <x v="7"/>
    <n v="1"/>
    <n v="2"/>
    <n v="1"/>
    <n v="323511"/>
    <n v="323511"/>
    <n v="97053.3"/>
    <n v="0.3"/>
    <x v="3"/>
    <s v="Electronics"/>
    <x v="3"/>
    <x v="3"/>
  </r>
  <r>
    <n v="405"/>
    <x v="114"/>
    <x v="1"/>
    <n v="3"/>
    <n v="4"/>
    <n v="20"/>
    <n v="205840"/>
    <n v="4116800"/>
    <n v="1235040"/>
    <n v="0.3"/>
    <x v="2"/>
    <s v="Electronics"/>
    <x v="1"/>
    <x v="1"/>
  </r>
  <r>
    <n v="406"/>
    <x v="249"/>
    <x v="11"/>
    <n v="4"/>
    <n v="3"/>
    <n v="8"/>
    <n v="168578"/>
    <n v="1348624"/>
    <n v="404587.2"/>
    <n v="0.3"/>
    <x v="1"/>
    <s v="Accessories"/>
    <x v="0"/>
    <x v="0"/>
  </r>
  <r>
    <n v="407"/>
    <x v="141"/>
    <x v="9"/>
    <n v="4"/>
    <n v="4"/>
    <n v="8"/>
    <n v="282557"/>
    <n v="2260456"/>
    <n v="678136.79999999993"/>
    <n v="0.3"/>
    <x v="1"/>
    <s v="Accessories"/>
    <x v="1"/>
    <x v="1"/>
  </r>
  <r>
    <n v="408"/>
    <x v="58"/>
    <x v="3"/>
    <n v="4"/>
    <n v="1"/>
    <n v="16"/>
    <n v="162542"/>
    <n v="2600672"/>
    <n v="780201.6"/>
    <n v="0.3"/>
    <x v="1"/>
    <s v="Accessories"/>
    <x v="2"/>
    <x v="2"/>
  </r>
  <r>
    <n v="409"/>
    <x v="195"/>
    <x v="0"/>
    <n v="1"/>
    <n v="2"/>
    <n v="8"/>
    <n v="192538"/>
    <n v="1540304"/>
    <n v="462091.2"/>
    <n v="0.3"/>
    <x v="3"/>
    <s v="Electronics"/>
    <x v="3"/>
    <x v="3"/>
  </r>
  <r>
    <n v="410"/>
    <x v="239"/>
    <x v="11"/>
    <n v="3"/>
    <n v="3"/>
    <n v="9"/>
    <n v="136868"/>
    <n v="1231812"/>
    <n v="369543.6"/>
    <n v="0.3"/>
    <x v="2"/>
    <s v="Electronics"/>
    <x v="0"/>
    <x v="0"/>
  </r>
  <r>
    <n v="411"/>
    <x v="250"/>
    <x v="10"/>
    <n v="2"/>
    <n v="1"/>
    <n v="12"/>
    <n v="85672"/>
    <n v="1028064"/>
    <n v="308419.20000000001"/>
    <n v="0.3"/>
    <x v="0"/>
    <s v="Electronics"/>
    <x v="2"/>
    <x v="2"/>
  </r>
  <r>
    <n v="412"/>
    <x v="251"/>
    <x v="5"/>
    <n v="5"/>
    <n v="3"/>
    <n v="10"/>
    <n v="381204"/>
    <n v="3812040"/>
    <n v="1143612"/>
    <n v="0.3"/>
    <x v="4"/>
    <s v="Accessories"/>
    <x v="0"/>
    <x v="0"/>
  </r>
  <r>
    <n v="413"/>
    <x v="214"/>
    <x v="7"/>
    <n v="4"/>
    <n v="2"/>
    <n v="1"/>
    <n v="76885"/>
    <n v="76885"/>
    <n v="23065.5"/>
    <n v="0.3"/>
    <x v="1"/>
    <s v="Accessories"/>
    <x v="3"/>
    <x v="3"/>
  </r>
  <r>
    <n v="414"/>
    <x v="252"/>
    <x v="11"/>
    <n v="5"/>
    <n v="3"/>
    <n v="5"/>
    <n v="101497"/>
    <n v="507485"/>
    <n v="152245.5"/>
    <n v="0.3"/>
    <x v="4"/>
    <s v="Accessories"/>
    <x v="0"/>
    <x v="0"/>
  </r>
  <r>
    <n v="415"/>
    <x v="204"/>
    <x v="1"/>
    <n v="3"/>
    <n v="3"/>
    <n v="14"/>
    <n v="208498"/>
    <n v="2918972"/>
    <n v="875691.6"/>
    <n v="0.3"/>
    <x v="2"/>
    <s v="Electronics"/>
    <x v="0"/>
    <x v="0"/>
  </r>
  <r>
    <n v="416"/>
    <x v="253"/>
    <x v="4"/>
    <n v="3"/>
    <n v="1"/>
    <n v="3"/>
    <n v="109166"/>
    <n v="327498"/>
    <n v="98249.4"/>
    <n v="0.3"/>
    <x v="2"/>
    <s v="Electronics"/>
    <x v="2"/>
    <x v="2"/>
  </r>
  <r>
    <n v="417"/>
    <x v="254"/>
    <x v="0"/>
    <n v="1"/>
    <n v="4"/>
    <n v="14"/>
    <n v="273934"/>
    <n v="3835076"/>
    <n v="1150522.8"/>
    <n v="0.3"/>
    <x v="3"/>
    <s v="Electronics"/>
    <x v="1"/>
    <x v="1"/>
  </r>
  <r>
    <n v="418"/>
    <x v="55"/>
    <x v="9"/>
    <n v="3"/>
    <n v="3"/>
    <n v="8"/>
    <n v="140512"/>
    <n v="1124096"/>
    <n v="337228.79999999999"/>
    <n v="0.3"/>
    <x v="2"/>
    <s v="Electronics"/>
    <x v="0"/>
    <x v="0"/>
  </r>
  <r>
    <n v="419"/>
    <x v="183"/>
    <x v="7"/>
    <n v="3"/>
    <n v="2"/>
    <n v="3"/>
    <n v="100434"/>
    <n v="301302"/>
    <n v="90390.599999999991"/>
    <n v="0.3"/>
    <x v="2"/>
    <s v="Electronics"/>
    <x v="3"/>
    <x v="3"/>
  </r>
  <r>
    <n v="420"/>
    <x v="255"/>
    <x v="11"/>
    <n v="4"/>
    <n v="1"/>
    <n v="10"/>
    <n v="196231"/>
    <n v="1962310"/>
    <n v="588693"/>
    <n v="0.3"/>
    <x v="1"/>
    <s v="Accessories"/>
    <x v="2"/>
    <x v="2"/>
  </r>
  <r>
    <n v="421"/>
    <x v="256"/>
    <x v="2"/>
    <n v="5"/>
    <n v="2"/>
    <n v="4"/>
    <n v="119617"/>
    <n v="478468"/>
    <n v="143540.4"/>
    <n v="0.3"/>
    <x v="4"/>
    <s v="Accessories"/>
    <x v="3"/>
    <x v="3"/>
  </r>
  <r>
    <n v="422"/>
    <x v="82"/>
    <x v="3"/>
    <n v="1"/>
    <n v="2"/>
    <n v="10"/>
    <n v="384888"/>
    <n v="3848880"/>
    <n v="1154664"/>
    <n v="0.3"/>
    <x v="3"/>
    <s v="Electronics"/>
    <x v="3"/>
    <x v="3"/>
  </r>
  <r>
    <n v="423"/>
    <x v="146"/>
    <x v="1"/>
    <n v="3"/>
    <n v="1"/>
    <n v="8"/>
    <n v="184440"/>
    <n v="1475520"/>
    <n v="442656"/>
    <n v="0.3"/>
    <x v="2"/>
    <s v="Electronics"/>
    <x v="2"/>
    <x v="2"/>
  </r>
  <r>
    <n v="424"/>
    <x v="4"/>
    <x v="4"/>
    <n v="4"/>
    <n v="2"/>
    <n v="20"/>
    <n v="67721"/>
    <n v="1354420"/>
    <n v="406326"/>
    <n v="0.3"/>
    <x v="1"/>
    <s v="Accessories"/>
    <x v="3"/>
    <x v="3"/>
  </r>
  <r>
    <n v="425"/>
    <x v="234"/>
    <x v="5"/>
    <n v="3"/>
    <n v="1"/>
    <n v="8"/>
    <n v="210899"/>
    <n v="1687192"/>
    <n v="506157.6"/>
    <n v="0.3"/>
    <x v="2"/>
    <s v="Electronics"/>
    <x v="2"/>
    <x v="2"/>
  </r>
  <r>
    <n v="426"/>
    <x v="252"/>
    <x v="11"/>
    <n v="1"/>
    <n v="2"/>
    <n v="6"/>
    <n v="346395"/>
    <n v="2078370"/>
    <n v="623511"/>
    <n v="0.3"/>
    <x v="3"/>
    <s v="Electronics"/>
    <x v="3"/>
    <x v="3"/>
  </r>
  <r>
    <n v="427"/>
    <x v="25"/>
    <x v="7"/>
    <n v="5"/>
    <n v="2"/>
    <n v="11"/>
    <n v="324720"/>
    <n v="3571920"/>
    <n v="1071576"/>
    <n v="0.3"/>
    <x v="4"/>
    <s v="Accessories"/>
    <x v="3"/>
    <x v="3"/>
  </r>
  <r>
    <n v="428"/>
    <x v="212"/>
    <x v="3"/>
    <n v="2"/>
    <n v="2"/>
    <n v="7"/>
    <n v="234649"/>
    <n v="1642543"/>
    <n v="492762.89999999997"/>
    <n v="0.3"/>
    <x v="0"/>
    <s v="Electronics"/>
    <x v="3"/>
    <x v="3"/>
  </r>
  <r>
    <n v="429"/>
    <x v="235"/>
    <x v="10"/>
    <n v="3"/>
    <n v="2"/>
    <n v="15"/>
    <n v="64577"/>
    <n v="968655"/>
    <n v="290596.5"/>
    <n v="0.3"/>
    <x v="2"/>
    <s v="Electronics"/>
    <x v="3"/>
    <x v="3"/>
  </r>
  <r>
    <n v="430"/>
    <x v="257"/>
    <x v="9"/>
    <n v="4"/>
    <n v="4"/>
    <n v="7"/>
    <n v="176908"/>
    <n v="1238356"/>
    <n v="371506.8"/>
    <n v="0.3"/>
    <x v="1"/>
    <s v="Accessories"/>
    <x v="1"/>
    <x v="1"/>
  </r>
  <r>
    <n v="431"/>
    <x v="66"/>
    <x v="4"/>
    <n v="3"/>
    <n v="3"/>
    <n v="15"/>
    <n v="174287"/>
    <n v="2614305"/>
    <n v="784291.5"/>
    <n v="0.3"/>
    <x v="2"/>
    <s v="Electronics"/>
    <x v="0"/>
    <x v="0"/>
  </r>
  <r>
    <n v="432"/>
    <x v="258"/>
    <x v="9"/>
    <n v="5"/>
    <n v="4"/>
    <n v="8"/>
    <n v="304320"/>
    <n v="2434560"/>
    <n v="730368"/>
    <n v="0.3"/>
    <x v="4"/>
    <s v="Accessories"/>
    <x v="1"/>
    <x v="1"/>
  </r>
  <r>
    <n v="433"/>
    <x v="259"/>
    <x v="6"/>
    <n v="2"/>
    <n v="2"/>
    <n v="19"/>
    <n v="225523"/>
    <n v="4284937"/>
    <n v="1285481.0999999999"/>
    <n v="0.3"/>
    <x v="0"/>
    <s v="Electronics"/>
    <x v="3"/>
    <x v="3"/>
  </r>
  <r>
    <n v="434"/>
    <x v="98"/>
    <x v="10"/>
    <n v="1"/>
    <n v="1"/>
    <n v="4"/>
    <n v="203630"/>
    <n v="814520"/>
    <n v="244356"/>
    <n v="0.3"/>
    <x v="3"/>
    <s v="Electronics"/>
    <x v="2"/>
    <x v="2"/>
  </r>
  <r>
    <n v="435"/>
    <x v="202"/>
    <x v="1"/>
    <n v="1"/>
    <n v="4"/>
    <n v="10"/>
    <n v="108437"/>
    <n v="1084370"/>
    <n v="325311"/>
    <n v="0.3"/>
    <x v="3"/>
    <s v="Electronics"/>
    <x v="1"/>
    <x v="1"/>
  </r>
  <r>
    <n v="436"/>
    <x v="132"/>
    <x v="2"/>
    <n v="3"/>
    <n v="2"/>
    <n v="4"/>
    <n v="100361"/>
    <n v="401444"/>
    <n v="120433.2"/>
    <n v="0.3"/>
    <x v="2"/>
    <s v="Electronics"/>
    <x v="3"/>
    <x v="3"/>
  </r>
  <r>
    <n v="437"/>
    <x v="260"/>
    <x v="4"/>
    <n v="2"/>
    <n v="1"/>
    <n v="15"/>
    <n v="394865"/>
    <n v="5922975"/>
    <n v="1776892.5"/>
    <n v="0.3"/>
    <x v="0"/>
    <s v="Electronics"/>
    <x v="2"/>
    <x v="2"/>
  </r>
  <r>
    <n v="438"/>
    <x v="17"/>
    <x v="9"/>
    <n v="2"/>
    <n v="1"/>
    <n v="7"/>
    <n v="332956"/>
    <n v="2330692"/>
    <n v="699207.6"/>
    <n v="0.3"/>
    <x v="0"/>
    <s v="Electronics"/>
    <x v="2"/>
    <x v="2"/>
  </r>
  <r>
    <n v="439"/>
    <x v="75"/>
    <x v="11"/>
    <n v="5"/>
    <n v="4"/>
    <n v="11"/>
    <n v="142149"/>
    <n v="1563639"/>
    <n v="469091.7"/>
    <n v="0.3"/>
    <x v="4"/>
    <s v="Accessories"/>
    <x v="1"/>
    <x v="1"/>
  </r>
  <r>
    <n v="440"/>
    <x v="157"/>
    <x v="7"/>
    <n v="5"/>
    <n v="4"/>
    <n v="14"/>
    <n v="127223"/>
    <n v="1781122"/>
    <n v="534336.6"/>
    <n v="0.3"/>
    <x v="4"/>
    <s v="Accessories"/>
    <x v="1"/>
    <x v="1"/>
  </r>
  <r>
    <n v="441"/>
    <x v="114"/>
    <x v="1"/>
    <n v="1"/>
    <n v="1"/>
    <n v="4"/>
    <n v="290486"/>
    <n v="1161944"/>
    <n v="348583.2"/>
    <n v="0.3"/>
    <x v="3"/>
    <s v="Electronics"/>
    <x v="2"/>
    <x v="2"/>
  </r>
  <r>
    <n v="442"/>
    <x v="261"/>
    <x v="5"/>
    <n v="1"/>
    <n v="1"/>
    <n v="9"/>
    <n v="58142"/>
    <n v="523278"/>
    <n v="156983.4"/>
    <n v="0.3"/>
    <x v="3"/>
    <s v="Electronics"/>
    <x v="2"/>
    <x v="2"/>
  </r>
  <r>
    <n v="443"/>
    <x v="262"/>
    <x v="8"/>
    <n v="3"/>
    <n v="1"/>
    <n v="4"/>
    <n v="122399"/>
    <n v="489596"/>
    <n v="146878.79999999999"/>
    <n v="0.3"/>
    <x v="2"/>
    <s v="Electronics"/>
    <x v="2"/>
    <x v="2"/>
  </r>
  <r>
    <n v="444"/>
    <x v="150"/>
    <x v="0"/>
    <n v="5"/>
    <n v="3"/>
    <n v="15"/>
    <n v="317156"/>
    <n v="4757340"/>
    <n v="1427202"/>
    <n v="0.3"/>
    <x v="4"/>
    <s v="Accessories"/>
    <x v="0"/>
    <x v="0"/>
  </r>
  <r>
    <n v="445"/>
    <x v="106"/>
    <x v="3"/>
    <n v="2"/>
    <n v="2"/>
    <n v="6"/>
    <n v="142596"/>
    <n v="855576"/>
    <n v="256672.8"/>
    <n v="0.3"/>
    <x v="0"/>
    <s v="Electronics"/>
    <x v="3"/>
    <x v="3"/>
  </r>
  <r>
    <n v="446"/>
    <x v="58"/>
    <x v="3"/>
    <n v="1"/>
    <n v="4"/>
    <n v="17"/>
    <n v="285838"/>
    <n v="4859246"/>
    <n v="1457773.8"/>
    <n v="0.3"/>
    <x v="3"/>
    <s v="Electronics"/>
    <x v="1"/>
    <x v="1"/>
  </r>
  <r>
    <n v="447"/>
    <x v="73"/>
    <x v="6"/>
    <n v="1"/>
    <n v="4"/>
    <n v="2"/>
    <n v="224730"/>
    <n v="449460"/>
    <n v="134838"/>
    <n v="0.3"/>
    <x v="3"/>
    <s v="Electronics"/>
    <x v="1"/>
    <x v="1"/>
  </r>
  <r>
    <n v="448"/>
    <x v="263"/>
    <x v="7"/>
    <n v="5"/>
    <n v="1"/>
    <n v="15"/>
    <n v="112458"/>
    <n v="1686870"/>
    <n v="506061"/>
    <n v="0.3"/>
    <x v="4"/>
    <s v="Accessories"/>
    <x v="2"/>
    <x v="2"/>
  </r>
  <r>
    <n v="449"/>
    <x v="264"/>
    <x v="3"/>
    <n v="5"/>
    <n v="1"/>
    <n v="20"/>
    <n v="321564"/>
    <n v="6431280"/>
    <n v="1929384"/>
    <n v="0.3"/>
    <x v="4"/>
    <s v="Accessories"/>
    <x v="2"/>
    <x v="2"/>
  </r>
  <r>
    <n v="450"/>
    <x v="112"/>
    <x v="8"/>
    <n v="5"/>
    <n v="4"/>
    <n v="19"/>
    <n v="58451"/>
    <n v="1110569"/>
    <n v="333170.7"/>
    <n v="0.3"/>
    <x v="4"/>
    <s v="Accessories"/>
    <x v="1"/>
    <x v="1"/>
  </r>
  <r>
    <n v="451"/>
    <x v="93"/>
    <x v="10"/>
    <n v="5"/>
    <n v="3"/>
    <n v="17"/>
    <n v="245923"/>
    <n v="4180691"/>
    <n v="1254207.3"/>
    <n v="0.3"/>
    <x v="4"/>
    <s v="Accessories"/>
    <x v="0"/>
    <x v="0"/>
  </r>
  <r>
    <n v="452"/>
    <x v="200"/>
    <x v="10"/>
    <n v="2"/>
    <n v="2"/>
    <n v="18"/>
    <n v="369099"/>
    <n v="6643782"/>
    <n v="1993134.5999999999"/>
    <n v="0.3"/>
    <x v="0"/>
    <s v="Electronics"/>
    <x v="3"/>
    <x v="3"/>
  </r>
  <r>
    <n v="453"/>
    <x v="88"/>
    <x v="1"/>
    <n v="2"/>
    <n v="2"/>
    <n v="7"/>
    <n v="243598"/>
    <n v="1705186"/>
    <n v="511555.8"/>
    <n v="0.3"/>
    <x v="0"/>
    <s v="Electronics"/>
    <x v="3"/>
    <x v="3"/>
  </r>
  <r>
    <n v="454"/>
    <x v="23"/>
    <x v="10"/>
    <n v="1"/>
    <n v="4"/>
    <n v="2"/>
    <n v="292549"/>
    <n v="585098"/>
    <n v="175529.4"/>
    <n v="0.3"/>
    <x v="3"/>
    <s v="Electronics"/>
    <x v="1"/>
    <x v="1"/>
  </r>
  <r>
    <n v="455"/>
    <x v="217"/>
    <x v="6"/>
    <n v="1"/>
    <n v="1"/>
    <n v="15"/>
    <n v="254923"/>
    <n v="3823845"/>
    <n v="1147153.5"/>
    <n v="0.3"/>
    <x v="3"/>
    <s v="Electronics"/>
    <x v="2"/>
    <x v="2"/>
  </r>
  <r>
    <n v="456"/>
    <x v="90"/>
    <x v="6"/>
    <n v="5"/>
    <n v="2"/>
    <n v="14"/>
    <n v="340922"/>
    <n v="4772908"/>
    <n v="1431872.4"/>
    <n v="0.3"/>
    <x v="4"/>
    <s v="Accessories"/>
    <x v="3"/>
    <x v="3"/>
  </r>
  <r>
    <n v="457"/>
    <x v="192"/>
    <x v="9"/>
    <n v="1"/>
    <n v="4"/>
    <n v="18"/>
    <n v="144737"/>
    <n v="2605266"/>
    <n v="781579.79999999993"/>
    <n v="0.3"/>
    <x v="3"/>
    <s v="Electronics"/>
    <x v="1"/>
    <x v="1"/>
  </r>
  <r>
    <n v="458"/>
    <x v="265"/>
    <x v="3"/>
    <n v="2"/>
    <n v="4"/>
    <n v="13"/>
    <n v="386342"/>
    <n v="5022446"/>
    <n v="1506733.8"/>
    <n v="0.3"/>
    <x v="0"/>
    <s v="Electronics"/>
    <x v="1"/>
    <x v="1"/>
  </r>
  <r>
    <n v="459"/>
    <x v="255"/>
    <x v="11"/>
    <n v="2"/>
    <n v="4"/>
    <n v="10"/>
    <n v="257725"/>
    <n v="2577250"/>
    <n v="773175"/>
    <n v="0.3"/>
    <x v="0"/>
    <s v="Electronics"/>
    <x v="1"/>
    <x v="1"/>
  </r>
  <r>
    <n v="460"/>
    <x v="148"/>
    <x v="3"/>
    <n v="5"/>
    <n v="4"/>
    <n v="4"/>
    <n v="365046"/>
    <n v="1460184"/>
    <n v="438055.2"/>
    <n v="0.3"/>
    <x v="4"/>
    <s v="Accessories"/>
    <x v="1"/>
    <x v="1"/>
  </r>
  <r>
    <n v="461"/>
    <x v="113"/>
    <x v="9"/>
    <n v="5"/>
    <n v="2"/>
    <n v="12"/>
    <n v="384150"/>
    <n v="4609800"/>
    <n v="1382940"/>
    <n v="0.3"/>
    <x v="4"/>
    <s v="Accessories"/>
    <x v="3"/>
    <x v="3"/>
  </r>
  <r>
    <n v="462"/>
    <x v="229"/>
    <x v="7"/>
    <n v="5"/>
    <n v="2"/>
    <n v="6"/>
    <n v="190608"/>
    <n v="1143648"/>
    <n v="343094.39999999997"/>
    <n v="0.3"/>
    <x v="4"/>
    <s v="Accessories"/>
    <x v="3"/>
    <x v="3"/>
  </r>
  <r>
    <n v="463"/>
    <x v="266"/>
    <x v="4"/>
    <n v="4"/>
    <n v="1"/>
    <n v="13"/>
    <n v="162760"/>
    <n v="2115880"/>
    <n v="634764"/>
    <n v="0.3"/>
    <x v="1"/>
    <s v="Accessories"/>
    <x v="2"/>
    <x v="2"/>
  </r>
  <r>
    <n v="464"/>
    <x v="46"/>
    <x v="9"/>
    <n v="5"/>
    <n v="2"/>
    <n v="17"/>
    <n v="279609"/>
    <n v="4753353"/>
    <n v="1426005.9"/>
    <n v="0.3"/>
    <x v="4"/>
    <s v="Accessories"/>
    <x v="3"/>
    <x v="3"/>
  </r>
  <r>
    <n v="465"/>
    <x v="166"/>
    <x v="9"/>
    <n v="1"/>
    <n v="4"/>
    <n v="17"/>
    <n v="391992"/>
    <n v="6663864"/>
    <n v="1999159.2"/>
    <n v="0.3"/>
    <x v="3"/>
    <s v="Electronics"/>
    <x v="1"/>
    <x v="1"/>
  </r>
  <r>
    <n v="466"/>
    <x v="108"/>
    <x v="1"/>
    <n v="1"/>
    <n v="2"/>
    <n v="14"/>
    <n v="164012"/>
    <n v="2296168"/>
    <n v="688850.4"/>
    <n v="0.3"/>
    <x v="3"/>
    <s v="Electronics"/>
    <x v="3"/>
    <x v="3"/>
  </r>
  <r>
    <n v="467"/>
    <x v="134"/>
    <x v="6"/>
    <n v="1"/>
    <n v="2"/>
    <n v="6"/>
    <n v="177430"/>
    <n v="1064580"/>
    <n v="319374"/>
    <n v="0.3"/>
    <x v="3"/>
    <s v="Electronics"/>
    <x v="3"/>
    <x v="3"/>
  </r>
  <r>
    <n v="468"/>
    <x v="267"/>
    <x v="0"/>
    <n v="3"/>
    <n v="3"/>
    <n v="17"/>
    <n v="198078"/>
    <n v="3367326"/>
    <n v="1010197.7999999999"/>
    <n v="0.3"/>
    <x v="2"/>
    <s v="Electronics"/>
    <x v="0"/>
    <x v="0"/>
  </r>
  <r>
    <n v="469"/>
    <x v="268"/>
    <x v="0"/>
    <n v="4"/>
    <n v="4"/>
    <n v="6"/>
    <n v="368050"/>
    <n v="2208300"/>
    <n v="662490"/>
    <n v="0.3"/>
    <x v="1"/>
    <s v="Accessories"/>
    <x v="1"/>
    <x v="1"/>
  </r>
  <r>
    <n v="470"/>
    <x v="269"/>
    <x v="0"/>
    <n v="3"/>
    <n v="1"/>
    <n v="15"/>
    <n v="204321"/>
    <n v="3064815"/>
    <n v="919444.5"/>
    <n v="0.3"/>
    <x v="2"/>
    <s v="Electronics"/>
    <x v="2"/>
    <x v="2"/>
  </r>
  <r>
    <n v="471"/>
    <x v="178"/>
    <x v="6"/>
    <n v="4"/>
    <n v="4"/>
    <n v="3"/>
    <n v="322534"/>
    <n v="967602"/>
    <n v="290280.59999999998"/>
    <n v="0.3"/>
    <x v="1"/>
    <s v="Accessories"/>
    <x v="1"/>
    <x v="1"/>
  </r>
  <r>
    <n v="472"/>
    <x v="134"/>
    <x v="6"/>
    <n v="5"/>
    <n v="1"/>
    <n v="4"/>
    <n v="82362"/>
    <n v="329448"/>
    <n v="98834.4"/>
    <n v="0.3"/>
    <x v="4"/>
    <s v="Accessories"/>
    <x v="2"/>
    <x v="2"/>
  </r>
  <r>
    <n v="473"/>
    <x v="74"/>
    <x v="2"/>
    <n v="4"/>
    <n v="1"/>
    <n v="12"/>
    <n v="210784"/>
    <n v="2529408"/>
    <n v="758822.40000000002"/>
    <n v="0.3"/>
    <x v="1"/>
    <s v="Accessories"/>
    <x v="2"/>
    <x v="2"/>
  </r>
  <r>
    <n v="474"/>
    <x v="268"/>
    <x v="0"/>
    <n v="2"/>
    <n v="3"/>
    <n v="9"/>
    <n v="91878"/>
    <n v="826902"/>
    <n v="248070.59999999998"/>
    <n v="0.3"/>
    <x v="0"/>
    <s v="Electronics"/>
    <x v="0"/>
    <x v="0"/>
  </r>
  <r>
    <n v="475"/>
    <x v="270"/>
    <x v="10"/>
    <n v="2"/>
    <n v="2"/>
    <n v="12"/>
    <n v="367628"/>
    <n v="4411536"/>
    <n v="1323460.8"/>
    <n v="0.3"/>
    <x v="0"/>
    <s v="Electronics"/>
    <x v="3"/>
    <x v="3"/>
  </r>
  <r>
    <n v="476"/>
    <x v="33"/>
    <x v="1"/>
    <n v="3"/>
    <n v="4"/>
    <n v="16"/>
    <n v="146148"/>
    <n v="2338368"/>
    <n v="701510.4"/>
    <n v="0.3"/>
    <x v="2"/>
    <s v="Electronics"/>
    <x v="1"/>
    <x v="1"/>
  </r>
  <r>
    <n v="477"/>
    <x v="93"/>
    <x v="10"/>
    <n v="1"/>
    <n v="1"/>
    <n v="18"/>
    <n v="158280"/>
    <n v="2849040"/>
    <n v="854712"/>
    <n v="0.3"/>
    <x v="3"/>
    <s v="Electronics"/>
    <x v="2"/>
    <x v="2"/>
  </r>
  <r>
    <n v="478"/>
    <x v="271"/>
    <x v="5"/>
    <n v="1"/>
    <n v="2"/>
    <n v="12"/>
    <n v="227097"/>
    <n v="2725164"/>
    <n v="817549.2"/>
    <n v="0.3"/>
    <x v="3"/>
    <s v="Electronics"/>
    <x v="3"/>
    <x v="3"/>
  </r>
  <r>
    <n v="479"/>
    <x v="239"/>
    <x v="11"/>
    <n v="4"/>
    <n v="1"/>
    <n v="19"/>
    <n v="355375"/>
    <n v="6752125"/>
    <n v="2025637.5"/>
    <n v="0.3"/>
    <x v="1"/>
    <s v="Accessories"/>
    <x v="2"/>
    <x v="2"/>
  </r>
  <r>
    <n v="480"/>
    <x v="138"/>
    <x v="11"/>
    <n v="2"/>
    <n v="1"/>
    <n v="17"/>
    <n v="309264"/>
    <n v="5257488"/>
    <n v="1577246.4"/>
    <n v="0.3"/>
    <x v="0"/>
    <s v="Electronics"/>
    <x v="2"/>
    <x v="2"/>
  </r>
  <r>
    <n v="481"/>
    <x v="205"/>
    <x v="4"/>
    <n v="5"/>
    <n v="1"/>
    <n v="18"/>
    <n v="315890"/>
    <n v="5686020"/>
    <n v="1705806"/>
    <n v="0.3"/>
    <x v="4"/>
    <s v="Accessories"/>
    <x v="2"/>
    <x v="2"/>
  </r>
  <r>
    <n v="482"/>
    <x v="272"/>
    <x v="0"/>
    <n v="5"/>
    <n v="4"/>
    <n v="9"/>
    <n v="395323"/>
    <n v="3557907"/>
    <n v="1067372.0999999999"/>
    <n v="0.29999999999999993"/>
    <x v="4"/>
    <s v="Accessories"/>
    <x v="1"/>
    <x v="1"/>
  </r>
  <r>
    <n v="483"/>
    <x v="273"/>
    <x v="5"/>
    <n v="1"/>
    <n v="4"/>
    <n v="9"/>
    <n v="347340"/>
    <n v="3126060"/>
    <n v="937818"/>
    <n v="0.3"/>
    <x v="3"/>
    <s v="Electronics"/>
    <x v="1"/>
    <x v="1"/>
  </r>
  <r>
    <n v="484"/>
    <x v="205"/>
    <x v="4"/>
    <n v="1"/>
    <n v="2"/>
    <n v="19"/>
    <n v="215471"/>
    <n v="4093949"/>
    <n v="1228184.7"/>
    <n v="0.3"/>
    <x v="3"/>
    <s v="Electronics"/>
    <x v="3"/>
    <x v="3"/>
  </r>
  <r>
    <n v="485"/>
    <x v="274"/>
    <x v="2"/>
    <n v="5"/>
    <n v="4"/>
    <n v="1"/>
    <n v="291056"/>
    <n v="291056"/>
    <n v="87316.800000000003"/>
    <n v="0.3"/>
    <x v="4"/>
    <s v="Accessories"/>
    <x v="1"/>
    <x v="1"/>
  </r>
  <r>
    <n v="486"/>
    <x v="37"/>
    <x v="4"/>
    <n v="4"/>
    <n v="2"/>
    <n v="9"/>
    <n v="71640"/>
    <n v="644760"/>
    <n v="193428"/>
    <n v="0.3"/>
    <x v="1"/>
    <s v="Accessories"/>
    <x v="3"/>
    <x v="3"/>
  </r>
  <r>
    <n v="487"/>
    <x v="89"/>
    <x v="4"/>
    <n v="3"/>
    <n v="4"/>
    <n v="19"/>
    <n v="58083"/>
    <n v="1103577"/>
    <n v="331073.09999999998"/>
    <n v="0.3"/>
    <x v="2"/>
    <s v="Electronics"/>
    <x v="1"/>
    <x v="1"/>
  </r>
  <r>
    <n v="488"/>
    <x v="76"/>
    <x v="5"/>
    <n v="1"/>
    <n v="1"/>
    <n v="9"/>
    <n v="301549"/>
    <n v="2713941"/>
    <n v="814182.29999999993"/>
    <n v="0.3"/>
    <x v="3"/>
    <s v="Electronics"/>
    <x v="2"/>
    <x v="2"/>
  </r>
  <r>
    <n v="489"/>
    <x v="275"/>
    <x v="7"/>
    <n v="4"/>
    <n v="4"/>
    <n v="13"/>
    <n v="309176"/>
    <n v="4019288"/>
    <n v="1205786.3999999999"/>
    <n v="0.3"/>
    <x v="1"/>
    <s v="Accessories"/>
    <x v="1"/>
    <x v="1"/>
  </r>
  <r>
    <n v="490"/>
    <x v="276"/>
    <x v="9"/>
    <n v="4"/>
    <n v="1"/>
    <n v="10"/>
    <n v="234495"/>
    <n v="2344950"/>
    <n v="703485"/>
    <n v="0.3"/>
    <x v="1"/>
    <s v="Accessories"/>
    <x v="2"/>
    <x v="2"/>
  </r>
  <r>
    <n v="491"/>
    <x v="102"/>
    <x v="6"/>
    <n v="2"/>
    <n v="1"/>
    <n v="6"/>
    <n v="378776"/>
    <n v="2272656"/>
    <n v="681796.79999999993"/>
    <n v="0.3"/>
    <x v="0"/>
    <s v="Electronics"/>
    <x v="2"/>
    <x v="2"/>
  </r>
  <r>
    <n v="492"/>
    <x v="155"/>
    <x v="5"/>
    <n v="1"/>
    <n v="3"/>
    <n v="9"/>
    <n v="344234"/>
    <n v="3098106"/>
    <n v="929431.79999999993"/>
    <n v="0.3"/>
    <x v="3"/>
    <s v="Electronics"/>
    <x v="0"/>
    <x v="0"/>
  </r>
  <r>
    <n v="493"/>
    <x v="232"/>
    <x v="9"/>
    <n v="4"/>
    <n v="4"/>
    <n v="11"/>
    <n v="319174"/>
    <n v="3510914"/>
    <n v="1053274.2"/>
    <n v="0.3"/>
    <x v="1"/>
    <s v="Accessories"/>
    <x v="1"/>
    <x v="1"/>
  </r>
  <r>
    <n v="494"/>
    <x v="10"/>
    <x v="2"/>
    <n v="3"/>
    <n v="1"/>
    <n v="2"/>
    <n v="118089"/>
    <n v="236178"/>
    <n v="70853.399999999994"/>
    <n v="0.3"/>
    <x v="2"/>
    <s v="Electronics"/>
    <x v="2"/>
    <x v="2"/>
  </r>
  <r>
    <n v="495"/>
    <x v="247"/>
    <x v="10"/>
    <n v="1"/>
    <n v="2"/>
    <n v="11"/>
    <n v="333853"/>
    <n v="3672383"/>
    <n v="1101714.8999999999"/>
    <n v="0.3"/>
    <x v="3"/>
    <s v="Electronics"/>
    <x v="3"/>
    <x v="3"/>
  </r>
  <r>
    <n v="496"/>
    <x v="206"/>
    <x v="3"/>
    <n v="2"/>
    <n v="3"/>
    <n v="12"/>
    <n v="335435"/>
    <n v="4025220"/>
    <n v="1207566"/>
    <n v="0.3"/>
    <x v="0"/>
    <s v="Electronics"/>
    <x v="0"/>
    <x v="0"/>
  </r>
  <r>
    <n v="497"/>
    <x v="234"/>
    <x v="5"/>
    <n v="2"/>
    <n v="2"/>
    <n v="17"/>
    <n v="162435"/>
    <n v="2761395"/>
    <n v="828418.5"/>
    <n v="0.3"/>
    <x v="0"/>
    <s v="Electronics"/>
    <x v="3"/>
    <x v="3"/>
  </r>
  <r>
    <n v="498"/>
    <x v="277"/>
    <x v="5"/>
    <n v="2"/>
    <n v="2"/>
    <n v="14"/>
    <n v="226076"/>
    <n v="3165064"/>
    <n v="949519.2"/>
    <n v="0.3"/>
    <x v="0"/>
    <s v="Electronics"/>
    <x v="3"/>
    <x v="3"/>
  </r>
  <r>
    <n v="499"/>
    <x v="100"/>
    <x v="0"/>
    <n v="4"/>
    <n v="2"/>
    <n v="14"/>
    <n v="104787"/>
    <n v="1467018"/>
    <n v="440105.39999999997"/>
    <n v="0.3"/>
    <x v="1"/>
    <s v="Accessories"/>
    <x v="3"/>
    <x v="3"/>
  </r>
  <r>
    <n v="500"/>
    <x v="198"/>
    <x v="7"/>
    <n v="3"/>
    <n v="1"/>
    <n v="19"/>
    <n v="259287"/>
    <n v="4926453"/>
    <n v="1477935.9"/>
    <n v="0.3"/>
    <x v="2"/>
    <s v="Electronics"/>
    <x v="2"/>
    <x v="2"/>
  </r>
  <r>
    <n v="501"/>
    <x v="56"/>
    <x v="2"/>
    <n v="4"/>
    <n v="2"/>
    <n v="18"/>
    <n v="102330"/>
    <n v="1841940"/>
    <n v="552582"/>
    <n v="0.3"/>
    <x v="1"/>
    <s v="Accessories"/>
    <x v="3"/>
    <x v="3"/>
  </r>
  <r>
    <n v="502"/>
    <x v="251"/>
    <x v="5"/>
    <n v="5"/>
    <n v="2"/>
    <n v="9"/>
    <n v="204026"/>
    <n v="1836234"/>
    <n v="550870.19999999995"/>
    <n v="0.3"/>
    <x v="4"/>
    <s v="Accessories"/>
    <x v="3"/>
    <x v="3"/>
  </r>
  <r>
    <n v="503"/>
    <x v="14"/>
    <x v="8"/>
    <n v="5"/>
    <n v="3"/>
    <n v="13"/>
    <n v="207046"/>
    <n v="2691598"/>
    <n v="807479.4"/>
    <n v="0.3"/>
    <x v="4"/>
    <s v="Accessories"/>
    <x v="0"/>
    <x v="0"/>
  </r>
  <r>
    <n v="504"/>
    <x v="63"/>
    <x v="6"/>
    <n v="5"/>
    <n v="1"/>
    <n v="10"/>
    <n v="117152"/>
    <n v="1171520"/>
    <n v="351456"/>
    <n v="0.3"/>
    <x v="4"/>
    <s v="Accessories"/>
    <x v="2"/>
    <x v="2"/>
  </r>
  <r>
    <n v="505"/>
    <x v="61"/>
    <x v="8"/>
    <n v="5"/>
    <n v="3"/>
    <n v="13"/>
    <n v="307805"/>
    <n v="4001465"/>
    <n v="1200439.5"/>
    <n v="0.3"/>
    <x v="4"/>
    <s v="Accessories"/>
    <x v="0"/>
    <x v="0"/>
  </r>
  <r>
    <n v="506"/>
    <x v="235"/>
    <x v="10"/>
    <n v="3"/>
    <n v="4"/>
    <n v="1"/>
    <n v="384132"/>
    <n v="384132"/>
    <n v="115239.59999999999"/>
    <n v="0.3"/>
    <x v="2"/>
    <s v="Electronics"/>
    <x v="1"/>
    <x v="1"/>
  </r>
  <r>
    <n v="507"/>
    <x v="188"/>
    <x v="6"/>
    <n v="3"/>
    <n v="1"/>
    <n v="9"/>
    <n v="243759"/>
    <n v="2193831"/>
    <n v="658149.29999999993"/>
    <n v="0.3"/>
    <x v="2"/>
    <s v="Electronics"/>
    <x v="2"/>
    <x v="2"/>
  </r>
  <r>
    <n v="508"/>
    <x v="152"/>
    <x v="2"/>
    <n v="5"/>
    <n v="1"/>
    <n v="13"/>
    <n v="50732"/>
    <n v="659516"/>
    <n v="197854.8"/>
    <n v="0.3"/>
    <x v="4"/>
    <s v="Accessories"/>
    <x v="2"/>
    <x v="2"/>
  </r>
  <r>
    <n v="509"/>
    <x v="106"/>
    <x v="3"/>
    <n v="1"/>
    <n v="4"/>
    <n v="7"/>
    <n v="305921"/>
    <n v="2141447"/>
    <n v="642434.1"/>
    <n v="0.3"/>
    <x v="3"/>
    <s v="Electronics"/>
    <x v="1"/>
    <x v="1"/>
  </r>
  <r>
    <n v="510"/>
    <x v="20"/>
    <x v="4"/>
    <n v="2"/>
    <n v="2"/>
    <n v="14"/>
    <n v="181685"/>
    <n v="2543590"/>
    <n v="763077"/>
    <n v="0.3"/>
    <x v="0"/>
    <s v="Electronics"/>
    <x v="3"/>
    <x v="3"/>
  </r>
  <r>
    <n v="511"/>
    <x v="43"/>
    <x v="4"/>
    <n v="5"/>
    <n v="4"/>
    <n v="14"/>
    <n v="287768"/>
    <n v="4028752"/>
    <n v="1208625.5999999999"/>
    <n v="0.3"/>
    <x v="4"/>
    <s v="Accessories"/>
    <x v="1"/>
    <x v="1"/>
  </r>
  <r>
    <n v="512"/>
    <x v="163"/>
    <x v="8"/>
    <n v="5"/>
    <n v="1"/>
    <n v="12"/>
    <n v="62815"/>
    <n v="753780"/>
    <n v="226134"/>
    <n v="0.3"/>
    <x v="4"/>
    <s v="Accessories"/>
    <x v="2"/>
    <x v="2"/>
  </r>
  <r>
    <n v="513"/>
    <x v="278"/>
    <x v="3"/>
    <n v="1"/>
    <n v="1"/>
    <n v="10"/>
    <n v="102183"/>
    <n v="1021830"/>
    <n v="306549"/>
    <n v="0.3"/>
    <x v="3"/>
    <s v="Electronics"/>
    <x v="2"/>
    <x v="2"/>
  </r>
  <r>
    <n v="514"/>
    <x v="37"/>
    <x v="4"/>
    <n v="4"/>
    <n v="1"/>
    <n v="1"/>
    <n v="292401"/>
    <n v="292401"/>
    <n v="87720.3"/>
    <n v="0.3"/>
    <x v="1"/>
    <s v="Accessories"/>
    <x v="2"/>
    <x v="2"/>
  </r>
  <r>
    <n v="515"/>
    <x v="161"/>
    <x v="8"/>
    <n v="2"/>
    <n v="1"/>
    <n v="14"/>
    <n v="157685"/>
    <n v="2207590"/>
    <n v="662277"/>
    <n v="0.3"/>
    <x v="0"/>
    <s v="Electronics"/>
    <x v="2"/>
    <x v="2"/>
  </r>
  <r>
    <n v="516"/>
    <x v="151"/>
    <x v="7"/>
    <n v="1"/>
    <n v="4"/>
    <n v="20"/>
    <n v="359252"/>
    <n v="7185040"/>
    <n v="2155512"/>
    <n v="0.3"/>
    <x v="3"/>
    <s v="Electronics"/>
    <x v="1"/>
    <x v="1"/>
  </r>
  <r>
    <n v="517"/>
    <x v="85"/>
    <x v="9"/>
    <n v="1"/>
    <n v="3"/>
    <n v="4"/>
    <n v="235547"/>
    <n v="942188"/>
    <n v="282656.39999999997"/>
    <n v="0.3"/>
    <x v="3"/>
    <s v="Electronics"/>
    <x v="0"/>
    <x v="0"/>
  </r>
  <r>
    <n v="518"/>
    <x v="210"/>
    <x v="6"/>
    <n v="4"/>
    <n v="1"/>
    <n v="17"/>
    <n v="100110"/>
    <n v="1701870"/>
    <n v="510561"/>
    <n v="0.3"/>
    <x v="1"/>
    <s v="Accessories"/>
    <x v="2"/>
    <x v="2"/>
  </r>
  <r>
    <n v="519"/>
    <x v="189"/>
    <x v="3"/>
    <n v="5"/>
    <n v="4"/>
    <n v="19"/>
    <n v="113511"/>
    <n v="2156709"/>
    <n v="647012.69999999995"/>
    <n v="0.3"/>
    <x v="4"/>
    <s v="Accessories"/>
    <x v="1"/>
    <x v="1"/>
  </r>
  <r>
    <n v="520"/>
    <x v="120"/>
    <x v="3"/>
    <n v="4"/>
    <n v="2"/>
    <n v="10"/>
    <n v="57590"/>
    <n v="575900"/>
    <n v="172770"/>
    <n v="0.3"/>
    <x v="1"/>
    <s v="Accessories"/>
    <x v="3"/>
    <x v="3"/>
  </r>
  <r>
    <n v="521"/>
    <x v="269"/>
    <x v="0"/>
    <n v="5"/>
    <n v="1"/>
    <n v="12"/>
    <n v="217109"/>
    <n v="2605308"/>
    <n v="781592.4"/>
    <n v="0.3"/>
    <x v="4"/>
    <s v="Accessories"/>
    <x v="2"/>
    <x v="2"/>
  </r>
  <r>
    <n v="522"/>
    <x v="171"/>
    <x v="11"/>
    <n v="3"/>
    <n v="3"/>
    <n v="3"/>
    <n v="209933"/>
    <n v="629799"/>
    <n v="188939.69999999998"/>
    <n v="0.3"/>
    <x v="2"/>
    <s v="Electronics"/>
    <x v="0"/>
    <x v="0"/>
  </r>
  <r>
    <n v="523"/>
    <x v="214"/>
    <x v="7"/>
    <n v="2"/>
    <n v="1"/>
    <n v="12"/>
    <n v="328963"/>
    <n v="3947556"/>
    <n v="1184266.8"/>
    <n v="0.3"/>
    <x v="0"/>
    <s v="Electronics"/>
    <x v="2"/>
    <x v="2"/>
  </r>
  <r>
    <n v="524"/>
    <x v="184"/>
    <x v="10"/>
    <n v="5"/>
    <n v="4"/>
    <n v="2"/>
    <n v="99670"/>
    <n v="199340"/>
    <n v="59802"/>
    <n v="0.3"/>
    <x v="4"/>
    <s v="Accessories"/>
    <x v="1"/>
    <x v="1"/>
  </r>
  <r>
    <n v="525"/>
    <x v="181"/>
    <x v="9"/>
    <n v="4"/>
    <n v="1"/>
    <n v="10"/>
    <n v="66747"/>
    <n v="667470"/>
    <n v="200241"/>
    <n v="0.3"/>
    <x v="1"/>
    <s v="Accessories"/>
    <x v="2"/>
    <x v="2"/>
  </r>
  <r>
    <n v="526"/>
    <x v="221"/>
    <x v="9"/>
    <n v="3"/>
    <n v="4"/>
    <n v="6"/>
    <n v="363084"/>
    <n v="2178504"/>
    <n v="653551.19999999995"/>
    <n v="0.3"/>
    <x v="2"/>
    <s v="Electronics"/>
    <x v="1"/>
    <x v="1"/>
  </r>
  <r>
    <n v="527"/>
    <x v="279"/>
    <x v="2"/>
    <n v="5"/>
    <n v="4"/>
    <n v="9"/>
    <n v="253160"/>
    <n v="2278440"/>
    <n v="683532"/>
    <n v="0.3"/>
    <x v="4"/>
    <s v="Accessories"/>
    <x v="1"/>
    <x v="1"/>
  </r>
  <r>
    <n v="528"/>
    <x v="198"/>
    <x v="7"/>
    <n v="4"/>
    <n v="2"/>
    <n v="15"/>
    <n v="236290"/>
    <n v="3544350"/>
    <n v="1063305"/>
    <n v="0.3"/>
    <x v="1"/>
    <s v="Accessories"/>
    <x v="3"/>
    <x v="3"/>
  </r>
  <r>
    <n v="529"/>
    <x v="107"/>
    <x v="11"/>
    <n v="2"/>
    <n v="2"/>
    <n v="3"/>
    <n v="124013"/>
    <n v="372039"/>
    <n v="111611.7"/>
    <n v="0.3"/>
    <x v="0"/>
    <s v="Electronics"/>
    <x v="3"/>
    <x v="3"/>
  </r>
  <r>
    <n v="530"/>
    <x v="280"/>
    <x v="3"/>
    <n v="4"/>
    <n v="3"/>
    <n v="18"/>
    <n v="395949"/>
    <n v="7127082"/>
    <n v="2138124.6"/>
    <n v="0.3"/>
    <x v="1"/>
    <s v="Accessories"/>
    <x v="0"/>
    <x v="0"/>
  </r>
  <r>
    <n v="531"/>
    <x v="281"/>
    <x v="4"/>
    <n v="3"/>
    <n v="2"/>
    <n v="13"/>
    <n v="203506"/>
    <n v="2645578"/>
    <n v="793673.4"/>
    <n v="0.3"/>
    <x v="2"/>
    <s v="Electronics"/>
    <x v="3"/>
    <x v="3"/>
  </r>
  <r>
    <n v="532"/>
    <x v="282"/>
    <x v="6"/>
    <n v="5"/>
    <n v="4"/>
    <n v="16"/>
    <n v="81758"/>
    <n v="1308128"/>
    <n v="392438.39999999997"/>
    <n v="0.3"/>
    <x v="4"/>
    <s v="Accessories"/>
    <x v="1"/>
    <x v="1"/>
  </r>
  <r>
    <n v="533"/>
    <x v="173"/>
    <x v="2"/>
    <n v="2"/>
    <n v="1"/>
    <n v="17"/>
    <n v="186444"/>
    <n v="3169548"/>
    <n v="950864.39999999991"/>
    <n v="0.3"/>
    <x v="0"/>
    <s v="Electronics"/>
    <x v="2"/>
    <x v="2"/>
  </r>
  <r>
    <n v="534"/>
    <x v="283"/>
    <x v="7"/>
    <n v="4"/>
    <n v="2"/>
    <n v="2"/>
    <n v="81805"/>
    <n v="163610"/>
    <n v="49083"/>
    <n v="0.3"/>
    <x v="1"/>
    <s v="Accessories"/>
    <x v="3"/>
    <x v="3"/>
  </r>
  <r>
    <n v="535"/>
    <x v="224"/>
    <x v="8"/>
    <n v="4"/>
    <n v="3"/>
    <n v="2"/>
    <n v="302425"/>
    <n v="604850"/>
    <n v="181455"/>
    <n v="0.3"/>
    <x v="1"/>
    <s v="Accessories"/>
    <x v="0"/>
    <x v="0"/>
  </r>
  <r>
    <n v="536"/>
    <x v="121"/>
    <x v="8"/>
    <n v="3"/>
    <n v="1"/>
    <n v="12"/>
    <n v="395284"/>
    <n v="4743408"/>
    <n v="1423022.4"/>
    <n v="0.3"/>
    <x v="2"/>
    <s v="Electronics"/>
    <x v="2"/>
    <x v="2"/>
  </r>
  <r>
    <n v="537"/>
    <x v="65"/>
    <x v="0"/>
    <n v="1"/>
    <n v="1"/>
    <n v="8"/>
    <n v="50751"/>
    <n v="406008"/>
    <n v="121802.4"/>
    <n v="0.3"/>
    <x v="3"/>
    <s v="Electronics"/>
    <x v="2"/>
    <x v="2"/>
  </r>
  <r>
    <n v="538"/>
    <x v="267"/>
    <x v="0"/>
    <n v="5"/>
    <n v="1"/>
    <n v="17"/>
    <n v="59868"/>
    <n v="1017756"/>
    <n v="305326.8"/>
    <n v="0.3"/>
    <x v="4"/>
    <s v="Accessories"/>
    <x v="2"/>
    <x v="2"/>
  </r>
  <r>
    <n v="539"/>
    <x v="247"/>
    <x v="10"/>
    <n v="3"/>
    <n v="3"/>
    <n v="5"/>
    <n v="291183"/>
    <n v="1455915"/>
    <n v="436774.5"/>
    <n v="0.3"/>
    <x v="2"/>
    <s v="Electronics"/>
    <x v="0"/>
    <x v="0"/>
  </r>
  <r>
    <n v="540"/>
    <x v="135"/>
    <x v="4"/>
    <n v="2"/>
    <n v="2"/>
    <n v="7"/>
    <n v="254036"/>
    <n v="1778252"/>
    <n v="533475.6"/>
    <n v="0.3"/>
    <x v="0"/>
    <s v="Electronics"/>
    <x v="3"/>
    <x v="3"/>
  </r>
  <r>
    <n v="541"/>
    <x v="284"/>
    <x v="6"/>
    <n v="2"/>
    <n v="2"/>
    <n v="16"/>
    <n v="177001"/>
    <n v="2832016"/>
    <n v="849604.79999999993"/>
    <n v="0.3"/>
    <x v="0"/>
    <s v="Electronics"/>
    <x v="3"/>
    <x v="3"/>
  </r>
  <r>
    <n v="542"/>
    <x v="0"/>
    <x v="0"/>
    <n v="4"/>
    <n v="4"/>
    <n v="5"/>
    <n v="107530"/>
    <n v="537650"/>
    <n v="161295"/>
    <n v="0.3"/>
    <x v="1"/>
    <s v="Accessories"/>
    <x v="1"/>
    <x v="1"/>
  </r>
  <r>
    <n v="543"/>
    <x v="24"/>
    <x v="7"/>
    <n v="1"/>
    <n v="1"/>
    <n v="12"/>
    <n v="351684"/>
    <n v="4220208"/>
    <n v="1266062.3999999999"/>
    <n v="0.3"/>
    <x v="3"/>
    <s v="Electronics"/>
    <x v="2"/>
    <x v="2"/>
  </r>
  <r>
    <n v="544"/>
    <x v="14"/>
    <x v="8"/>
    <n v="4"/>
    <n v="2"/>
    <n v="3"/>
    <n v="337049"/>
    <n v="1011147"/>
    <n v="303344.09999999998"/>
    <n v="0.3"/>
    <x v="1"/>
    <s v="Accessories"/>
    <x v="3"/>
    <x v="3"/>
  </r>
  <r>
    <n v="545"/>
    <x v="245"/>
    <x v="10"/>
    <n v="1"/>
    <n v="3"/>
    <n v="3"/>
    <n v="396264"/>
    <n v="1188792"/>
    <n v="356637.6"/>
    <n v="0.3"/>
    <x v="3"/>
    <s v="Electronics"/>
    <x v="0"/>
    <x v="0"/>
  </r>
  <r>
    <n v="546"/>
    <x v="124"/>
    <x v="7"/>
    <n v="4"/>
    <n v="2"/>
    <n v="5"/>
    <n v="61848"/>
    <n v="309240"/>
    <n v="92772"/>
    <n v="0.3"/>
    <x v="1"/>
    <s v="Accessories"/>
    <x v="3"/>
    <x v="3"/>
  </r>
  <r>
    <n v="547"/>
    <x v="196"/>
    <x v="11"/>
    <n v="4"/>
    <n v="1"/>
    <n v="4"/>
    <n v="263874"/>
    <n v="1055496"/>
    <n v="316648.8"/>
    <n v="0.3"/>
    <x v="1"/>
    <s v="Accessories"/>
    <x v="2"/>
    <x v="2"/>
  </r>
  <r>
    <n v="548"/>
    <x v="285"/>
    <x v="8"/>
    <n v="2"/>
    <n v="3"/>
    <n v="3"/>
    <n v="283161"/>
    <n v="849483"/>
    <n v="254844.9"/>
    <n v="0.3"/>
    <x v="0"/>
    <s v="Electronics"/>
    <x v="0"/>
    <x v="0"/>
  </r>
  <r>
    <n v="549"/>
    <x v="199"/>
    <x v="10"/>
    <n v="2"/>
    <n v="4"/>
    <n v="10"/>
    <n v="332429"/>
    <n v="3324290"/>
    <n v="997287"/>
    <n v="0.3"/>
    <x v="0"/>
    <s v="Electronics"/>
    <x v="1"/>
    <x v="1"/>
  </r>
  <r>
    <n v="550"/>
    <x v="286"/>
    <x v="11"/>
    <n v="1"/>
    <n v="4"/>
    <n v="1"/>
    <n v="79180"/>
    <n v="79180"/>
    <n v="23754"/>
    <n v="0.3"/>
    <x v="3"/>
    <s v="Electronics"/>
    <x v="1"/>
    <x v="1"/>
  </r>
  <r>
    <n v="551"/>
    <x v="235"/>
    <x v="10"/>
    <n v="3"/>
    <n v="4"/>
    <n v="6"/>
    <n v="376306"/>
    <n v="2257836"/>
    <n v="677350.79999999993"/>
    <n v="0.3"/>
    <x v="2"/>
    <s v="Electronics"/>
    <x v="1"/>
    <x v="1"/>
  </r>
  <r>
    <n v="552"/>
    <x v="238"/>
    <x v="1"/>
    <n v="5"/>
    <n v="4"/>
    <n v="12"/>
    <n v="133829"/>
    <n v="1605948"/>
    <n v="481784.39999999997"/>
    <n v="0.3"/>
    <x v="4"/>
    <s v="Accessories"/>
    <x v="1"/>
    <x v="1"/>
  </r>
  <r>
    <n v="553"/>
    <x v="263"/>
    <x v="7"/>
    <n v="4"/>
    <n v="2"/>
    <n v="1"/>
    <n v="164974"/>
    <n v="164974"/>
    <n v="49492.2"/>
    <n v="0.3"/>
    <x v="1"/>
    <s v="Accessories"/>
    <x v="3"/>
    <x v="3"/>
  </r>
  <r>
    <n v="554"/>
    <x v="80"/>
    <x v="5"/>
    <n v="3"/>
    <n v="1"/>
    <n v="19"/>
    <n v="67654"/>
    <n v="1285426"/>
    <n v="385627.8"/>
    <n v="0.3"/>
    <x v="2"/>
    <s v="Electronics"/>
    <x v="2"/>
    <x v="2"/>
  </r>
  <r>
    <n v="555"/>
    <x v="102"/>
    <x v="6"/>
    <n v="3"/>
    <n v="4"/>
    <n v="7"/>
    <n v="101046"/>
    <n v="707322"/>
    <n v="212196.6"/>
    <n v="0.3"/>
    <x v="2"/>
    <s v="Electronics"/>
    <x v="1"/>
    <x v="1"/>
  </r>
  <r>
    <n v="556"/>
    <x v="189"/>
    <x v="3"/>
    <n v="2"/>
    <n v="2"/>
    <n v="10"/>
    <n v="289477"/>
    <n v="2894770"/>
    <n v="868431"/>
    <n v="0.3"/>
    <x v="0"/>
    <s v="Electronics"/>
    <x v="3"/>
    <x v="3"/>
  </r>
  <r>
    <n v="557"/>
    <x v="225"/>
    <x v="3"/>
    <n v="2"/>
    <n v="1"/>
    <n v="12"/>
    <n v="357801"/>
    <n v="4293612"/>
    <n v="1288083.5999999999"/>
    <n v="0.3"/>
    <x v="0"/>
    <s v="Electronics"/>
    <x v="2"/>
    <x v="2"/>
  </r>
  <r>
    <n v="558"/>
    <x v="66"/>
    <x v="4"/>
    <n v="2"/>
    <n v="3"/>
    <n v="11"/>
    <n v="101731"/>
    <n v="1119041"/>
    <n v="335712.3"/>
    <n v="0.3"/>
    <x v="0"/>
    <s v="Electronics"/>
    <x v="0"/>
    <x v="0"/>
  </r>
  <r>
    <n v="559"/>
    <x v="2"/>
    <x v="2"/>
    <n v="4"/>
    <n v="1"/>
    <n v="18"/>
    <n v="177994"/>
    <n v="3203892"/>
    <n v="961167.6"/>
    <n v="0.3"/>
    <x v="1"/>
    <s v="Accessories"/>
    <x v="2"/>
    <x v="2"/>
  </r>
  <r>
    <n v="560"/>
    <x v="131"/>
    <x v="7"/>
    <n v="1"/>
    <n v="1"/>
    <n v="11"/>
    <n v="171073"/>
    <n v="1881803"/>
    <n v="564540.9"/>
    <n v="0.3"/>
    <x v="3"/>
    <s v="Electronics"/>
    <x v="2"/>
    <x v="2"/>
  </r>
  <r>
    <n v="561"/>
    <x v="15"/>
    <x v="9"/>
    <n v="3"/>
    <n v="2"/>
    <n v="3"/>
    <n v="85467"/>
    <n v="256401"/>
    <n v="76920.3"/>
    <n v="0.3"/>
    <x v="2"/>
    <s v="Electronics"/>
    <x v="3"/>
    <x v="3"/>
  </r>
  <r>
    <n v="562"/>
    <x v="146"/>
    <x v="1"/>
    <n v="1"/>
    <n v="1"/>
    <n v="1"/>
    <n v="291968"/>
    <n v="291968"/>
    <n v="87590.399999999994"/>
    <n v="0.3"/>
    <x v="3"/>
    <s v="Electronics"/>
    <x v="2"/>
    <x v="2"/>
  </r>
  <r>
    <n v="563"/>
    <x v="8"/>
    <x v="3"/>
    <n v="3"/>
    <n v="1"/>
    <n v="4"/>
    <n v="390678"/>
    <n v="1562712"/>
    <n v="468813.6"/>
    <n v="0.3"/>
    <x v="2"/>
    <s v="Electronics"/>
    <x v="2"/>
    <x v="2"/>
  </r>
  <r>
    <n v="564"/>
    <x v="287"/>
    <x v="10"/>
    <n v="3"/>
    <n v="4"/>
    <n v="11"/>
    <n v="251048"/>
    <n v="2761528"/>
    <n v="828458.4"/>
    <n v="0.3"/>
    <x v="2"/>
    <s v="Electronics"/>
    <x v="1"/>
    <x v="1"/>
  </r>
  <r>
    <n v="565"/>
    <x v="143"/>
    <x v="1"/>
    <n v="4"/>
    <n v="4"/>
    <n v="11"/>
    <n v="207308"/>
    <n v="2280388"/>
    <n v="684116.4"/>
    <n v="0.3"/>
    <x v="1"/>
    <s v="Accessories"/>
    <x v="1"/>
    <x v="1"/>
  </r>
  <r>
    <n v="566"/>
    <x v="288"/>
    <x v="8"/>
    <n v="5"/>
    <n v="4"/>
    <n v="20"/>
    <n v="110858"/>
    <n v="2217160"/>
    <n v="665148"/>
    <n v="0.3"/>
    <x v="4"/>
    <s v="Accessories"/>
    <x v="1"/>
    <x v="1"/>
  </r>
  <r>
    <n v="567"/>
    <x v="209"/>
    <x v="5"/>
    <n v="5"/>
    <n v="2"/>
    <n v="3"/>
    <n v="320107"/>
    <n v="960321"/>
    <n v="288096.3"/>
    <n v="0.3"/>
    <x v="4"/>
    <s v="Accessories"/>
    <x v="3"/>
    <x v="3"/>
  </r>
  <r>
    <n v="568"/>
    <x v="17"/>
    <x v="9"/>
    <n v="1"/>
    <n v="3"/>
    <n v="18"/>
    <n v="340168"/>
    <n v="6123024"/>
    <n v="1836907.2"/>
    <n v="0.3"/>
    <x v="3"/>
    <s v="Electronics"/>
    <x v="0"/>
    <x v="0"/>
  </r>
  <r>
    <n v="569"/>
    <x v="289"/>
    <x v="7"/>
    <n v="4"/>
    <n v="2"/>
    <n v="10"/>
    <n v="339714"/>
    <n v="3397140"/>
    <n v="1019142"/>
    <n v="0.3"/>
    <x v="1"/>
    <s v="Accessories"/>
    <x v="3"/>
    <x v="3"/>
  </r>
  <r>
    <n v="570"/>
    <x v="290"/>
    <x v="9"/>
    <n v="1"/>
    <n v="3"/>
    <n v="13"/>
    <n v="67619"/>
    <n v="879047"/>
    <n v="263714.09999999998"/>
    <n v="0.3"/>
    <x v="3"/>
    <s v="Electronics"/>
    <x v="0"/>
    <x v="0"/>
  </r>
  <r>
    <n v="571"/>
    <x v="73"/>
    <x v="6"/>
    <n v="4"/>
    <n v="4"/>
    <n v="18"/>
    <n v="288869"/>
    <n v="5199642"/>
    <n v="1559892.5999999999"/>
    <n v="0.3"/>
    <x v="1"/>
    <s v="Accessories"/>
    <x v="1"/>
    <x v="1"/>
  </r>
  <r>
    <n v="572"/>
    <x v="164"/>
    <x v="2"/>
    <n v="5"/>
    <n v="3"/>
    <n v="12"/>
    <n v="61484"/>
    <n v="737808"/>
    <n v="221342.4"/>
    <n v="0.3"/>
    <x v="4"/>
    <s v="Accessories"/>
    <x v="0"/>
    <x v="0"/>
  </r>
  <r>
    <n v="573"/>
    <x v="248"/>
    <x v="4"/>
    <n v="4"/>
    <n v="2"/>
    <n v="9"/>
    <n v="261380"/>
    <n v="2352420"/>
    <n v="705726"/>
    <n v="0.3"/>
    <x v="1"/>
    <s v="Accessories"/>
    <x v="3"/>
    <x v="3"/>
  </r>
  <r>
    <n v="574"/>
    <x v="242"/>
    <x v="2"/>
    <n v="5"/>
    <n v="1"/>
    <n v="1"/>
    <n v="252872"/>
    <n v="252872"/>
    <n v="75861.599999999991"/>
    <n v="0.3"/>
    <x v="4"/>
    <s v="Accessories"/>
    <x v="2"/>
    <x v="2"/>
  </r>
  <r>
    <n v="575"/>
    <x v="234"/>
    <x v="5"/>
    <n v="3"/>
    <n v="3"/>
    <n v="7"/>
    <n v="351141"/>
    <n v="2457987"/>
    <n v="737396.1"/>
    <n v="0.3"/>
    <x v="2"/>
    <s v="Electronics"/>
    <x v="0"/>
    <x v="0"/>
  </r>
  <r>
    <n v="576"/>
    <x v="176"/>
    <x v="6"/>
    <n v="5"/>
    <n v="4"/>
    <n v="10"/>
    <n v="286868"/>
    <n v="2868680"/>
    <n v="860604"/>
    <n v="0.3"/>
    <x v="4"/>
    <s v="Accessories"/>
    <x v="1"/>
    <x v="1"/>
  </r>
  <r>
    <n v="577"/>
    <x v="130"/>
    <x v="2"/>
    <n v="4"/>
    <n v="4"/>
    <n v="11"/>
    <n v="63608"/>
    <n v="699688"/>
    <n v="209906.4"/>
    <n v="0.3"/>
    <x v="1"/>
    <s v="Accessories"/>
    <x v="1"/>
    <x v="1"/>
  </r>
  <r>
    <n v="578"/>
    <x v="246"/>
    <x v="7"/>
    <n v="4"/>
    <n v="1"/>
    <n v="20"/>
    <n v="209082"/>
    <n v="4181640"/>
    <n v="1254492"/>
    <n v="0.3"/>
    <x v="1"/>
    <s v="Accessories"/>
    <x v="2"/>
    <x v="2"/>
  </r>
  <r>
    <n v="579"/>
    <x v="226"/>
    <x v="6"/>
    <n v="3"/>
    <n v="2"/>
    <n v="11"/>
    <n v="272235"/>
    <n v="2994585"/>
    <n v="898375.5"/>
    <n v="0.3"/>
    <x v="2"/>
    <s v="Electronics"/>
    <x v="3"/>
    <x v="3"/>
  </r>
  <r>
    <n v="580"/>
    <x v="179"/>
    <x v="0"/>
    <n v="2"/>
    <n v="1"/>
    <n v="17"/>
    <n v="78172"/>
    <n v="1328924"/>
    <n v="398677.2"/>
    <n v="0.3"/>
    <x v="0"/>
    <s v="Electronics"/>
    <x v="2"/>
    <x v="2"/>
  </r>
  <r>
    <n v="581"/>
    <x v="232"/>
    <x v="9"/>
    <n v="2"/>
    <n v="3"/>
    <n v="14"/>
    <n v="85027"/>
    <n v="1190378"/>
    <n v="357113.39999999997"/>
    <n v="0.3"/>
    <x v="0"/>
    <s v="Electronics"/>
    <x v="0"/>
    <x v="0"/>
  </r>
  <r>
    <n v="582"/>
    <x v="231"/>
    <x v="10"/>
    <n v="4"/>
    <n v="1"/>
    <n v="16"/>
    <n v="337003"/>
    <n v="5392048"/>
    <n v="1617614.4"/>
    <n v="0.3"/>
    <x v="1"/>
    <s v="Accessories"/>
    <x v="2"/>
    <x v="2"/>
  </r>
  <r>
    <n v="583"/>
    <x v="85"/>
    <x v="9"/>
    <n v="2"/>
    <n v="3"/>
    <n v="4"/>
    <n v="134869"/>
    <n v="539476"/>
    <n v="161842.79999999999"/>
    <n v="0.3"/>
    <x v="0"/>
    <s v="Electronics"/>
    <x v="0"/>
    <x v="0"/>
  </r>
  <r>
    <n v="584"/>
    <x v="291"/>
    <x v="0"/>
    <n v="4"/>
    <n v="1"/>
    <n v="4"/>
    <n v="165255"/>
    <n v="661020"/>
    <n v="198306"/>
    <n v="0.3"/>
    <x v="1"/>
    <s v="Accessories"/>
    <x v="2"/>
    <x v="2"/>
  </r>
  <r>
    <n v="585"/>
    <x v="279"/>
    <x v="2"/>
    <n v="4"/>
    <n v="3"/>
    <n v="5"/>
    <n v="141193"/>
    <n v="705965"/>
    <n v="211789.5"/>
    <n v="0.3"/>
    <x v="1"/>
    <s v="Accessories"/>
    <x v="0"/>
    <x v="0"/>
  </r>
  <r>
    <n v="586"/>
    <x v="123"/>
    <x v="4"/>
    <n v="5"/>
    <n v="1"/>
    <n v="2"/>
    <n v="390849"/>
    <n v="781698"/>
    <n v="234509.4"/>
    <n v="0.3"/>
    <x v="4"/>
    <s v="Accessories"/>
    <x v="2"/>
    <x v="2"/>
  </r>
  <r>
    <n v="587"/>
    <x v="64"/>
    <x v="4"/>
    <n v="1"/>
    <n v="1"/>
    <n v="14"/>
    <n v="316122"/>
    <n v="4425708"/>
    <n v="1327712.3999999999"/>
    <n v="0.3"/>
    <x v="3"/>
    <s v="Electronics"/>
    <x v="2"/>
    <x v="2"/>
  </r>
  <r>
    <n v="588"/>
    <x v="99"/>
    <x v="8"/>
    <n v="4"/>
    <n v="3"/>
    <n v="13"/>
    <n v="248670"/>
    <n v="3232710"/>
    <n v="969813"/>
    <n v="0.3"/>
    <x v="1"/>
    <s v="Accessories"/>
    <x v="0"/>
    <x v="0"/>
  </r>
  <r>
    <n v="589"/>
    <x v="105"/>
    <x v="11"/>
    <n v="5"/>
    <n v="3"/>
    <n v="10"/>
    <n v="81601"/>
    <n v="816010"/>
    <n v="244803"/>
    <n v="0.3"/>
    <x v="4"/>
    <s v="Accessories"/>
    <x v="0"/>
    <x v="0"/>
  </r>
  <r>
    <n v="590"/>
    <x v="96"/>
    <x v="2"/>
    <n v="4"/>
    <n v="2"/>
    <n v="20"/>
    <n v="378934"/>
    <n v="7578680"/>
    <n v="2273604"/>
    <n v="0.3"/>
    <x v="1"/>
    <s v="Accessories"/>
    <x v="3"/>
    <x v="3"/>
  </r>
  <r>
    <n v="591"/>
    <x v="261"/>
    <x v="5"/>
    <n v="5"/>
    <n v="4"/>
    <n v="3"/>
    <n v="244634"/>
    <n v="733902"/>
    <n v="220170.6"/>
    <n v="0.3"/>
    <x v="4"/>
    <s v="Accessories"/>
    <x v="1"/>
    <x v="1"/>
  </r>
  <r>
    <n v="592"/>
    <x v="270"/>
    <x v="10"/>
    <n v="3"/>
    <n v="1"/>
    <n v="3"/>
    <n v="193180"/>
    <n v="579540"/>
    <n v="173862"/>
    <n v="0.3"/>
    <x v="2"/>
    <s v="Electronics"/>
    <x v="2"/>
    <x v="2"/>
  </r>
  <r>
    <n v="593"/>
    <x v="266"/>
    <x v="4"/>
    <n v="3"/>
    <n v="3"/>
    <n v="15"/>
    <n v="173347"/>
    <n v="2600205"/>
    <n v="780061.5"/>
    <n v="0.3"/>
    <x v="2"/>
    <s v="Electronics"/>
    <x v="0"/>
    <x v="0"/>
  </r>
  <r>
    <n v="594"/>
    <x v="274"/>
    <x v="2"/>
    <n v="5"/>
    <n v="3"/>
    <n v="5"/>
    <n v="397868"/>
    <n v="1989340"/>
    <n v="596802"/>
    <n v="0.3"/>
    <x v="4"/>
    <s v="Accessories"/>
    <x v="0"/>
    <x v="0"/>
  </r>
  <r>
    <n v="595"/>
    <x v="68"/>
    <x v="7"/>
    <n v="5"/>
    <n v="2"/>
    <n v="4"/>
    <n v="312638"/>
    <n v="1250552"/>
    <n v="375165.6"/>
    <n v="0.3"/>
    <x v="4"/>
    <s v="Accessories"/>
    <x v="3"/>
    <x v="3"/>
  </r>
  <r>
    <n v="596"/>
    <x v="292"/>
    <x v="11"/>
    <n v="1"/>
    <n v="4"/>
    <n v="12"/>
    <n v="335485"/>
    <n v="4025820"/>
    <n v="1207746"/>
    <n v="0.3"/>
    <x v="3"/>
    <s v="Electronics"/>
    <x v="1"/>
    <x v="1"/>
  </r>
  <r>
    <n v="597"/>
    <x v="191"/>
    <x v="11"/>
    <n v="1"/>
    <n v="4"/>
    <n v="12"/>
    <n v="286258"/>
    <n v="3435096"/>
    <n v="1030528.7999999999"/>
    <n v="0.3"/>
    <x v="3"/>
    <s v="Electronics"/>
    <x v="1"/>
    <x v="1"/>
  </r>
  <r>
    <n v="598"/>
    <x v="251"/>
    <x v="5"/>
    <n v="4"/>
    <n v="1"/>
    <n v="15"/>
    <n v="132803"/>
    <n v="1992045"/>
    <n v="597613.5"/>
    <n v="0.3"/>
    <x v="1"/>
    <s v="Accessories"/>
    <x v="2"/>
    <x v="2"/>
  </r>
  <r>
    <n v="599"/>
    <x v="207"/>
    <x v="2"/>
    <n v="2"/>
    <n v="4"/>
    <n v="6"/>
    <n v="329502"/>
    <n v="1977012"/>
    <n v="593103.6"/>
    <n v="0.3"/>
    <x v="0"/>
    <s v="Electronics"/>
    <x v="1"/>
    <x v="1"/>
  </r>
  <r>
    <n v="600"/>
    <x v="270"/>
    <x v="10"/>
    <n v="3"/>
    <n v="3"/>
    <n v="20"/>
    <n v="336069"/>
    <n v="6721380"/>
    <n v="2016414"/>
    <n v="0.3"/>
    <x v="2"/>
    <s v="Electronics"/>
    <x v="0"/>
    <x v="0"/>
  </r>
  <r>
    <n v="601"/>
    <x v="73"/>
    <x v="6"/>
    <n v="5"/>
    <n v="4"/>
    <n v="5"/>
    <n v="118928"/>
    <n v="594640"/>
    <n v="178392"/>
    <n v="0.3"/>
    <x v="4"/>
    <s v="Accessories"/>
    <x v="1"/>
    <x v="1"/>
  </r>
  <r>
    <n v="602"/>
    <x v="2"/>
    <x v="2"/>
    <n v="4"/>
    <n v="3"/>
    <n v="6"/>
    <n v="53394"/>
    <n v="320364"/>
    <n v="96109.2"/>
    <n v="0.3"/>
    <x v="1"/>
    <s v="Accessories"/>
    <x v="0"/>
    <x v="0"/>
  </r>
  <r>
    <n v="603"/>
    <x v="134"/>
    <x v="6"/>
    <n v="3"/>
    <n v="3"/>
    <n v="1"/>
    <n v="137061"/>
    <n v="137061"/>
    <n v="41118.299999999996"/>
    <n v="0.3"/>
    <x v="2"/>
    <s v="Electronics"/>
    <x v="0"/>
    <x v="0"/>
  </r>
  <r>
    <n v="604"/>
    <x v="137"/>
    <x v="2"/>
    <n v="2"/>
    <n v="3"/>
    <n v="10"/>
    <n v="57180"/>
    <n v="571800"/>
    <n v="171540"/>
    <n v="0.3"/>
    <x v="0"/>
    <s v="Electronics"/>
    <x v="0"/>
    <x v="0"/>
  </r>
  <r>
    <n v="605"/>
    <x v="163"/>
    <x v="8"/>
    <n v="2"/>
    <n v="2"/>
    <n v="13"/>
    <n v="120657"/>
    <n v="1568541"/>
    <n v="470562.3"/>
    <n v="0.3"/>
    <x v="0"/>
    <s v="Electronics"/>
    <x v="3"/>
    <x v="3"/>
  </r>
  <r>
    <n v="606"/>
    <x v="35"/>
    <x v="0"/>
    <n v="3"/>
    <n v="2"/>
    <n v="9"/>
    <n v="103064"/>
    <n v="927576"/>
    <n v="278272.8"/>
    <n v="0.3"/>
    <x v="2"/>
    <s v="Electronics"/>
    <x v="3"/>
    <x v="3"/>
  </r>
  <r>
    <n v="607"/>
    <x v="176"/>
    <x v="6"/>
    <n v="3"/>
    <n v="3"/>
    <n v="14"/>
    <n v="265361"/>
    <n v="3715054"/>
    <n v="1114516.2"/>
    <n v="0.3"/>
    <x v="2"/>
    <s v="Electronics"/>
    <x v="0"/>
    <x v="0"/>
  </r>
  <r>
    <n v="608"/>
    <x v="48"/>
    <x v="1"/>
    <n v="2"/>
    <n v="3"/>
    <n v="6"/>
    <n v="353198"/>
    <n v="2119188"/>
    <n v="635756.4"/>
    <n v="0.3"/>
    <x v="0"/>
    <s v="Electronics"/>
    <x v="0"/>
    <x v="0"/>
  </r>
  <r>
    <n v="609"/>
    <x v="258"/>
    <x v="9"/>
    <n v="3"/>
    <n v="3"/>
    <n v="3"/>
    <n v="386811"/>
    <n v="1160433"/>
    <n v="348129.89999999997"/>
    <n v="0.3"/>
    <x v="2"/>
    <s v="Electronics"/>
    <x v="0"/>
    <x v="0"/>
  </r>
  <r>
    <n v="610"/>
    <x v="110"/>
    <x v="4"/>
    <n v="1"/>
    <n v="1"/>
    <n v="4"/>
    <n v="336546"/>
    <n v="1346184"/>
    <n v="403855.2"/>
    <n v="0.3"/>
    <x v="3"/>
    <s v="Electronics"/>
    <x v="2"/>
    <x v="2"/>
  </r>
  <r>
    <n v="611"/>
    <x v="150"/>
    <x v="0"/>
    <n v="1"/>
    <n v="2"/>
    <n v="6"/>
    <n v="250661"/>
    <n v="1503966"/>
    <n v="451189.8"/>
    <n v="0.3"/>
    <x v="3"/>
    <s v="Electronics"/>
    <x v="3"/>
    <x v="3"/>
  </r>
  <r>
    <n v="612"/>
    <x v="234"/>
    <x v="5"/>
    <n v="3"/>
    <n v="3"/>
    <n v="4"/>
    <n v="147673"/>
    <n v="590692"/>
    <n v="177207.6"/>
    <n v="0.3"/>
    <x v="2"/>
    <s v="Electronics"/>
    <x v="0"/>
    <x v="0"/>
  </r>
  <r>
    <n v="613"/>
    <x v="121"/>
    <x v="8"/>
    <n v="5"/>
    <n v="3"/>
    <n v="9"/>
    <n v="118769"/>
    <n v="1068921"/>
    <n v="320676.3"/>
    <n v="0.3"/>
    <x v="4"/>
    <s v="Accessories"/>
    <x v="0"/>
    <x v="0"/>
  </r>
  <r>
    <n v="614"/>
    <x v="293"/>
    <x v="5"/>
    <n v="2"/>
    <n v="2"/>
    <n v="11"/>
    <n v="185486"/>
    <n v="2040346"/>
    <n v="612103.79999999993"/>
    <n v="0.3"/>
    <x v="0"/>
    <s v="Electronics"/>
    <x v="3"/>
    <x v="3"/>
  </r>
  <r>
    <n v="615"/>
    <x v="217"/>
    <x v="6"/>
    <n v="1"/>
    <n v="1"/>
    <n v="20"/>
    <n v="114733"/>
    <n v="2294660"/>
    <n v="688398"/>
    <n v="0.3"/>
    <x v="3"/>
    <s v="Electronics"/>
    <x v="2"/>
    <x v="2"/>
  </r>
  <r>
    <n v="616"/>
    <x v="14"/>
    <x v="8"/>
    <n v="4"/>
    <n v="2"/>
    <n v="8"/>
    <n v="232975"/>
    <n v="1863800"/>
    <n v="559140"/>
    <n v="0.3"/>
    <x v="1"/>
    <s v="Accessories"/>
    <x v="3"/>
    <x v="3"/>
  </r>
  <r>
    <n v="617"/>
    <x v="20"/>
    <x v="4"/>
    <n v="1"/>
    <n v="2"/>
    <n v="15"/>
    <n v="104823"/>
    <n v="1572345"/>
    <n v="471703.5"/>
    <n v="0.3"/>
    <x v="3"/>
    <s v="Electronics"/>
    <x v="3"/>
    <x v="3"/>
  </r>
  <r>
    <n v="618"/>
    <x v="43"/>
    <x v="4"/>
    <n v="3"/>
    <n v="4"/>
    <n v="16"/>
    <n v="294316"/>
    <n v="4709056"/>
    <n v="1412716.8"/>
    <n v="0.3"/>
    <x v="2"/>
    <s v="Electronics"/>
    <x v="1"/>
    <x v="1"/>
  </r>
  <r>
    <n v="619"/>
    <x v="48"/>
    <x v="1"/>
    <n v="1"/>
    <n v="1"/>
    <n v="10"/>
    <n v="207129"/>
    <n v="2071290"/>
    <n v="621387"/>
    <n v="0.3"/>
    <x v="3"/>
    <s v="Electronics"/>
    <x v="2"/>
    <x v="2"/>
  </r>
  <r>
    <n v="620"/>
    <x v="176"/>
    <x v="6"/>
    <n v="5"/>
    <n v="4"/>
    <n v="2"/>
    <n v="311378"/>
    <n v="622756"/>
    <n v="186826.8"/>
    <n v="0.3"/>
    <x v="4"/>
    <s v="Accessories"/>
    <x v="1"/>
    <x v="1"/>
  </r>
  <r>
    <n v="621"/>
    <x v="210"/>
    <x v="6"/>
    <n v="2"/>
    <n v="1"/>
    <n v="20"/>
    <n v="117187"/>
    <n v="2343740"/>
    <n v="703122"/>
    <n v="0.3"/>
    <x v="0"/>
    <s v="Electronics"/>
    <x v="2"/>
    <x v="2"/>
  </r>
  <r>
    <n v="622"/>
    <x v="99"/>
    <x v="8"/>
    <n v="4"/>
    <n v="3"/>
    <n v="18"/>
    <n v="66303"/>
    <n v="1193454"/>
    <n v="358036.2"/>
    <n v="0.3"/>
    <x v="1"/>
    <s v="Accessories"/>
    <x v="0"/>
    <x v="0"/>
  </r>
  <r>
    <n v="623"/>
    <x v="294"/>
    <x v="5"/>
    <n v="1"/>
    <n v="4"/>
    <n v="1"/>
    <n v="386830"/>
    <n v="386830"/>
    <n v="116049"/>
    <n v="0.3"/>
    <x v="3"/>
    <s v="Electronics"/>
    <x v="1"/>
    <x v="1"/>
  </r>
  <r>
    <n v="624"/>
    <x v="231"/>
    <x v="10"/>
    <n v="4"/>
    <n v="2"/>
    <n v="6"/>
    <n v="185144"/>
    <n v="1110864"/>
    <n v="333259.2"/>
    <n v="0.3"/>
    <x v="1"/>
    <s v="Accessories"/>
    <x v="3"/>
    <x v="3"/>
  </r>
  <r>
    <n v="625"/>
    <x v="295"/>
    <x v="3"/>
    <n v="5"/>
    <n v="3"/>
    <n v="12"/>
    <n v="392356"/>
    <n v="4708272"/>
    <n v="1412481.5999999999"/>
    <n v="0.3"/>
    <x v="4"/>
    <s v="Accessories"/>
    <x v="0"/>
    <x v="0"/>
  </r>
  <r>
    <n v="626"/>
    <x v="248"/>
    <x v="4"/>
    <n v="3"/>
    <n v="2"/>
    <n v="3"/>
    <n v="292239"/>
    <n v="876717"/>
    <n v="263015.09999999998"/>
    <n v="0.3"/>
    <x v="2"/>
    <s v="Electronics"/>
    <x v="3"/>
    <x v="3"/>
  </r>
  <r>
    <n v="627"/>
    <x v="296"/>
    <x v="7"/>
    <n v="1"/>
    <n v="3"/>
    <n v="1"/>
    <n v="51019"/>
    <n v="51019"/>
    <n v="15305.699999999999"/>
    <n v="0.3"/>
    <x v="3"/>
    <s v="Electronics"/>
    <x v="0"/>
    <x v="0"/>
  </r>
  <r>
    <n v="628"/>
    <x v="11"/>
    <x v="1"/>
    <n v="5"/>
    <n v="2"/>
    <n v="18"/>
    <n v="140111"/>
    <n v="2521998"/>
    <n v="756599.4"/>
    <n v="0.3"/>
    <x v="4"/>
    <s v="Accessories"/>
    <x v="3"/>
    <x v="3"/>
  </r>
  <r>
    <n v="629"/>
    <x v="175"/>
    <x v="8"/>
    <n v="2"/>
    <n v="4"/>
    <n v="13"/>
    <n v="100473"/>
    <n v="1306149"/>
    <n v="391844.7"/>
    <n v="0.3"/>
    <x v="0"/>
    <s v="Electronics"/>
    <x v="1"/>
    <x v="1"/>
  </r>
  <r>
    <n v="630"/>
    <x v="255"/>
    <x v="11"/>
    <n v="1"/>
    <n v="2"/>
    <n v="7"/>
    <n v="126454"/>
    <n v="885178"/>
    <n v="265553.39999999997"/>
    <n v="0.29999999999999993"/>
    <x v="3"/>
    <s v="Electronics"/>
    <x v="3"/>
    <x v="3"/>
  </r>
  <r>
    <n v="631"/>
    <x v="45"/>
    <x v="2"/>
    <n v="1"/>
    <n v="3"/>
    <n v="10"/>
    <n v="190213"/>
    <n v="1902130"/>
    <n v="570639"/>
    <n v="0.3"/>
    <x v="3"/>
    <s v="Electronics"/>
    <x v="0"/>
    <x v="0"/>
  </r>
  <r>
    <n v="632"/>
    <x v="49"/>
    <x v="5"/>
    <n v="2"/>
    <n v="4"/>
    <n v="14"/>
    <n v="299597"/>
    <n v="4194358"/>
    <n v="1258307.3999999999"/>
    <n v="0.3"/>
    <x v="0"/>
    <s v="Electronics"/>
    <x v="1"/>
    <x v="1"/>
  </r>
  <r>
    <n v="633"/>
    <x v="241"/>
    <x v="5"/>
    <n v="2"/>
    <n v="1"/>
    <n v="8"/>
    <n v="139220"/>
    <n v="1113760"/>
    <n v="334128"/>
    <n v="0.3"/>
    <x v="0"/>
    <s v="Electronics"/>
    <x v="2"/>
    <x v="2"/>
  </r>
  <r>
    <n v="634"/>
    <x v="3"/>
    <x v="3"/>
    <n v="3"/>
    <n v="4"/>
    <n v="6"/>
    <n v="192276"/>
    <n v="1153656"/>
    <n v="346096.8"/>
    <n v="0.3"/>
    <x v="2"/>
    <s v="Electronics"/>
    <x v="1"/>
    <x v="1"/>
  </r>
  <r>
    <n v="635"/>
    <x v="42"/>
    <x v="0"/>
    <n v="1"/>
    <n v="4"/>
    <n v="5"/>
    <n v="312220"/>
    <n v="1561100"/>
    <n v="468330"/>
    <n v="0.3"/>
    <x v="3"/>
    <s v="Electronics"/>
    <x v="1"/>
    <x v="1"/>
  </r>
  <r>
    <n v="636"/>
    <x v="85"/>
    <x v="9"/>
    <n v="3"/>
    <n v="3"/>
    <n v="13"/>
    <n v="111582"/>
    <n v="1450566"/>
    <n v="435169.8"/>
    <n v="0.3"/>
    <x v="2"/>
    <s v="Electronics"/>
    <x v="0"/>
    <x v="0"/>
  </r>
  <r>
    <n v="637"/>
    <x v="17"/>
    <x v="9"/>
    <n v="2"/>
    <n v="1"/>
    <n v="10"/>
    <n v="240516"/>
    <n v="2405160"/>
    <n v="721548"/>
    <n v="0.3"/>
    <x v="0"/>
    <s v="Electronics"/>
    <x v="2"/>
    <x v="2"/>
  </r>
  <r>
    <n v="638"/>
    <x v="297"/>
    <x v="9"/>
    <n v="2"/>
    <n v="1"/>
    <n v="9"/>
    <n v="251759"/>
    <n v="2265831"/>
    <n v="679749.29999999993"/>
    <n v="0.3"/>
    <x v="0"/>
    <s v="Electronics"/>
    <x v="2"/>
    <x v="2"/>
  </r>
  <r>
    <n v="639"/>
    <x v="298"/>
    <x v="10"/>
    <n v="1"/>
    <n v="2"/>
    <n v="3"/>
    <n v="294044"/>
    <n v="882132"/>
    <n v="264639.59999999998"/>
    <n v="0.3"/>
    <x v="3"/>
    <s v="Electronics"/>
    <x v="3"/>
    <x v="3"/>
  </r>
  <r>
    <n v="640"/>
    <x v="97"/>
    <x v="10"/>
    <n v="5"/>
    <n v="2"/>
    <n v="17"/>
    <n v="328956"/>
    <n v="5592252"/>
    <n v="1677675.5999999999"/>
    <n v="0.3"/>
    <x v="4"/>
    <s v="Accessories"/>
    <x v="3"/>
    <x v="3"/>
  </r>
  <r>
    <n v="641"/>
    <x v="139"/>
    <x v="6"/>
    <n v="1"/>
    <n v="2"/>
    <n v="1"/>
    <n v="363343"/>
    <n v="363343"/>
    <n v="109002.9"/>
    <n v="0.3"/>
    <x v="3"/>
    <s v="Electronics"/>
    <x v="3"/>
    <x v="3"/>
  </r>
  <r>
    <n v="642"/>
    <x v="56"/>
    <x v="2"/>
    <n v="3"/>
    <n v="4"/>
    <n v="19"/>
    <n v="144090"/>
    <n v="2737710"/>
    <n v="821313"/>
    <n v="0.3"/>
    <x v="2"/>
    <s v="Electronics"/>
    <x v="1"/>
    <x v="1"/>
  </r>
  <r>
    <n v="643"/>
    <x v="192"/>
    <x v="9"/>
    <n v="4"/>
    <n v="2"/>
    <n v="7"/>
    <n v="289672"/>
    <n v="2027704"/>
    <n v="608311.19999999995"/>
    <n v="0.3"/>
    <x v="1"/>
    <s v="Accessories"/>
    <x v="3"/>
    <x v="3"/>
  </r>
  <r>
    <n v="644"/>
    <x v="52"/>
    <x v="3"/>
    <n v="4"/>
    <n v="2"/>
    <n v="9"/>
    <n v="54294"/>
    <n v="488646"/>
    <n v="146593.79999999999"/>
    <n v="0.3"/>
    <x v="1"/>
    <s v="Accessories"/>
    <x v="3"/>
    <x v="3"/>
  </r>
  <r>
    <n v="645"/>
    <x v="149"/>
    <x v="6"/>
    <n v="4"/>
    <n v="1"/>
    <n v="9"/>
    <n v="329145"/>
    <n v="2962305"/>
    <n v="888691.5"/>
    <n v="0.3"/>
    <x v="1"/>
    <s v="Accessories"/>
    <x v="2"/>
    <x v="2"/>
  </r>
  <r>
    <n v="646"/>
    <x v="299"/>
    <x v="10"/>
    <n v="3"/>
    <n v="2"/>
    <n v="15"/>
    <n v="193152"/>
    <n v="2897280"/>
    <n v="869184"/>
    <n v="0.3"/>
    <x v="2"/>
    <s v="Electronics"/>
    <x v="3"/>
    <x v="3"/>
  </r>
  <r>
    <n v="647"/>
    <x v="300"/>
    <x v="4"/>
    <n v="1"/>
    <n v="1"/>
    <n v="11"/>
    <n v="282850"/>
    <n v="3111350"/>
    <n v="933405"/>
    <n v="0.3"/>
    <x v="3"/>
    <s v="Electronics"/>
    <x v="2"/>
    <x v="2"/>
  </r>
  <r>
    <n v="648"/>
    <x v="49"/>
    <x v="5"/>
    <n v="3"/>
    <n v="3"/>
    <n v="7"/>
    <n v="90064"/>
    <n v="630448"/>
    <n v="189134.4"/>
    <n v="0.3"/>
    <x v="2"/>
    <s v="Electronics"/>
    <x v="0"/>
    <x v="0"/>
  </r>
  <r>
    <n v="649"/>
    <x v="301"/>
    <x v="9"/>
    <n v="1"/>
    <n v="1"/>
    <n v="20"/>
    <n v="212392"/>
    <n v="4247840"/>
    <n v="1274352"/>
    <n v="0.3"/>
    <x v="3"/>
    <s v="Electronics"/>
    <x v="2"/>
    <x v="2"/>
  </r>
  <r>
    <n v="650"/>
    <x v="118"/>
    <x v="3"/>
    <n v="1"/>
    <n v="3"/>
    <n v="5"/>
    <n v="215988"/>
    <n v="1079940"/>
    <n v="323982"/>
    <n v="0.3"/>
    <x v="3"/>
    <s v="Electronics"/>
    <x v="0"/>
    <x v="0"/>
  </r>
  <r>
    <n v="651"/>
    <x v="4"/>
    <x v="4"/>
    <n v="2"/>
    <n v="1"/>
    <n v="8"/>
    <n v="324084"/>
    <n v="2592672"/>
    <n v="777801.6"/>
    <n v="0.3"/>
    <x v="0"/>
    <s v="Electronics"/>
    <x v="2"/>
    <x v="2"/>
  </r>
  <r>
    <n v="652"/>
    <x v="162"/>
    <x v="1"/>
    <n v="2"/>
    <n v="4"/>
    <n v="17"/>
    <n v="214051"/>
    <n v="3638867"/>
    <n v="1091660.0999999999"/>
    <n v="0.3"/>
    <x v="0"/>
    <s v="Electronics"/>
    <x v="1"/>
    <x v="1"/>
  </r>
  <r>
    <n v="653"/>
    <x v="221"/>
    <x v="9"/>
    <n v="3"/>
    <n v="2"/>
    <n v="19"/>
    <n v="274166"/>
    <n v="5209154"/>
    <n v="1562746.2"/>
    <n v="0.3"/>
    <x v="2"/>
    <s v="Electronics"/>
    <x v="3"/>
    <x v="3"/>
  </r>
  <r>
    <n v="654"/>
    <x v="98"/>
    <x v="10"/>
    <n v="2"/>
    <n v="1"/>
    <n v="7"/>
    <n v="312182"/>
    <n v="2185274"/>
    <n v="655582.19999999995"/>
    <n v="0.3"/>
    <x v="0"/>
    <s v="Electronics"/>
    <x v="2"/>
    <x v="2"/>
  </r>
  <r>
    <n v="655"/>
    <x v="159"/>
    <x v="0"/>
    <n v="1"/>
    <n v="1"/>
    <n v="18"/>
    <n v="168827"/>
    <n v="3038886"/>
    <n v="911665.79999999993"/>
    <n v="0.3"/>
    <x v="3"/>
    <s v="Electronics"/>
    <x v="2"/>
    <x v="2"/>
  </r>
  <r>
    <n v="656"/>
    <x v="245"/>
    <x v="10"/>
    <n v="5"/>
    <n v="2"/>
    <n v="4"/>
    <n v="165467"/>
    <n v="661868"/>
    <n v="198560.4"/>
    <n v="0.3"/>
    <x v="4"/>
    <s v="Accessories"/>
    <x v="3"/>
    <x v="3"/>
  </r>
  <r>
    <n v="657"/>
    <x v="68"/>
    <x v="7"/>
    <n v="3"/>
    <n v="2"/>
    <n v="1"/>
    <n v="264804"/>
    <n v="264804"/>
    <n v="79441.2"/>
    <n v="0.3"/>
    <x v="2"/>
    <s v="Electronics"/>
    <x v="3"/>
    <x v="3"/>
  </r>
  <r>
    <n v="658"/>
    <x v="302"/>
    <x v="2"/>
    <n v="2"/>
    <n v="4"/>
    <n v="17"/>
    <n v="171593"/>
    <n v="2917081"/>
    <n v="875124.29999999993"/>
    <n v="0.3"/>
    <x v="0"/>
    <s v="Electronics"/>
    <x v="1"/>
    <x v="1"/>
  </r>
  <r>
    <n v="659"/>
    <x v="120"/>
    <x v="3"/>
    <n v="3"/>
    <n v="4"/>
    <n v="7"/>
    <n v="374631"/>
    <n v="2622417"/>
    <n v="786725.1"/>
    <n v="0.3"/>
    <x v="2"/>
    <s v="Electronics"/>
    <x v="1"/>
    <x v="1"/>
  </r>
  <r>
    <n v="660"/>
    <x v="231"/>
    <x v="10"/>
    <n v="1"/>
    <n v="3"/>
    <n v="11"/>
    <n v="381206"/>
    <n v="4193266"/>
    <n v="1257979.8"/>
    <n v="0.3"/>
    <x v="3"/>
    <s v="Electronics"/>
    <x v="0"/>
    <x v="0"/>
  </r>
  <r>
    <n v="661"/>
    <x v="51"/>
    <x v="2"/>
    <n v="5"/>
    <n v="3"/>
    <n v="19"/>
    <n v="124467"/>
    <n v="2364873"/>
    <n v="709461.9"/>
    <n v="0.3"/>
    <x v="4"/>
    <s v="Accessories"/>
    <x v="0"/>
    <x v="0"/>
  </r>
  <r>
    <n v="662"/>
    <x v="175"/>
    <x v="8"/>
    <n v="5"/>
    <n v="1"/>
    <n v="6"/>
    <n v="328516"/>
    <n v="1971096"/>
    <n v="591328.79999999993"/>
    <n v="0.3"/>
    <x v="4"/>
    <s v="Accessories"/>
    <x v="2"/>
    <x v="2"/>
  </r>
  <r>
    <n v="663"/>
    <x v="215"/>
    <x v="9"/>
    <n v="5"/>
    <n v="4"/>
    <n v="15"/>
    <n v="232385"/>
    <n v="3485775"/>
    <n v="1045732.5"/>
    <n v="0.3"/>
    <x v="4"/>
    <s v="Accessories"/>
    <x v="1"/>
    <x v="1"/>
  </r>
  <r>
    <n v="664"/>
    <x v="64"/>
    <x v="4"/>
    <n v="3"/>
    <n v="3"/>
    <n v="2"/>
    <n v="357863"/>
    <n v="715726"/>
    <n v="214717.8"/>
    <n v="0.3"/>
    <x v="2"/>
    <s v="Electronics"/>
    <x v="0"/>
    <x v="0"/>
  </r>
  <r>
    <n v="665"/>
    <x v="24"/>
    <x v="7"/>
    <n v="2"/>
    <n v="1"/>
    <n v="12"/>
    <n v="240580"/>
    <n v="2886960"/>
    <n v="866088"/>
    <n v="0.3"/>
    <x v="0"/>
    <s v="Electronics"/>
    <x v="2"/>
    <x v="2"/>
  </r>
  <r>
    <n v="666"/>
    <x v="16"/>
    <x v="1"/>
    <n v="5"/>
    <n v="4"/>
    <n v="4"/>
    <n v="100636"/>
    <n v="402544"/>
    <n v="120763.2"/>
    <n v="0.3"/>
    <x v="4"/>
    <s v="Accessories"/>
    <x v="1"/>
    <x v="1"/>
  </r>
  <r>
    <n v="667"/>
    <x v="139"/>
    <x v="6"/>
    <n v="4"/>
    <n v="2"/>
    <n v="7"/>
    <n v="114435"/>
    <n v="801045"/>
    <n v="240313.5"/>
    <n v="0.3"/>
    <x v="1"/>
    <s v="Accessories"/>
    <x v="3"/>
    <x v="3"/>
  </r>
  <r>
    <n v="668"/>
    <x v="254"/>
    <x v="0"/>
    <n v="2"/>
    <n v="4"/>
    <n v="14"/>
    <n v="351973"/>
    <n v="4927622"/>
    <n v="1478286.5999999999"/>
    <n v="0.3"/>
    <x v="0"/>
    <s v="Electronics"/>
    <x v="1"/>
    <x v="1"/>
  </r>
  <r>
    <n v="669"/>
    <x v="118"/>
    <x v="3"/>
    <n v="4"/>
    <n v="1"/>
    <n v="17"/>
    <n v="116576"/>
    <n v="1981792"/>
    <n v="594537.6"/>
    <n v="0.3"/>
    <x v="1"/>
    <s v="Accessories"/>
    <x v="2"/>
    <x v="2"/>
  </r>
  <r>
    <n v="670"/>
    <x v="8"/>
    <x v="3"/>
    <n v="5"/>
    <n v="2"/>
    <n v="9"/>
    <n v="340644"/>
    <n v="3065796"/>
    <n v="919738.79999999993"/>
    <n v="0.3"/>
    <x v="4"/>
    <s v="Accessories"/>
    <x v="3"/>
    <x v="3"/>
  </r>
  <r>
    <n v="671"/>
    <x v="292"/>
    <x v="11"/>
    <n v="4"/>
    <n v="1"/>
    <n v="5"/>
    <n v="138570"/>
    <n v="692850"/>
    <n v="207855"/>
    <n v="0.3"/>
    <x v="1"/>
    <s v="Accessories"/>
    <x v="2"/>
    <x v="2"/>
  </r>
  <r>
    <n v="672"/>
    <x v="303"/>
    <x v="1"/>
    <n v="5"/>
    <n v="2"/>
    <n v="9"/>
    <n v="275202"/>
    <n v="2476818"/>
    <n v="743045.4"/>
    <n v="0.3"/>
    <x v="4"/>
    <s v="Accessories"/>
    <x v="3"/>
    <x v="3"/>
  </r>
  <r>
    <n v="673"/>
    <x v="304"/>
    <x v="7"/>
    <n v="2"/>
    <n v="1"/>
    <n v="1"/>
    <n v="141478"/>
    <n v="141478"/>
    <n v="42443.4"/>
    <n v="0.3"/>
    <x v="0"/>
    <s v="Electronics"/>
    <x v="2"/>
    <x v="2"/>
  </r>
  <r>
    <n v="674"/>
    <x v="305"/>
    <x v="1"/>
    <n v="3"/>
    <n v="2"/>
    <n v="13"/>
    <n v="380505"/>
    <n v="4946565"/>
    <n v="1483969.5"/>
    <n v="0.3"/>
    <x v="2"/>
    <s v="Electronics"/>
    <x v="3"/>
    <x v="3"/>
  </r>
  <r>
    <n v="675"/>
    <x v="85"/>
    <x v="9"/>
    <n v="4"/>
    <n v="2"/>
    <n v="1"/>
    <n v="151387"/>
    <n v="151387"/>
    <n v="45416.1"/>
    <n v="0.3"/>
    <x v="1"/>
    <s v="Accessories"/>
    <x v="3"/>
    <x v="3"/>
  </r>
  <r>
    <n v="676"/>
    <x v="277"/>
    <x v="5"/>
    <n v="1"/>
    <n v="2"/>
    <n v="6"/>
    <n v="391561"/>
    <n v="2349366"/>
    <n v="704809.79999999993"/>
    <n v="0.3"/>
    <x v="3"/>
    <s v="Electronics"/>
    <x v="3"/>
    <x v="3"/>
  </r>
  <r>
    <n v="677"/>
    <x v="180"/>
    <x v="10"/>
    <n v="2"/>
    <n v="2"/>
    <n v="11"/>
    <n v="72900"/>
    <n v="801900"/>
    <n v="240570"/>
    <n v="0.3"/>
    <x v="0"/>
    <s v="Electronics"/>
    <x v="3"/>
    <x v="3"/>
  </r>
  <r>
    <n v="678"/>
    <x v="233"/>
    <x v="8"/>
    <n v="1"/>
    <n v="2"/>
    <n v="12"/>
    <n v="334593"/>
    <n v="4015116"/>
    <n v="1204534.8"/>
    <n v="0.3"/>
    <x v="3"/>
    <s v="Electronics"/>
    <x v="3"/>
    <x v="3"/>
  </r>
  <r>
    <n v="679"/>
    <x v="190"/>
    <x v="5"/>
    <n v="4"/>
    <n v="2"/>
    <n v="4"/>
    <n v="145766"/>
    <n v="583064"/>
    <n v="174919.19999999998"/>
    <n v="0.3"/>
    <x v="1"/>
    <s v="Accessories"/>
    <x v="3"/>
    <x v="3"/>
  </r>
  <r>
    <n v="680"/>
    <x v="306"/>
    <x v="10"/>
    <n v="3"/>
    <n v="3"/>
    <n v="12"/>
    <n v="136397"/>
    <n v="1636764"/>
    <n v="491029.19999999995"/>
    <n v="0.3"/>
    <x v="2"/>
    <s v="Electronics"/>
    <x v="0"/>
    <x v="0"/>
  </r>
  <r>
    <n v="681"/>
    <x v="307"/>
    <x v="11"/>
    <n v="2"/>
    <n v="2"/>
    <n v="11"/>
    <n v="319256"/>
    <n v="3511816"/>
    <n v="1053544.8"/>
    <n v="0.3"/>
    <x v="0"/>
    <s v="Electronics"/>
    <x v="3"/>
    <x v="3"/>
  </r>
  <r>
    <n v="682"/>
    <x v="191"/>
    <x v="11"/>
    <n v="4"/>
    <n v="2"/>
    <n v="14"/>
    <n v="370327"/>
    <n v="5184578"/>
    <n v="1555373.4"/>
    <n v="0.3"/>
    <x v="1"/>
    <s v="Accessories"/>
    <x v="3"/>
    <x v="3"/>
  </r>
  <r>
    <n v="683"/>
    <x v="274"/>
    <x v="2"/>
    <n v="3"/>
    <n v="3"/>
    <n v="3"/>
    <n v="64792"/>
    <n v="194376"/>
    <n v="58312.799999999996"/>
    <n v="0.3"/>
    <x v="2"/>
    <s v="Electronics"/>
    <x v="0"/>
    <x v="0"/>
  </r>
  <r>
    <n v="684"/>
    <x v="308"/>
    <x v="8"/>
    <n v="4"/>
    <n v="2"/>
    <n v="13"/>
    <n v="394211"/>
    <n v="5124743"/>
    <n v="1537422.9"/>
    <n v="0.3"/>
    <x v="1"/>
    <s v="Accessories"/>
    <x v="3"/>
    <x v="3"/>
  </r>
  <r>
    <n v="685"/>
    <x v="96"/>
    <x v="2"/>
    <n v="3"/>
    <n v="3"/>
    <n v="1"/>
    <n v="355485"/>
    <n v="355485"/>
    <n v="106645.5"/>
    <n v="0.3"/>
    <x v="2"/>
    <s v="Electronics"/>
    <x v="0"/>
    <x v="0"/>
  </r>
  <r>
    <n v="686"/>
    <x v="309"/>
    <x v="1"/>
    <n v="3"/>
    <n v="2"/>
    <n v="2"/>
    <n v="133691"/>
    <n v="267382"/>
    <n v="80214.599999999991"/>
    <n v="0.3"/>
    <x v="2"/>
    <s v="Electronics"/>
    <x v="3"/>
    <x v="3"/>
  </r>
  <r>
    <n v="687"/>
    <x v="179"/>
    <x v="0"/>
    <n v="3"/>
    <n v="4"/>
    <n v="10"/>
    <n v="303177"/>
    <n v="3031770"/>
    <n v="909531"/>
    <n v="0.3"/>
    <x v="2"/>
    <s v="Electronics"/>
    <x v="1"/>
    <x v="1"/>
  </r>
  <r>
    <n v="688"/>
    <x v="12"/>
    <x v="7"/>
    <n v="1"/>
    <n v="4"/>
    <n v="11"/>
    <n v="306360"/>
    <n v="3369960"/>
    <n v="1010988"/>
    <n v="0.3"/>
    <x v="3"/>
    <s v="Electronics"/>
    <x v="1"/>
    <x v="1"/>
  </r>
  <r>
    <n v="689"/>
    <x v="151"/>
    <x v="7"/>
    <n v="1"/>
    <n v="2"/>
    <n v="20"/>
    <n v="111384"/>
    <n v="2227680"/>
    <n v="668304"/>
    <n v="0.3"/>
    <x v="3"/>
    <s v="Electronics"/>
    <x v="3"/>
    <x v="3"/>
  </r>
  <r>
    <n v="690"/>
    <x v="29"/>
    <x v="8"/>
    <n v="5"/>
    <n v="1"/>
    <n v="8"/>
    <n v="261299"/>
    <n v="2090392"/>
    <n v="627117.6"/>
    <n v="0.3"/>
    <x v="4"/>
    <s v="Accessories"/>
    <x v="2"/>
    <x v="2"/>
  </r>
  <r>
    <n v="691"/>
    <x v="135"/>
    <x v="4"/>
    <n v="4"/>
    <n v="3"/>
    <n v="9"/>
    <n v="308310"/>
    <n v="2774790"/>
    <n v="832437"/>
    <n v="0.3"/>
    <x v="1"/>
    <s v="Accessories"/>
    <x v="0"/>
    <x v="0"/>
  </r>
  <r>
    <n v="692"/>
    <x v="93"/>
    <x v="10"/>
    <n v="2"/>
    <n v="2"/>
    <n v="17"/>
    <n v="274952"/>
    <n v="4674184"/>
    <n v="1402255.2"/>
    <n v="0.3"/>
    <x v="0"/>
    <s v="Electronics"/>
    <x v="3"/>
    <x v="3"/>
  </r>
  <r>
    <n v="693"/>
    <x v="19"/>
    <x v="2"/>
    <n v="3"/>
    <n v="1"/>
    <n v="4"/>
    <n v="370610"/>
    <n v="1482440"/>
    <n v="444732"/>
    <n v="0.3"/>
    <x v="2"/>
    <s v="Electronics"/>
    <x v="2"/>
    <x v="2"/>
  </r>
  <r>
    <n v="694"/>
    <x v="310"/>
    <x v="11"/>
    <n v="5"/>
    <n v="2"/>
    <n v="13"/>
    <n v="324996"/>
    <n v="4224948"/>
    <n v="1267484.3999999999"/>
    <n v="0.3"/>
    <x v="4"/>
    <s v="Accessories"/>
    <x v="3"/>
    <x v="3"/>
  </r>
  <r>
    <n v="695"/>
    <x v="154"/>
    <x v="6"/>
    <n v="4"/>
    <n v="1"/>
    <n v="20"/>
    <n v="389655"/>
    <n v="7793100"/>
    <n v="2337930"/>
    <n v="0.3"/>
    <x v="1"/>
    <s v="Accessories"/>
    <x v="2"/>
    <x v="2"/>
  </r>
  <r>
    <n v="696"/>
    <x v="156"/>
    <x v="8"/>
    <n v="1"/>
    <n v="2"/>
    <n v="17"/>
    <n v="74722"/>
    <n v="1270274"/>
    <n v="381082.2"/>
    <n v="0.3"/>
    <x v="3"/>
    <s v="Electronics"/>
    <x v="3"/>
    <x v="3"/>
  </r>
  <r>
    <n v="697"/>
    <x v="209"/>
    <x v="5"/>
    <n v="4"/>
    <n v="3"/>
    <n v="14"/>
    <n v="259272"/>
    <n v="3629808"/>
    <n v="1088942.3999999999"/>
    <n v="0.3"/>
    <x v="1"/>
    <s v="Accessories"/>
    <x v="0"/>
    <x v="0"/>
  </r>
  <r>
    <n v="698"/>
    <x v="136"/>
    <x v="11"/>
    <n v="5"/>
    <n v="4"/>
    <n v="5"/>
    <n v="209063"/>
    <n v="1045315"/>
    <n v="313594.5"/>
    <n v="0.3"/>
    <x v="4"/>
    <s v="Accessories"/>
    <x v="1"/>
    <x v="1"/>
  </r>
  <r>
    <n v="699"/>
    <x v="196"/>
    <x v="11"/>
    <n v="2"/>
    <n v="1"/>
    <n v="20"/>
    <n v="111711"/>
    <n v="2234220"/>
    <n v="670266"/>
    <n v="0.3"/>
    <x v="0"/>
    <s v="Electronics"/>
    <x v="2"/>
    <x v="2"/>
  </r>
  <r>
    <n v="700"/>
    <x v="281"/>
    <x v="4"/>
    <n v="4"/>
    <n v="1"/>
    <n v="12"/>
    <n v="330839"/>
    <n v="3970068"/>
    <n v="1191020.3999999999"/>
    <n v="0.3"/>
    <x v="1"/>
    <s v="Accessories"/>
    <x v="2"/>
    <x v="2"/>
  </r>
  <r>
    <n v="701"/>
    <x v="137"/>
    <x v="2"/>
    <n v="2"/>
    <n v="4"/>
    <n v="4"/>
    <n v="357192"/>
    <n v="1428768"/>
    <n v="428630.39999999997"/>
    <n v="0.3"/>
    <x v="0"/>
    <s v="Electronics"/>
    <x v="1"/>
    <x v="1"/>
  </r>
  <r>
    <n v="702"/>
    <x v="311"/>
    <x v="9"/>
    <n v="1"/>
    <n v="3"/>
    <n v="18"/>
    <n v="299136"/>
    <n v="5384448"/>
    <n v="1615334.3999999999"/>
    <n v="0.3"/>
    <x v="3"/>
    <s v="Electronics"/>
    <x v="0"/>
    <x v="0"/>
  </r>
  <r>
    <n v="703"/>
    <x v="178"/>
    <x v="6"/>
    <n v="3"/>
    <n v="3"/>
    <n v="6"/>
    <n v="75159"/>
    <n v="450954"/>
    <n v="135286.19999999998"/>
    <n v="0.3"/>
    <x v="2"/>
    <s v="Electronics"/>
    <x v="0"/>
    <x v="0"/>
  </r>
  <r>
    <n v="704"/>
    <x v="293"/>
    <x v="5"/>
    <n v="2"/>
    <n v="2"/>
    <n v="3"/>
    <n v="294576"/>
    <n v="883728"/>
    <n v="265118.39999999997"/>
    <n v="0.29999999999999993"/>
    <x v="0"/>
    <s v="Electronics"/>
    <x v="3"/>
    <x v="3"/>
  </r>
  <r>
    <n v="705"/>
    <x v="90"/>
    <x v="6"/>
    <n v="5"/>
    <n v="4"/>
    <n v="20"/>
    <n v="380872"/>
    <n v="7617440"/>
    <n v="2285232"/>
    <n v="0.3"/>
    <x v="4"/>
    <s v="Accessories"/>
    <x v="1"/>
    <x v="1"/>
  </r>
  <r>
    <n v="706"/>
    <x v="161"/>
    <x v="8"/>
    <n v="3"/>
    <n v="1"/>
    <n v="19"/>
    <n v="150465"/>
    <n v="2858835"/>
    <n v="857650.5"/>
    <n v="0.3"/>
    <x v="2"/>
    <s v="Electronics"/>
    <x v="2"/>
    <x v="2"/>
  </r>
  <r>
    <n v="707"/>
    <x v="256"/>
    <x v="2"/>
    <n v="5"/>
    <n v="1"/>
    <n v="8"/>
    <n v="155185"/>
    <n v="1241480"/>
    <n v="372444"/>
    <n v="0.3"/>
    <x v="4"/>
    <s v="Accessories"/>
    <x v="2"/>
    <x v="2"/>
  </r>
  <r>
    <n v="708"/>
    <x v="79"/>
    <x v="11"/>
    <n v="5"/>
    <n v="2"/>
    <n v="15"/>
    <n v="360761"/>
    <n v="5411415"/>
    <n v="1623424.5"/>
    <n v="0.3"/>
    <x v="4"/>
    <s v="Accessories"/>
    <x v="3"/>
    <x v="3"/>
  </r>
  <r>
    <n v="709"/>
    <x v="10"/>
    <x v="2"/>
    <n v="5"/>
    <n v="2"/>
    <n v="3"/>
    <n v="259121"/>
    <n v="777363"/>
    <n v="233208.9"/>
    <n v="0.3"/>
    <x v="4"/>
    <s v="Accessories"/>
    <x v="3"/>
    <x v="3"/>
  </r>
  <r>
    <n v="710"/>
    <x v="286"/>
    <x v="11"/>
    <n v="3"/>
    <n v="4"/>
    <n v="18"/>
    <n v="289271"/>
    <n v="5206878"/>
    <n v="1562063.4"/>
    <n v="0.3"/>
    <x v="2"/>
    <s v="Electronics"/>
    <x v="1"/>
    <x v="1"/>
  </r>
  <r>
    <n v="711"/>
    <x v="217"/>
    <x v="6"/>
    <n v="1"/>
    <n v="1"/>
    <n v="19"/>
    <n v="211993"/>
    <n v="4027867"/>
    <n v="1208360.0999999999"/>
    <n v="0.3"/>
    <x v="3"/>
    <s v="Electronics"/>
    <x v="2"/>
    <x v="2"/>
  </r>
  <r>
    <n v="712"/>
    <x v="28"/>
    <x v="5"/>
    <n v="2"/>
    <n v="3"/>
    <n v="9"/>
    <n v="179290"/>
    <n v="1613610"/>
    <n v="484083"/>
    <n v="0.3"/>
    <x v="0"/>
    <s v="Electronics"/>
    <x v="0"/>
    <x v="0"/>
  </r>
  <r>
    <n v="713"/>
    <x v="71"/>
    <x v="1"/>
    <n v="5"/>
    <n v="2"/>
    <n v="6"/>
    <n v="123906"/>
    <n v="743436"/>
    <n v="223030.8"/>
    <n v="0.3"/>
    <x v="4"/>
    <s v="Accessories"/>
    <x v="3"/>
    <x v="3"/>
  </r>
  <r>
    <n v="714"/>
    <x v="288"/>
    <x v="8"/>
    <n v="2"/>
    <n v="4"/>
    <n v="20"/>
    <n v="314316"/>
    <n v="6286320"/>
    <n v="1885896"/>
    <n v="0.3"/>
    <x v="0"/>
    <s v="Electronics"/>
    <x v="1"/>
    <x v="1"/>
  </r>
  <r>
    <n v="715"/>
    <x v="76"/>
    <x v="5"/>
    <n v="2"/>
    <n v="3"/>
    <n v="5"/>
    <n v="188455"/>
    <n v="942275"/>
    <n v="282682.5"/>
    <n v="0.3"/>
    <x v="0"/>
    <s v="Electronics"/>
    <x v="0"/>
    <x v="0"/>
  </r>
  <r>
    <n v="716"/>
    <x v="124"/>
    <x v="7"/>
    <n v="5"/>
    <n v="1"/>
    <n v="12"/>
    <n v="269964"/>
    <n v="3239568"/>
    <n v="971870.39999999991"/>
    <n v="0.3"/>
    <x v="4"/>
    <s v="Accessories"/>
    <x v="2"/>
    <x v="2"/>
  </r>
  <r>
    <n v="717"/>
    <x v="241"/>
    <x v="5"/>
    <n v="1"/>
    <n v="1"/>
    <n v="18"/>
    <n v="305688"/>
    <n v="5502384"/>
    <n v="1650715.2"/>
    <n v="0.3"/>
    <x v="3"/>
    <s v="Electronics"/>
    <x v="2"/>
    <x v="2"/>
  </r>
  <r>
    <n v="718"/>
    <x v="144"/>
    <x v="11"/>
    <n v="3"/>
    <n v="1"/>
    <n v="14"/>
    <n v="307349"/>
    <n v="4302886"/>
    <n v="1290865.8"/>
    <n v="0.3"/>
    <x v="2"/>
    <s v="Electronics"/>
    <x v="2"/>
    <x v="2"/>
  </r>
  <r>
    <n v="719"/>
    <x v="82"/>
    <x v="3"/>
    <n v="2"/>
    <n v="3"/>
    <n v="10"/>
    <n v="182947"/>
    <n v="1829470"/>
    <n v="548841"/>
    <n v="0.3"/>
    <x v="0"/>
    <s v="Electronics"/>
    <x v="0"/>
    <x v="0"/>
  </r>
  <r>
    <n v="720"/>
    <x v="1"/>
    <x v="1"/>
    <n v="2"/>
    <n v="1"/>
    <n v="15"/>
    <n v="265469"/>
    <n v="3982035"/>
    <n v="1194610.5"/>
    <n v="0.3"/>
    <x v="0"/>
    <s v="Electronics"/>
    <x v="2"/>
    <x v="2"/>
  </r>
  <r>
    <n v="721"/>
    <x v="85"/>
    <x v="9"/>
    <n v="2"/>
    <n v="2"/>
    <n v="12"/>
    <n v="212334"/>
    <n v="2548008"/>
    <n v="764402.4"/>
    <n v="0.3"/>
    <x v="0"/>
    <s v="Electronics"/>
    <x v="3"/>
    <x v="3"/>
  </r>
  <r>
    <n v="722"/>
    <x v="126"/>
    <x v="4"/>
    <n v="4"/>
    <n v="1"/>
    <n v="19"/>
    <n v="153086"/>
    <n v="2908634"/>
    <n v="872590.2"/>
    <n v="0.3"/>
    <x v="1"/>
    <s v="Accessories"/>
    <x v="2"/>
    <x v="2"/>
  </r>
  <r>
    <n v="723"/>
    <x v="312"/>
    <x v="7"/>
    <n v="4"/>
    <n v="1"/>
    <n v="12"/>
    <n v="201997"/>
    <n v="2423964"/>
    <n v="727189.2"/>
    <n v="0.3"/>
    <x v="1"/>
    <s v="Accessories"/>
    <x v="2"/>
    <x v="2"/>
  </r>
  <r>
    <n v="724"/>
    <x v="221"/>
    <x v="9"/>
    <n v="3"/>
    <n v="1"/>
    <n v="5"/>
    <n v="235537"/>
    <n v="1177685"/>
    <n v="353305.5"/>
    <n v="0.3"/>
    <x v="2"/>
    <s v="Electronics"/>
    <x v="2"/>
    <x v="2"/>
  </r>
  <r>
    <n v="725"/>
    <x v="308"/>
    <x v="8"/>
    <n v="1"/>
    <n v="3"/>
    <n v="7"/>
    <n v="159580"/>
    <n v="1117060"/>
    <n v="335118"/>
    <n v="0.3"/>
    <x v="3"/>
    <s v="Electronics"/>
    <x v="0"/>
    <x v="0"/>
  </r>
  <r>
    <n v="726"/>
    <x v="8"/>
    <x v="3"/>
    <n v="5"/>
    <n v="2"/>
    <n v="12"/>
    <n v="388196"/>
    <n v="4658352"/>
    <n v="1397505.5999999999"/>
    <n v="0.3"/>
    <x v="4"/>
    <s v="Accessories"/>
    <x v="3"/>
    <x v="3"/>
  </r>
  <r>
    <n v="727"/>
    <x v="247"/>
    <x v="10"/>
    <n v="5"/>
    <n v="4"/>
    <n v="4"/>
    <n v="324650"/>
    <n v="1298600"/>
    <n v="389580"/>
    <n v="0.3"/>
    <x v="4"/>
    <s v="Accessories"/>
    <x v="1"/>
    <x v="1"/>
  </r>
  <r>
    <n v="728"/>
    <x v="206"/>
    <x v="3"/>
    <n v="5"/>
    <n v="2"/>
    <n v="9"/>
    <n v="283987"/>
    <n v="2555883"/>
    <n v="766764.9"/>
    <n v="0.3"/>
    <x v="4"/>
    <s v="Accessories"/>
    <x v="3"/>
    <x v="3"/>
  </r>
  <r>
    <n v="729"/>
    <x v="77"/>
    <x v="0"/>
    <n v="5"/>
    <n v="2"/>
    <n v="15"/>
    <n v="247086"/>
    <n v="3706290"/>
    <n v="1111887"/>
    <n v="0.3"/>
    <x v="4"/>
    <s v="Accessories"/>
    <x v="3"/>
    <x v="3"/>
  </r>
  <r>
    <n v="730"/>
    <x v="289"/>
    <x v="7"/>
    <n v="5"/>
    <n v="3"/>
    <n v="19"/>
    <n v="152784"/>
    <n v="2902896"/>
    <n v="870868.79999999993"/>
    <n v="0.3"/>
    <x v="4"/>
    <s v="Accessories"/>
    <x v="0"/>
    <x v="0"/>
  </r>
  <r>
    <n v="731"/>
    <x v="313"/>
    <x v="0"/>
    <n v="2"/>
    <n v="3"/>
    <n v="8"/>
    <n v="348616"/>
    <n v="2788928"/>
    <n v="836678.4"/>
    <n v="0.3"/>
    <x v="0"/>
    <s v="Electronics"/>
    <x v="0"/>
    <x v="0"/>
  </r>
  <r>
    <n v="732"/>
    <x v="123"/>
    <x v="4"/>
    <n v="3"/>
    <n v="2"/>
    <n v="20"/>
    <n v="50207"/>
    <n v="1004140"/>
    <n v="301242"/>
    <n v="0.3"/>
    <x v="2"/>
    <s v="Electronics"/>
    <x v="3"/>
    <x v="3"/>
  </r>
  <r>
    <n v="733"/>
    <x v="234"/>
    <x v="5"/>
    <n v="1"/>
    <n v="2"/>
    <n v="18"/>
    <n v="165172"/>
    <n v="2973096"/>
    <n v="891928.79999999993"/>
    <n v="0.3"/>
    <x v="3"/>
    <s v="Electronics"/>
    <x v="3"/>
    <x v="3"/>
  </r>
  <r>
    <n v="734"/>
    <x v="314"/>
    <x v="5"/>
    <n v="1"/>
    <n v="1"/>
    <n v="12"/>
    <n v="93068"/>
    <n v="1116816"/>
    <n v="335044.8"/>
    <n v="0.3"/>
    <x v="3"/>
    <s v="Electronics"/>
    <x v="2"/>
    <x v="2"/>
  </r>
  <r>
    <n v="735"/>
    <x v="15"/>
    <x v="9"/>
    <n v="3"/>
    <n v="1"/>
    <n v="20"/>
    <n v="304580"/>
    <n v="6091600"/>
    <n v="1827480"/>
    <n v="0.3"/>
    <x v="2"/>
    <s v="Electronics"/>
    <x v="2"/>
    <x v="2"/>
  </r>
  <r>
    <n v="736"/>
    <x v="165"/>
    <x v="5"/>
    <n v="4"/>
    <n v="3"/>
    <n v="9"/>
    <n v="276155"/>
    <n v="2485395"/>
    <n v="745618.5"/>
    <n v="0.3"/>
    <x v="1"/>
    <s v="Accessories"/>
    <x v="0"/>
    <x v="0"/>
  </r>
  <r>
    <n v="737"/>
    <x v="27"/>
    <x v="10"/>
    <n v="4"/>
    <n v="3"/>
    <n v="13"/>
    <n v="123522"/>
    <n v="1605786"/>
    <n v="481735.8"/>
    <n v="0.3"/>
    <x v="1"/>
    <s v="Accessories"/>
    <x v="0"/>
    <x v="0"/>
  </r>
  <r>
    <n v="738"/>
    <x v="52"/>
    <x v="3"/>
    <n v="1"/>
    <n v="4"/>
    <n v="14"/>
    <n v="269068"/>
    <n v="3766952"/>
    <n v="1130085.5999999999"/>
    <n v="0.3"/>
    <x v="3"/>
    <s v="Electronics"/>
    <x v="1"/>
    <x v="1"/>
  </r>
  <r>
    <n v="739"/>
    <x v="43"/>
    <x v="4"/>
    <n v="5"/>
    <n v="4"/>
    <n v="10"/>
    <n v="70779"/>
    <n v="707790"/>
    <n v="212337"/>
    <n v="0.3"/>
    <x v="4"/>
    <s v="Accessories"/>
    <x v="1"/>
    <x v="1"/>
  </r>
  <r>
    <n v="740"/>
    <x v="36"/>
    <x v="9"/>
    <n v="5"/>
    <n v="3"/>
    <n v="8"/>
    <n v="269320"/>
    <n v="2154560"/>
    <n v="646368"/>
    <n v="0.3"/>
    <x v="4"/>
    <s v="Accessories"/>
    <x v="0"/>
    <x v="0"/>
  </r>
  <r>
    <n v="741"/>
    <x v="95"/>
    <x v="6"/>
    <n v="3"/>
    <n v="1"/>
    <n v="7"/>
    <n v="364719"/>
    <n v="2553033"/>
    <n v="765909.9"/>
    <n v="0.3"/>
    <x v="2"/>
    <s v="Electronics"/>
    <x v="2"/>
    <x v="2"/>
  </r>
  <r>
    <n v="742"/>
    <x v="130"/>
    <x v="2"/>
    <n v="5"/>
    <n v="1"/>
    <n v="4"/>
    <n v="293565"/>
    <n v="1174260"/>
    <n v="352278"/>
    <n v="0.3"/>
    <x v="4"/>
    <s v="Accessories"/>
    <x v="2"/>
    <x v="2"/>
  </r>
  <r>
    <n v="743"/>
    <x v="310"/>
    <x v="11"/>
    <n v="2"/>
    <n v="2"/>
    <n v="15"/>
    <n v="180537"/>
    <n v="2708055"/>
    <n v="812416.5"/>
    <n v="0.3"/>
    <x v="0"/>
    <s v="Electronics"/>
    <x v="3"/>
    <x v="3"/>
  </r>
  <r>
    <n v="744"/>
    <x v="70"/>
    <x v="0"/>
    <n v="4"/>
    <n v="1"/>
    <n v="17"/>
    <n v="190524"/>
    <n v="3238908"/>
    <n v="971672.39999999991"/>
    <n v="0.3"/>
    <x v="1"/>
    <s v="Accessories"/>
    <x v="2"/>
    <x v="2"/>
  </r>
  <r>
    <n v="745"/>
    <x v="39"/>
    <x v="0"/>
    <n v="3"/>
    <n v="3"/>
    <n v="7"/>
    <n v="176195"/>
    <n v="1233365"/>
    <n v="370009.5"/>
    <n v="0.3"/>
    <x v="2"/>
    <s v="Electronics"/>
    <x v="0"/>
    <x v="0"/>
  </r>
  <r>
    <n v="746"/>
    <x v="248"/>
    <x v="4"/>
    <n v="3"/>
    <n v="3"/>
    <n v="7"/>
    <n v="242884"/>
    <n v="1700188"/>
    <n v="510056.39999999997"/>
    <n v="0.3"/>
    <x v="2"/>
    <s v="Electronics"/>
    <x v="0"/>
    <x v="0"/>
  </r>
  <r>
    <n v="747"/>
    <x v="219"/>
    <x v="0"/>
    <n v="5"/>
    <n v="4"/>
    <n v="13"/>
    <n v="158716"/>
    <n v="2063308"/>
    <n v="618992.4"/>
    <n v="0.3"/>
    <x v="4"/>
    <s v="Accessories"/>
    <x v="1"/>
    <x v="1"/>
  </r>
  <r>
    <n v="748"/>
    <x v="107"/>
    <x v="11"/>
    <n v="3"/>
    <n v="2"/>
    <n v="3"/>
    <n v="349613"/>
    <n v="1048839"/>
    <n v="314651.7"/>
    <n v="0.3"/>
    <x v="2"/>
    <s v="Electronics"/>
    <x v="3"/>
    <x v="3"/>
  </r>
  <r>
    <n v="749"/>
    <x v="112"/>
    <x v="8"/>
    <n v="1"/>
    <n v="3"/>
    <n v="2"/>
    <n v="130345"/>
    <n v="260690"/>
    <n v="78207"/>
    <n v="0.3"/>
    <x v="3"/>
    <s v="Electronics"/>
    <x v="0"/>
    <x v="0"/>
  </r>
  <r>
    <n v="750"/>
    <x v="315"/>
    <x v="2"/>
    <n v="1"/>
    <n v="3"/>
    <n v="2"/>
    <n v="138237"/>
    <n v="276474"/>
    <n v="82942.2"/>
    <n v="0.3"/>
    <x v="3"/>
    <s v="Electronics"/>
    <x v="0"/>
    <x v="0"/>
  </r>
  <r>
    <n v="751"/>
    <x v="253"/>
    <x v="4"/>
    <n v="3"/>
    <n v="2"/>
    <n v="13"/>
    <n v="52407"/>
    <n v="681291"/>
    <n v="204387.3"/>
    <n v="0.3"/>
    <x v="2"/>
    <s v="Electronics"/>
    <x v="3"/>
    <x v="3"/>
  </r>
  <r>
    <n v="752"/>
    <x v="142"/>
    <x v="3"/>
    <n v="5"/>
    <n v="4"/>
    <n v="15"/>
    <n v="224937"/>
    <n v="3374055"/>
    <n v="1012216.5"/>
    <n v="0.3"/>
    <x v="4"/>
    <s v="Accessories"/>
    <x v="1"/>
    <x v="1"/>
  </r>
  <r>
    <n v="753"/>
    <x v="141"/>
    <x v="9"/>
    <n v="2"/>
    <n v="4"/>
    <n v="19"/>
    <n v="300385"/>
    <n v="5707315"/>
    <n v="1712194.5"/>
    <n v="0.3"/>
    <x v="0"/>
    <s v="Electronics"/>
    <x v="1"/>
    <x v="1"/>
  </r>
  <r>
    <n v="754"/>
    <x v="152"/>
    <x v="2"/>
    <n v="4"/>
    <n v="1"/>
    <n v="20"/>
    <n v="334243"/>
    <n v="6684860"/>
    <n v="2005458"/>
    <n v="0.3"/>
    <x v="1"/>
    <s v="Accessories"/>
    <x v="2"/>
    <x v="2"/>
  </r>
  <r>
    <n v="755"/>
    <x v="105"/>
    <x v="11"/>
    <n v="1"/>
    <n v="4"/>
    <n v="11"/>
    <n v="307178"/>
    <n v="3378958"/>
    <n v="1013687.3999999999"/>
    <n v="0.3"/>
    <x v="3"/>
    <s v="Electronics"/>
    <x v="1"/>
    <x v="1"/>
  </r>
  <r>
    <n v="756"/>
    <x v="316"/>
    <x v="11"/>
    <n v="2"/>
    <n v="2"/>
    <n v="6"/>
    <n v="103237"/>
    <n v="619422"/>
    <n v="185826.6"/>
    <n v="0.3"/>
    <x v="0"/>
    <s v="Electronics"/>
    <x v="3"/>
    <x v="3"/>
  </r>
  <r>
    <n v="757"/>
    <x v="209"/>
    <x v="5"/>
    <n v="2"/>
    <n v="3"/>
    <n v="20"/>
    <n v="384664"/>
    <n v="7693280"/>
    <n v="2307984"/>
    <n v="0.3"/>
    <x v="0"/>
    <s v="Electronics"/>
    <x v="0"/>
    <x v="0"/>
  </r>
  <r>
    <n v="758"/>
    <x v="220"/>
    <x v="10"/>
    <n v="3"/>
    <n v="1"/>
    <n v="2"/>
    <n v="376338"/>
    <n v="752676"/>
    <n v="225802.8"/>
    <n v="0.3"/>
    <x v="2"/>
    <s v="Electronics"/>
    <x v="2"/>
    <x v="2"/>
  </r>
  <r>
    <n v="759"/>
    <x v="165"/>
    <x v="5"/>
    <n v="5"/>
    <n v="1"/>
    <n v="5"/>
    <n v="80489"/>
    <n v="402445"/>
    <n v="120733.5"/>
    <n v="0.3"/>
    <x v="4"/>
    <s v="Accessories"/>
    <x v="2"/>
    <x v="2"/>
  </r>
  <r>
    <n v="760"/>
    <x v="317"/>
    <x v="10"/>
    <n v="5"/>
    <n v="3"/>
    <n v="19"/>
    <n v="71882"/>
    <n v="1365758"/>
    <n v="409727.39999999997"/>
    <n v="0.3"/>
    <x v="4"/>
    <s v="Accessories"/>
    <x v="0"/>
    <x v="0"/>
  </r>
  <r>
    <n v="761"/>
    <x v="255"/>
    <x v="11"/>
    <n v="2"/>
    <n v="2"/>
    <n v="11"/>
    <n v="174407"/>
    <n v="1918477"/>
    <n v="575543.1"/>
    <n v="0.3"/>
    <x v="0"/>
    <s v="Electronics"/>
    <x v="3"/>
    <x v="3"/>
  </r>
  <r>
    <n v="762"/>
    <x v="276"/>
    <x v="9"/>
    <n v="2"/>
    <n v="2"/>
    <n v="7"/>
    <n v="150578"/>
    <n v="1054046"/>
    <n v="316213.8"/>
    <n v="0.3"/>
    <x v="0"/>
    <s v="Electronics"/>
    <x v="3"/>
    <x v="3"/>
  </r>
  <r>
    <n v="763"/>
    <x v="289"/>
    <x v="7"/>
    <n v="2"/>
    <n v="2"/>
    <n v="7"/>
    <n v="386841"/>
    <n v="2707887"/>
    <n v="812366.1"/>
    <n v="0.3"/>
    <x v="0"/>
    <s v="Electronics"/>
    <x v="3"/>
    <x v="3"/>
  </r>
  <r>
    <n v="764"/>
    <x v="101"/>
    <x v="3"/>
    <n v="5"/>
    <n v="2"/>
    <n v="17"/>
    <n v="248130"/>
    <n v="4218210"/>
    <n v="1265463"/>
    <n v="0.3"/>
    <x v="4"/>
    <s v="Accessories"/>
    <x v="3"/>
    <x v="3"/>
  </r>
  <r>
    <n v="765"/>
    <x v="252"/>
    <x v="11"/>
    <n v="5"/>
    <n v="2"/>
    <n v="9"/>
    <n v="181391"/>
    <n v="1632519"/>
    <n v="489755.69999999995"/>
    <n v="0.3"/>
    <x v="4"/>
    <s v="Accessories"/>
    <x v="3"/>
    <x v="3"/>
  </r>
  <r>
    <n v="766"/>
    <x v="303"/>
    <x v="1"/>
    <n v="1"/>
    <n v="4"/>
    <n v="12"/>
    <n v="292313"/>
    <n v="3507756"/>
    <n v="1052326.8"/>
    <n v="0.3"/>
    <x v="3"/>
    <s v="Electronics"/>
    <x v="1"/>
    <x v="1"/>
  </r>
  <r>
    <n v="767"/>
    <x v="7"/>
    <x v="6"/>
    <n v="3"/>
    <n v="4"/>
    <n v="15"/>
    <n v="380427"/>
    <n v="5706405"/>
    <n v="1711921.5"/>
    <n v="0.3"/>
    <x v="2"/>
    <s v="Electronics"/>
    <x v="1"/>
    <x v="1"/>
  </r>
  <r>
    <n v="768"/>
    <x v="318"/>
    <x v="6"/>
    <n v="3"/>
    <n v="2"/>
    <n v="1"/>
    <n v="172481"/>
    <n v="172481"/>
    <n v="51744.299999999996"/>
    <n v="0.3"/>
    <x v="2"/>
    <s v="Electronics"/>
    <x v="3"/>
    <x v="3"/>
  </r>
  <r>
    <n v="769"/>
    <x v="130"/>
    <x v="2"/>
    <n v="1"/>
    <n v="4"/>
    <n v="4"/>
    <n v="54659"/>
    <n v="218636"/>
    <n v="65590.8"/>
    <n v="0.3"/>
    <x v="3"/>
    <s v="Electronics"/>
    <x v="1"/>
    <x v="1"/>
  </r>
  <r>
    <n v="770"/>
    <x v="152"/>
    <x v="2"/>
    <n v="2"/>
    <n v="1"/>
    <n v="14"/>
    <n v="100900"/>
    <n v="1412600"/>
    <n v="423780"/>
    <n v="0.3"/>
    <x v="0"/>
    <s v="Electronics"/>
    <x v="2"/>
    <x v="2"/>
  </r>
  <r>
    <n v="771"/>
    <x v="175"/>
    <x v="8"/>
    <n v="1"/>
    <n v="3"/>
    <n v="4"/>
    <n v="124213"/>
    <n v="496852"/>
    <n v="149055.6"/>
    <n v="0.3"/>
    <x v="3"/>
    <s v="Electronics"/>
    <x v="0"/>
    <x v="0"/>
  </r>
  <r>
    <n v="772"/>
    <x v="319"/>
    <x v="7"/>
    <n v="1"/>
    <n v="1"/>
    <n v="17"/>
    <n v="309836"/>
    <n v="5267212"/>
    <n v="1580163.5999999999"/>
    <n v="0.3"/>
    <x v="3"/>
    <s v="Electronics"/>
    <x v="2"/>
    <x v="2"/>
  </r>
  <r>
    <n v="773"/>
    <x v="244"/>
    <x v="8"/>
    <n v="3"/>
    <n v="4"/>
    <n v="5"/>
    <n v="292889"/>
    <n v="1464445"/>
    <n v="439333.5"/>
    <n v="0.3"/>
    <x v="2"/>
    <s v="Electronics"/>
    <x v="1"/>
    <x v="1"/>
  </r>
  <r>
    <n v="774"/>
    <x v="171"/>
    <x v="11"/>
    <n v="4"/>
    <n v="4"/>
    <n v="10"/>
    <n v="230312"/>
    <n v="2303120"/>
    <n v="690936"/>
    <n v="0.3"/>
    <x v="1"/>
    <s v="Accessories"/>
    <x v="1"/>
    <x v="1"/>
  </r>
  <r>
    <n v="775"/>
    <x v="320"/>
    <x v="2"/>
    <n v="1"/>
    <n v="1"/>
    <n v="4"/>
    <n v="295948"/>
    <n v="1183792"/>
    <n v="355137.6"/>
    <n v="0.3"/>
    <x v="3"/>
    <s v="Electronics"/>
    <x v="2"/>
    <x v="2"/>
  </r>
  <r>
    <n v="776"/>
    <x v="95"/>
    <x v="6"/>
    <n v="1"/>
    <n v="3"/>
    <n v="16"/>
    <n v="64482"/>
    <n v="1031712"/>
    <n v="309513.59999999998"/>
    <n v="0.3"/>
    <x v="3"/>
    <s v="Electronics"/>
    <x v="0"/>
    <x v="0"/>
  </r>
  <r>
    <n v="777"/>
    <x v="43"/>
    <x v="4"/>
    <n v="5"/>
    <n v="1"/>
    <n v="4"/>
    <n v="252207"/>
    <n v="1008828"/>
    <n v="302648.39999999997"/>
    <n v="0.3"/>
    <x v="4"/>
    <s v="Accessories"/>
    <x v="2"/>
    <x v="2"/>
  </r>
  <r>
    <n v="778"/>
    <x v="116"/>
    <x v="4"/>
    <n v="1"/>
    <n v="1"/>
    <n v="13"/>
    <n v="214242"/>
    <n v="2785146"/>
    <n v="835543.79999999993"/>
    <n v="0.3"/>
    <x v="3"/>
    <s v="Electronics"/>
    <x v="2"/>
    <x v="2"/>
  </r>
  <r>
    <n v="779"/>
    <x v="163"/>
    <x v="8"/>
    <n v="4"/>
    <n v="1"/>
    <n v="12"/>
    <n v="303922"/>
    <n v="3647064"/>
    <n v="1094119.2"/>
    <n v="0.3"/>
    <x v="1"/>
    <s v="Accessories"/>
    <x v="2"/>
    <x v="2"/>
  </r>
  <r>
    <n v="780"/>
    <x v="74"/>
    <x v="2"/>
    <n v="1"/>
    <n v="4"/>
    <n v="10"/>
    <n v="191668"/>
    <n v="1916680"/>
    <n v="575004"/>
    <n v="0.3"/>
    <x v="3"/>
    <s v="Electronics"/>
    <x v="1"/>
    <x v="1"/>
  </r>
  <r>
    <n v="781"/>
    <x v="178"/>
    <x v="6"/>
    <n v="4"/>
    <n v="2"/>
    <n v="4"/>
    <n v="293700"/>
    <n v="1174800"/>
    <n v="352440"/>
    <n v="0.3"/>
    <x v="1"/>
    <s v="Accessories"/>
    <x v="3"/>
    <x v="3"/>
  </r>
  <r>
    <n v="782"/>
    <x v="12"/>
    <x v="7"/>
    <n v="4"/>
    <n v="1"/>
    <n v="20"/>
    <n v="95098"/>
    <n v="1901960"/>
    <n v="570588"/>
    <n v="0.3"/>
    <x v="1"/>
    <s v="Accessories"/>
    <x v="2"/>
    <x v="2"/>
  </r>
  <r>
    <n v="783"/>
    <x v="254"/>
    <x v="0"/>
    <n v="3"/>
    <n v="4"/>
    <n v="5"/>
    <n v="71718"/>
    <n v="358590"/>
    <n v="107577"/>
    <n v="0.3"/>
    <x v="2"/>
    <s v="Electronics"/>
    <x v="1"/>
    <x v="1"/>
  </r>
  <r>
    <n v="784"/>
    <x v="321"/>
    <x v="8"/>
    <n v="3"/>
    <n v="1"/>
    <n v="8"/>
    <n v="260902"/>
    <n v="2087216"/>
    <n v="626164.79999999993"/>
    <n v="0.3"/>
    <x v="2"/>
    <s v="Electronics"/>
    <x v="2"/>
    <x v="2"/>
  </r>
  <r>
    <n v="785"/>
    <x v="158"/>
    <x v="4"/>
    <n v="4"/>
    <n v="2"/>
    <n v="10"/>
    <n v="315579"/>
    <n v="3155790"/>
    <n v="946737"/>
    <n v="0.3"/>
    <x v="1"/>
    <s v="Accessories"/>
    <x v="3"/>
    <x v="3"/>
  </r>
  <r>
    <n v="786"/>
    <x v="124"/>
    <x v="7"/>
    <n v="1"/>
    <n v="1"/>
    <n v="19"/>
    <n v="175651"/>
    <n v="3337369"/>
    <n v="1001210.7"/>
    <n v="0.3"/>
    <x v="3"/>
    <s v="Electronics"/>
    <x v="2"/>
    <x v="2"/>
  </r>
  <r>
    <n v="787"/>
    <x v="322"/>
    <x v="3"/>
    <n v="1"/>
    <n v="4"/>
    <n v="11"/>
    <n v="294761"/>
    <n v="3242371"/>
    <n v="972711.29999999993"/>
    <n v="0.3"/>
    <x v="3"/>
    <s v="Electronics"/>
    <x v="1"/>
    <x v="1"/>
  </r>
  <r>
    <n v="788"/>
    <x v="200"/>
    <x v="10"/>
    <n v="2"/>
    <n v="1"/>
    <n v="20"/>
    <n v="73303"/>
    <n v="1466060"/>
    <n v="439818"/>
    <n v="0.3"/>
    <x v="0"/>
    <s v="Electronics"/>
    <x v="2"/>
    <x v="2"/>
  </r>
  <r>
    <n v="789"/>
    <x v="53"/>
    <x v="8"/>
    <n v="5"/>
    <n v="2"/>
    <n v="12"/>
    <n v="191746"/>
    <n v="2300952"/>
    <n v="690285.6"/>
    <n v="0.3"/>
    <x v="4"/>
    <s v="Accessories"/>
    <x v="3"/>
    <x v="3"/>
  </r>
  <r>
    <n v="790"/>
    <x v="296"/>
    <x v="7"/>
    <n v="2"/>
    <n v="3"/>
    <n v="8"/>
    <n v="111725"/>
    <n v="893800"/>
    <n v="268140"/>
    <n v="0.3"/>
    <x v="0"/>
    <s v="Electronics"/>
    <x v="0"/>
    <x v="0"/>
  </r>
  <r>
    <n v="791"/>
    <x v="138"/>
    <x v="11"/>
    <n v="3"/>
    <n v="4"/>
    <n v="9"/>
    <n v="249295"/>
    <n v="2243655"/>
    <n v="673096.5"/>
    <n v="0.3"/>
    <x v="2"/>
    <s v="Electronics"/>
    <x v="1"/>
    <x v="1"/>
  </r>
  <r>
    <n v="792"/>
    <x v="205"/>
    <x v="4"/>
    <n v="2"/>
    <n v="1"/>
    <n v="7"/>
    <n v="229657"/>
    <n v="1607599"/>
    <n v="482279.69999999995"/>
    <n v="0.3"/>
    <x v="0"/>
    <s v="Electronics"/>
    <x v="2"/>
    <x v="2"/>
  </r>
  <r>
    <n v="793"/>
    <x v="88"/>
    <x v="1"/>
    <n v="3"/>
    <n v="3"/>
    <n v="6"/>
    <n v="299855"/>
    <n v="1799130"/>
    <n v="539739"/>
    <n v="0.3"/>
    <x v="2"/>
    <s v="Electronics"/>
    <x v="0"/>
    <x v="0"/>
  </r>
  <r>
    <n v="794"/>
    <x v="102"/>
    <x v="6"/>
    <n v="5"/>
    <n v="2"/>
    <n v="15"/>
    <n v="399421"/>
    <n v="5991315"/>
    <n v="1797394.5"/>
    <n v="0.3"/>
    <x v="4"/>
    <s v="Accessories"/>
    <x v="3"/>
    <x v="3"/>
  </r>
  <r>
    <n v="795"/>
    <x v="137"/>
    <x v="2"/>
    <n v="1"/>
    <n v="3"/>
    <n v="14"/>
    <n v="395122"/>
    <n v="5531708"/>
    <n v="1659512.4"/>
    <n v="0.3"/>
    <x v="3"/>
    <s v="Electronics"/>
    <x v="0"/>
    <x v="0"/>
  </r>
  <r>
    <n v="796"/>
    <x v="241"/>
    <x v="5"/>
    <n v="4"/>
    <n v="2"/>
    <n v="18"/>
    <n v="353657"/>
    <n v="6365826"/>
    <n v="1909747.7999999998"/>
    <n v="0.3"/>
    <x v="1"/>
    <s v="Accessories"/>
    <x v="3"/>
    <x v="3"/>
  </r>
  <r>
    <n v="797"/>
    <x v="5"/>
    <x v="1"/>
    <n v="5"/>
    <n v="4"/>
    <n v="18"/>
    <n v="170509"/>
    <n v="3069162"/>
    <n v="920748.6"/>
    <n v="0.3"/>
    <x v="4"/>
    <s v="Accessories"/>
    <x v="1"/>
    <x v="1"/>
  </r>
  <r>
    <n v="798"/>
    <x v="105"/>
    <x v="11"/>
    <n v="5"/>
    <n v="2"/>
    <n v="11"/>
    <n v="258253"/>
    <n v="2840783"/>
    <n v="852234.9"/>
    <n v="0.3"/>
    <x v="4"/>
    <s v="Accessories"/>
    <x v="3"/>
    <x v="3"/>
  </r>
  <r>
    <n v="799"/>
    <x v="323"/>
    <x v="9"/>
    <n v="2"/>
    <n v="1"/>
    <n v="2"/>
    <n v="87278"/>
    <n v="174556"/>
    <n v="52366.799999999996"/>
    <n v="0.3"/>
    <x v="0"/>
    <s v="Electronics"/>
    <x v="2"/>
    <x v="2"/>
  </r>
  <r>
    <n v="800"/>
    <x v="111"/>
    <x v="10"/>
    <n v="1"/>
    <n v="2"/>
    <n v="14"/>
    <n v="263298"/>
    <n v="3686172"/>
    <n v="1105851.5999999999"/>
    <n v="0.3"/>
    <x v="3"/>
    <s v="Electronics"/>
    <x v="3"/>
    <x v="3"/>
  </r>
  <r>
    <n v="801"/>
    <x v="189"/>
    <x v="3"/>
    <n v="1"/>
    <n v="2"/>
    <n v="15"/>
    <n v="289675"/>
    <n v="4345125"/>
    <n v="1303537.5"/>
    <n v="0.3"/>
    <x v="3"/>
    <s v="Electronics"/>
    <x v="3"/>
    <x v="3"/>
  </r>
  <r>
    <n v="802"/>
    <x v="137"/>
    <x v="2"/>
    <n v="5"/>
    <n v="1"/>
    <n v="12"/>
    <n v="184851"/>
    <n v="2218212"/>
    <n v="665463.6"/>
    <n v="0.3"/>
    <x v="4"/>
    <s v="Accessories"/>
    <x v="2"/>
    <x v="2"/>
  </r>
  <r>
    <n v="803"/>
    <x v="287"/>
    <x v="10"/>
    <n v="4"/>
    <n v="1"/>
    <n v="20"/>
    <n v="112622"/>
    <n v="2252440"/>
    <n v="675732"/>
    <n v="0.3"/>
    <x v="1"/>
    <s v="Accessories"/>
    <x v="2"/>
    <x v="2"/>
  </r>
  <r>
    <n v="804"/>
    <x v="224"/>
    <x v="8"/>
    <n v="2"/>
    <n v="4"/>
    <n v="19"/>
    <n v="150606"/>
    <n v="2861514"/>
    <n v="858454.2"/>
    <n v="0.3"/>
    <x v="0"/>
    <s v="Electronics"/>
    <x v="1"/>
    <x v="1"/>
  </r>
  <r>
    <n v="805"/>
    <x v="251"/>
    <x v="5"/>
    <n v="2"/>
    <n v="2"/>
    <n v="8"/>
    <n v="176758"/>
    <n v="1414064"/>
    <n v="424219.2"/>
    <n v="0.3"/>
    <x v="0"/>
    <s v="Electronics"/>
    <x v="3"/>
    <x v="3"/>
  </r>
  <r>
    <n v="806"/>
    <x v="140"/>
    <x v="1"/>
    <n v="2"/>
    <n v="3"/>
    <n v="11"/>
    <n v="113863"/>
    <n v="1252493"/>
    <n v="375747.89999999997"/>
    <n v="0.3"/>
    <x v="0"/>
    <s v="Electronics"/>
    <x v="0"/>
    <x v="0"/>
  </r>
  <r>
    <n v="807"/>
    <x v="324"/>
    <x v="11"/>
    <n v="1"/>
    <n v="3"/>
    <n v="9"/>
    <n v="141111"/>
    <n v="1269999"/>
    <n v="380999.7"/>
    <n v="0.3"/>
    <x v="3"/>
    <s v="Electronics"/>
    <x v="0"/>
    <x v="0"/>
  </r>
  <r>
    <n v="808"/>
    <x v="13"/>
    <x v="3"/>
    <n v="5"/>
    <n v="1"/>
    <n v="7"/>
    <n v="247661"/>
    <n v="1733627"/>
    <n v="520088.1"/>
    <n v="0.3"/>
    <x v="4"/>
    <s v="Accessories"/>
    <x v="2"/>
    <x v="2"/>
  </r>
  <r>
    <n v="809"/>
    <x v="255"/>
    <x v="11"/>
    <n v="1"/>
    <n v="3"/>
    <n v="6"/>
    <n v="86531"/>
    <n v="519186"/>
    <n v="155755.79999999999"/>
    <n v="0.3"/>
    <x v="3"/>
    <s v="Electronics"/>
    <x v="0"/>
    <x v="0"/>
  </r>
  <r>
    <n v="810"/>
    <x v="317"/>
    <x v="10"/>
    <n v="1"/>
    <n v="2"/>
    <n v="12"/>
    <n v="327799"/>
    <n v="3933588"/>
    <n v="1180076.3999999999"/>
    <n v="0.3"/>
    <x v="3"/>
    <s v="Electronics"/>
    <x v="3"/>
    <x v="3"/>
  </r>
  <r>
    <n v="811"/>
    <x v="291"/>
    <x v="0"/>
    <n v="2"/>
    <n v="2"/>
    <n v="1"/>
    <n v="310142"/>
    <n v="310142"/>
    <n v="93042.599999999991"/>
    <n v="0.3"/>
    <x v="0"/>
    <s v="Electronics"/>
    <x v="3"/>
    <x v="3"/>
  </r>
  <r>
    <n v="812"/>
    <x v="227"/>
    <x v="6"/>
    <n v="3"/>
    <n v="1"/>
    <n v="19"/>
    <n v="74703"/>
    <n v="1419357"/>
    <n v="425807.1"/>
    <n v="0.3"/>
    <x v="2"/>
    <s v="Electronics"/>
    <x v="2"/>
    <x v="2"/>
  </r>
  <r>
    <n v="813"/>
    <x v="325"/>
    <x v="7"/>
    <n v="2"/>
    <n v="3"/>
    <n v="13"/>
    <n v="320471"/>
    <n v="4166123"/>
    <n v="1249836.8999999999"/>
    <n v="0.3"/>
    <x v="0"/>
    <s v="Electronics"/>
    <x v="0"/>
    <x v="0"/>
  </r>
  <r>
    <n v="814"/>
    <x v="14"/>
    <x v="8"/>
    <n v="2"/>
    <n v="3"/>
    <n v="20"/>
    <n v="150598"/>
    <n v="3011960"/>
    <n v="903588"/>
    <n v="0.3"/>
    <x v="0"/>
    <s v="Electronics"/>
    <x v="0"/>
    <x v="0"/>
  </r>
  <r>
    <n v="815"/>
    <x v="8"/>
    <x v="3"/>
    <n v="2"/>
    <n v="3"/>
    <n v="12"/>
    <n v="229161"/>
    <n v="2749932"/>
    <n v="824979.6"/>
    <n v="0.3"/>
    <x v="0"/>
    <s v="Electronics"/>
    <x v="0"/>
    <x v="0"/>
  </r>
  <r>
    <n v="816"/>
    <x v="165"/>
    <x v="5"/>
    <n v="5"/>
    <n v="3"/>
    <n v="10"/>
    <n v="397201"/>
    <n v="3972010"/>
    <n v="1191603"/>
    <n v="0.3"/>
    <x v="4"/>
    <s v="Accessories"/>
    <x v="0"/>
    <x v="0"/>
  </r>
  <r>
    <n v="817"/>
    <x v="177"/>
    <x v="6"/>
    <n v="5"/>
    <n v="2"/>
    <n v="8"/>
    <n v="375876"/>
    <n v="3007008"/>
    <n v="902102.4"/>
    <n v="0.3"/>
    <x v="4"/>
    <s v="Accessories"/>
    <x v="3"/>
    <x v="3"/>
  </r>
  <r>
    <n v="818"/>
    <x v="122"/>
    <x v="10"/>
    <n v="3"/>
    <n v="1"/>
    <n v="6"/>
    <n v="326461"/>
    <n v="1958766"/>
    <n v="587629.79999999993"/>
    <n v="0.3"/>
    <x v="2"/>
    <s v="Electronics"/>
    <x v="2"/>
    <x v="2"/>
  </r>
  <r>
    <n v="819"/>
    <x v="150"/>
    <x v="0"/>
    <n v="3"/>
    <n v="2"/>
    <n v="8"/>
    <n v="198456"/>
    <n v="1587648"/>
    <n v="476294.39999999997"/>
    <n v="0.3"/>
    <x v="2"/>
    <s v="Electronics"/>
    <x v="3"/>
    <x v="3"/>
  </r>
  <r>
    <n v="820"/>
    <x v="38"/>
    <x v="11"/>
    <n v="3"/>
    <n v="2"/>
    <n v="3"/>
    <n v="253739"/>
    <n v="761217"/>
    <n v="228365.1"/>
    <n v="0.3"/>
    <x v="2"/>
    <s v="Electronics"/>
    <x v="3"/>
    <x v="3"/>
  </r>
  <r>
    <n v="821"/>
    <x v="4"/>
    <x v="4"/>
    <n v="2"/>
    <n v="1"/>
    <n v="14"/>
    <n v="332740"/>
    <n v="4658360"/>
    <n v="1397508"/>
    <n v="0.3"/>
    <x v="0"/>
    <s v="Electronics"/>
    <x v="2"/>
    <x v="2"/>
  </r>
  <r>
    <n v="822"/>
    <x v="251"/>
    <x v="5"/>
    <n v="1"/>
    <n v="1"/>
    <n v="16"/>
    <n v="391639"/>
    <n v="6266224"/>
    <n v="1879867.2"/>
    <n v="0.3"/>
    <x v="3"/>
    <s v="Electronics"/>
    <x v="2"/>
    <x v="2"/>
  </r>
  <r>
    <n v="823"/>
    <x v="132"/>
    <x v="2"/>
    <n v="5"/>
    <n v="3"/>
    <n v="16"/>
    <n v="304380"/>
    <n v="4870080"/>
    <n v="1461024"/>
    <n v="0.3"/>
    <x v="4"/>
    <s v="Accessories"/>
    <x v="0"/>
    <x v="0"/>
  </r>
  <r>
    <n v="824"/>
    <x v="326"/>
    <x v="6"/>
    <n v="3"/>
    <n v="1"/>
    <n v="2"/>
    <n v="117228"/>
    <n v="234456"/>
    <n v="70336.800000000003"/>
    <n v="0.3"/>
    <x v="2"/>
    <s v="Electronics"/>
    <x v="2"/>
    <x v="2"/>
  </r>
  <r>
    <n v="825"/>
    <x v="173"/>
    <x v="2"/>
    <n v="4"/>
    <n v="2"/>
    <n v="9"/>
    <n v="212622"/>
    <n v="1913598"/>
    <n v="574079.4"/>
    <n v="0.3"/>
    <x v="1"/>
    <s v="Accessories"/>
    <x v="3"/>
    <x v="3"/>
  </r>
  <r>
    <n v="826"/>
    <x v="108"/>
    <x v="1"/>
    <n v="2"/>
    <n v="1"/>
    <n v="18"/>
    <n v="65711"/>
    <n v="1182798"/>
    <n v="354839.39999999997"/>
    <n v="0.3"/>
    <x v="0"/>
    <s v="Electronics"/>
    <x v="2"/>
    <x v="2"/>
  </r>
  <r>
    <n v="827"/>
    <x v="25"/>
    <x v="7"/>
    <n v="4"/>
    <n v="4"/>
    <n v="20"/>
    <n v="273444"/>
    <n v="5468880"/>
    <n v="1640664"/>
    <n v="0.3"/>
    <x v="1"/>
    <s v="Accessories"/>
    <x v="1"/>
    <x v="1"/>
  </r>
  <r>
    <n v="828"/>
    <x v="13"/>
    <x v="3"/>
    <n v="4"/>
    <n v="2"/>
    <n v="11"/>
    <n v="278310"/>
    <n v="3061410"/>
    <n v="918423"/>
    <n v="0.3"/>
    <x v="1"/>
    <s v="Accessories"/>
    <x v="3"/>
    <x v="3"/>
  </r>
  <r>
    <n v="829"/>
    <x v="292"/>
    <x v="11"/>
    <n v="5"/>
    <n v="2"/>
    <n v="7"/>
    <n v="85391"/>
    <n v="597737"/>
    <n v="179321.1"/>
    <n v="0.3"/>
    <x v="4"/>
    <s v="Accessories"/>
    <x v="3"/>
    <x v="3"/>
  </r>
  <r>
    <n v="830"/>
    <x v="111"/>
    <x v="10"/>
    <n v="5"/>
    <n v="3"/>
    <n v="19"/>
    <n v="299874"/>
    <n v="5697606"/>
    <n v="1709281.8"/>
    <n v="0.3"/>
    <x v="4"/>
    <s v="Accessories"/>
    <x v="0"/>
    <x v="0"/>
  </r>
  <r>
    <n v="831"/>
    <x v="58"/>
    <x v="3"/>
    <n v="2"/>
    <n v="1"/>
    <n v="16"/>
    <n v="58616"/>
    <n v="937856"/>
    <n v="281356.79999999999"/>
    <n v="0.3"/>
    <x v="0"/>
    <s v="Electronics"/>
    <x v="2"/>
    <x v="2"/>
  </r>
  <r>
    <n v="832"/>
    <x v="327"/>
    <x v="0"/>
    <n v="2"/>
    <n v="4"/>
    <n v="18"/>
    <n v="340570"/>
    <n v="6130260"/>
    <n v="1839078"/>
    <n v="0.3"/>
    <x v="0"/>
    <s v="Electronics"/>
    <x v="1"/>
    <x v="1"/>
  </r>
  <r>
    <n v="833"/>
    <x v="66"/>
    <x v="4"/>
    <n v="2"/>
    <n v="3"/>
    <n v="7"/>
    <n v="136259"/>
    <n v="953813"/>
    <n v="286143.89999999997"/>
    <n v="0.3"/>
    <x v="0"/>
    <s v="Electronics"/>
    <x v="0"/>
    <x v="0"/>
  </r>
  <r>
    <n v="834"/>
    <x v="213"/>
    <x v="9"/>
    <n v="1"/>
    <n v="2"/>
    <n v="1"/>
    <n v="378602"/>
    <n v="378602"/>
    <n v="113580.59999999999"/>
    <n v="0.3"/>
    <x v="3"/>
    <s v="Electronics"/>
    <x v="3"/>
    <x v="3"/>
  </r>
  <r>
    <n v="835"/>
    <x v="312"/>
    <x v="7"/>
    <n v="1"/>
    <n v="1"/>
    <n v="20"/>
    <n v="188455"/>
    <n v="3769100"/>
    <n v="1130730"/>
    <n v="0.3"/>
    <x v="3"/>
    <s v="Electronics"/>
    <x v="2"/>
    <x v="2"/>
  </r>
  <r>
    <n v="836"/>
    <x v="252"/>
    <x v="11"/>
    <n v="1"/>
    <n v="3"/>
    <n v="15"/>
    <n v="163795"/>
    <n v="2456925"/>
    <n v="737077.5"/>
    <n v="0.3"/>
    <x v="3"/>
    <s v="Electronics"/>
    <x v="0"/>
    <x v="0"/>
  </r>
  <r>
    <n v="837"/>
    <x v="29"/>
    <x v="8"/>
    <n v="4"/>
    <n v="2"/>
    <n v="10"/>
    <n v="373561"/>
    <n v="3735610"/>
    <n v="1120683"/>
    <n v="0.3"/>
    <x v="1"/>
    <s v="Accessories"/>
    <x v="3"/>
    <x v="3"/>
  </r>
  <r>
    <n v="838"/>
    <x v="247"/>
    <x v="10"/>
    <n v="1"/>
    <n v="1"/>
    <n v="12"/>
    <n v="177991"/>
    <n v="2135892"/>
    <n v="640767.6"/>
    <n v="0.3"/>
    <x v="3"/>
    <s v="Electronics"/>
    <x v="2"/>
    <x v="2"/>
  </r>
  <r>
    <n v="839"/>
    <x v="218"/>
    <x v="10"/>
    <n v="4"/>
    <n v="4"/>
    <n v="9"/>
    <n v="158661"/>
    <n v="1427949"/>
    <n v="428384.7"/>
    <n v="0.3"/>
    <x v="1"/>
    <s v="Accessories"/>
    <x v="1"/>
    <x v="1"/>
  </r>
  <r>
    <n v="840"/>
    <x v="157"/>
    <x v="7"/>
    <n v="4"/>
    <n v="1"/>
    <n v="4"/>
    <n v="369595"/>
    <n v="1478380"/>
    <n v="443514"/>
    <n v="0.3"/>
    <x v="1"/>
    <s v="Accessories"/>
    <x v="2"/>
    <x v="2"/>
  </r>
  <r>
    <n v="841"/>
    <x v="265"/>
    <x v="3"/>
    <n v="5"/>
    <n v="2"/>
    <n v="6"/>
    <n v="129001"/>
    <n v="774006"/>
    <n v="232201.8"/>
    <n v="0.3"/>
    <x v="4"/>
    <s v="Accessories"/>
    <x v="3"/>
    <x v="3"/>
  </r>
  <r>
    <n v="842"/>
    <x v="16"/>
    <x v="1"/>
    <n v="4"/>
    <n v="1"/>
    <n v="15"/>
    <n v="259369"/>
    <n v="3890535"/>
    <n v="1167160.5"/>
    <n v="0.3"/>
    <x v="1"/>
    <s v="Accessories"/>
    <x v="2"/>
    <x v="2"/>
  </r>
  <r>
    <n v="843"/>
    <x v="141"/>
    <x v="9"/>
    <n v="3"/>
    <n v="3"/>
    <n v="11"/>
    <n v="156063"/>
    <n v="1716693"/>
    <n v="515007.89999999997"/>
    <n v="0.3"/>
    <x v="2"/>
    <s v="Electronics"/>
    <x v="0"/>
    <x v="0"/>
  </r>
  <r>
    <n v="844"/>
    <x v="201"/>
    <x v="9"/>
    <n v="3"/>
    <n v="3"/>
    <n v="9"/>
    <n v="174641"/>
    <n v="1571769"/>
    <n v="471530.69999999995"/>
    <n v="0.3"/>
    <x v="2"/>
    <s v="Electronics"/>
    <x v="0"/>
    <x v="0"/>
  </r>
  <r>
    <n v="845"/>
    <x v="3"/>
    <x v="3"/>
    <n v="3"/>
    <n v="4"/>
    <n v="18"/>
    <n v="321940"/>
    <n v="5794920"/>
    <n v="1738476"/>
    <n v="0.3"/>
    <x v="2"/>
    <s v="Electronics"/>
    <x v="1"/>
    <x v="1"/>
  </r>
  <r>
    <n v="846"/>
    <x v="231"/>
    <x v="10"/>
    <n v="2"/>
    <n v="2"/>
    <n v="4"/>
    <n v="156864"/>
    <n v="627456"/>
    <n v="188236.79999999999"/>
    <n v="0.3"/>
    <x v="0"/>
    <s v="Electronics"/>
    <x v="3"/>
    <x v="3"/>
  </r>
  <r>
    <n v="847"/>
    <x v="266"/>
    <x v="4"/>
    <n v="1"/>
    <n v="3"/>
    <n v="20"/>
    <n v="376702"/>
    <n v="7534040"/>
    <n v="2260212"/>
    <n v="0.3"/>
    <x v="3"/>
    <s v="Electronics"/>
    <x v="0"/>
    <x v="0"/>
  </r>
  <r>
    <n v="848"/>
    <x v="126"/>
    <x v="4"/>
    <n v="3"/>
    <n v="3"/>
    <n v="14"/>
    <n v="379790"/>
    <n v="5317060"/>
    <n v="1595118"/>
    <n v="0.3"/>
    <x v="2"/>
    <s v="Electronics"/>
    <x v="0"/>
    <x v="0"/>
  </r>
  <r>
    <n v="849"/>
    <x v="168"/>
    <x v="10"/>
    <n v="3"/>
    <n v="2"/>
    <n v="2"/>
    <n v="136163"/>
    <n v="272326"/>
    <n v="81697.8"/>
    <n v="0.3"/>
    <x v="2"/>
    <s v="Electronics"/>
    <x v="3"/>
    <x v="3"/>
  </r>
  <r>
    <n v="850"/>
    <x v="111"/>
    <x v="10"/>
    <n v="5"/>
    <n v="2"/>
    <n v="1"/>
    <n v="321645"/>
    <n v="321645"/>
    <n v="96493.5"/>
    <n v="0.3"/>
    <x v="4"/>
    <s v="Accessories"/>
    <x v="3"/>
    <x v="3"/>
  </r>
  <r>
    <n v="851"/>
    <x v="258"/>
    <x v="9"/>
    <n v="5"/>
    <n v="1"/>
    <n v="10"/>
    <n v="83344"/>
    <n v="833440"/>
    <n v="250032"/>
    <n v="0.3"/>
    <x v="4"/>
    <s v="Accessories"/>
    <x v="2"/>
    <x v="2"/>
  </r>
  <r>
    <n v="852"/>
    <x v="196"/>
    <x v="11"/>
    <n v="3"/>
    <n v="1"/>
    <n v="6"/>
    <n v="304948"/>
    <n v="1829688"/>
    <n v="548906.4"/>
    <n v="0.3"/>
    <x v="2"/>
    <s v="Electronics"/>
    <x v="2"/>
    <x v="2"/>
  </r>
  <r>
    <n v="853"/>
    <x v="154"/>
    <x v="6"/>
    <n v="5"/>
    <n v="1"/>
    <n v="8"/>
    <n v="297309"/>
    <n v="2378472"/>
    <n v="713541.6"/>
    <n v="0.3"/>
    <x v="4"/>
    <s v="Accessories"/>
    <x v="2"/>
    <x v="2"/>
  </r>
  <r>
    <n v="854"/>
    <x v="156"/>
    <x v="8"/>
    <n v="5"/>
    <n v="4"/>
    <n v="7"/>
    <n v="265074"/>
    <n v="1855518"/>
    <n v="556655.4"/>
    <n v="0.3"/>
    <x v="4"/>
    <s v="Accessories"/>
    <x v="1"/>
    <x v="1"/>
  </r>
  <r>
    <n v="855"/>
    <x v="328"/>
    <x v="4"/>
    <n v="2"/>
    <n v="3"/>
    <n v="9"/>
    <n v="323410"/>
    <n v="2910690"/>
    <n v="873207"/>
    <n v="0.3"/>
    <x v="0"/>
    <s v="Electronics"/>
    <x v="0"/>
    <x v="0"/>
  </r>
  <r>
    <n v="856"/>
    <x v="122"/>
    <x v="10"/>
    <n v="5"/>
    <n v="4"/>
    <n v="4"/>
    <n v="207062"/>
    <n v="828248"/>
    <n v="248474.4"/>
    <n v="0.3"/>
    <x v="4"/>
    <s v="Accessories"/>
    <x v="1"/>
    <x v="1"/>
  </r>
  <r>
    <n v="857"/>
    <x v="47"/>
    <x v="8"/>
    <n v="4"/>
    <n v="2"/>
    <n v="7"/>
    <n v="243736"/>
    <n v="1706152"/>
    <n v="511845.6"/>
    <n v="0.3"/>
    <x v="1"/>
    <s v="Accessories"/>
    <x v="3"/>
    <x v="3"/>
  </r>
  <r>
    <n v="858"/>
    <x v="56"/>
    <x v="2"/>
    <n v="4"/>
    <n v="4"/>
    <n v="17"/>
    <n v="61927"/>
    <n v="1052759"/>
    <n v="315827.7"/>
    <n v="0.3"/>
    <x v="1"/>
    <s v="Accessories"/>
    <x v="1"/>
    <x v="1"/>
  </r>
  <r>
    <n v="859"/>
    <x v="44"/>
    <x v="8"/>
    <n v="5"/>
    <n v="4"/>
    <n v="18"/>
    <n v="329067"/>
    <n v="5923206"/>
    <n v="1776961.8"/>
    <n v="0.3"/>
    <x v="4"/>
    <s v="Accessories"/>
    <x v="1"/>
    <x v="1"/>
  </r>
  <r>
    <n v="860"/>
    <x v="292"/>
    <x v="11"/>
    <n v="3"/>
    <n v="1"/>
    <n v="18"/>
    <n v="391824"/>
    <n v="7052832"/>
    <n v="2115849.6"/>
    <n v="0.3"/>
    <x v="2"/>
    <s v="Electronics"/>
    <x v="2"/>
    <x v="2"/>
  </r>
  <r>
    <n v="861"/>
    <x v="219"/>
    <x v="0"/>
    <n v="4"/>
    <n v="3"/>
    <n v="20"/>
    <n v="196190"/>
    <n v="3923800"/>
    <n v="1177140"/>
    <n v="0.3"/>
    <x v="1"/>
    <s v="Accessories"/>
    <x v="0"/>
    <x v="0"/>
  </r>
  <r>
    <n v="862"/>
    <x v="240"/>
    <x v="0"/>
    <n v="1"/>
    <n v="3"/>
    <n v="12"/>
    <n v="263892"/>
    <n v="3166704"/>
    <n v="950011.2"/>
    <n v="0.3"/>
    <x v="3"/>
    <s v="Electronics"/>
    <x v="0"/>
    <x v="0"/>
  </r>
  <r>
    <n v="863"/>
    <x v="102"/>
    <x v="6"/>
    <n v="5"/>
    <n v="2"/>
    <n v="19"/>
    <n v="367903"/>
    <n v="6990157"/>
    <n v="2097047.0999999999"/>
    <n v="0.3"/>
    <x v="4"/>
    <s v="Accessories"/>
    <x v="3"/>
    <x v="3"/>
  </r>
  <r>
    <n v="864"/>
    <x v="0"/>
    <x v="0"/>
    <n v="5"/>
    <n v="2"/>
    <n v="6"/>
    <n v="278619"/>
    <n v="1671714"/>
    <n v="501514.19999999995"/>
    <n v="0.3"/>
    <x v="4"/>
    <s v="Accessories"/>
    <x v="3"/>
    <x v="3"/>
  </r>
  <r>
    <n v="865"/>
    <x v="32"/>
    <x v="5"/>
    <n v="3"/>
    <n v="3"/>
    <n v="14"/>
    <n v="262398"/>
    <n v="3673572"/>
    <n v="1102071.5999999999"/>
    <n v="0.3"/>
    <x v="2"/>
    <s v="Electronics"/>
    <x v="0"/>
    <x v="0"/>
  </r>
  <r>
    <n v="866"/>
    <x v="245"/>
    <x v="10"/>
    <n v="1"/>
    <n v="1"/>
    <n v="19"/>
    <n v="259062"/>
    <n v="4922178"/>
    <n v="1476653.4"/>
    <n v="0.3"/>
    <x v="3"/>
    <s v="Electronics"/>
    <x v="2"/>
    <x v="2"/>
  </r>
  <r>
    <n v="867"/>
    <x v="46"/>
    <x v="9"/>
    <n v="3"/>
    <n v="2"/>
    <n v="13"/>
    <n v="231182"/>
    <n v="3005366"/>
    <n v="901609.79999999993"/>
    <n v="0.3"/>
    <x v="2"/>
    <s v="Electronics"/>
    <x v="3"/>
    <x v="3"/>
  </r>
  <r>
    <n v="868"/>
    <x v="257"/>
    <x v="9"/>
    <n v="4"/>
    <n v="1"/>
    <n v="7"/>
    <n v="90585"/>
    <n v="634095"/>
    <n v="190228.5"/>
    <n v="0.3"/>
    <x v="1"/>
    <s v="Accessories"/>
    <x v="2"/>
    <x v="2"/>
  </r>
  <r>
    <n v="869"/>
    <x v="247"/>
    <x v="10"/>
    <n v="3"/>
    <n v="3"/>
    <n v="16"/>
    <n v="292178"/>
    <n v="4674848"/>
    <n v="1402454.4"/>
    <n v="0.3"/>
    <x v="2"/>
    <s v="Electronics"/>
    <x v="0"/>
    <x v="0"/>
  </r>
  <r>
    <n v="870"/>
    <x v="214"/>
    <x v="7"/>
    <n v="4"/>
    <n v="2"/>
    <n v="5"/>
    <n v="144820"/>
    <n v="724100"/>
    <n v="217230"/>
    <n v="0.3"/>
    <x v="1"/>
    <s v="Accessories"/>
    <x v="3"/>
    <x v="3"/>
  </r>
  <r>
    <n v="871"/>
    <x v="298"/>
    <x v="10"/>
    <n v="1"/>
    <n v="2"/>
    <n v="6"/>
    <n v="162710"/>
    <n v="976260"/>
    <n v="292878"/>
    <n v="0.3"/>
    <x v="3"/>
    <s v="Electronics"/>
    <x v="3"/>
    <x v="3"/>
  </r>
  <r>
    <n v="872"/>
    <x v="296"/>
    <x v="7"/>
    <n v="4"/>
    <n v="2"/>
    <n v="13"/>
    <n v="112916"/>
    <n v="1467908"/>
    <n v="440372.39999999997"/>
    <n v="0.3"/>
    <x v="1"/>
    <s v="Accessories"/>
    <x v="3"/>
    <x v="3"/>
  </r>
  <r>
    <n v="873"/>
    <x v="290"/>
    <x v="9"/>
    <n v="4"/>
    <n v="4"/>
    <n v="1"/>
    <n v="143133"/>
    <n v="143133"/>
    <n v="42939.9"/>
    <n v="0.3"/>
    <x v="1"/>
    <s v="Accessories"/>
    <x v="1"/>
    <x v="1"/>
  </r>
  <r>
    <n v="874"/>
    <x v="238"/>
    <x v="1"/>
    <n v="5"/>
    <n v="3"/>
    <n v="15"/>
    <n v="131186"/>
    <n v="1967790"/>
    <n v="590337"/>
    <n v="0.3"/>
    <x v="4"/>
    <s v="Accessories"/>
    <x v="0"/>
    <x v="0"/>
  </r>
  <r>
    <n v="875"/>
    <x v="95"/>
    <x v="6"/>
    <n v="1"/>
    <n v="3"/>
    <n v="8"/>
    <n v="110607"/>
    <n v="884856"/>
    <n v="265456.8"/>
    <n v="0.3"/>
    <x v="3"/>
    <s v="Electronics"/>
    <x v="0"/>
    <x v="0"/>
  </r>
  <r>
    <n v="876"/>
    <x v="269"/>
    <x v="0"/>
    <n v="2"/>
    <n v="3"/>
    <n v="17"/>
    <n v="353214"/>
    <n v="6004638"/>
    <n v="1801391.4"/>
    <n v="0.3"/>
    <x v="0"/>
    <s v="Electronics"/>
    <x v="0"/>
    <x v="0"/>
  </r>
  <r>
    <n v="877"/>
    <x v="20"/>
    <x v="4"/>
    <n v="4"/>
    <n v="2"/>
    <n v="2"/>
    <n v="269274"/>
    <n v="538548"/>
    <n v="161564.4"/>
    <n v="0.3"/>
    <x v="1"/>
    <s v="Accessories"/>
    <x v="3"/>
    <x v="3"/>
  </r>
  <r>
    <n v="878"/>
    <x v="2"/>
    <x v="2"/>
    <n v="2"/>
    <n v="2"/>
    <n v="1"/>
    <n v="230172"/>
    <n v="230172"/>
    <n v="69051.599999999991"/>
    <n v="0.3"/>
    <x v="0"/>
    <s v="Electronics"/>
    <x v="3"/>
    <x v="3"/>
  </r>
  <r>
    <n v="879"/>
    <x v="120"/>
    <x v="3"/>
    <n v="1"/>
    <n v="2"/>
    <n v="20"/>
    <n v="128458"/>
    <n v="2569160"/>
    <n v="770748"/>
    <n v="0.3"/>
    <x v="3"/>
    <s v="Electronics"/>
    <x v="3"/>
    <x v="3"/>
  </r>
  <r>
    <n v="880"/>
    <x v="150"/>
    <x v="0"/>
    <n v="1"/>
    <n v="1"/>
    <n v="5"/>
    <n v="367543"/>
    <n v="1837715"/>
    <n v="551314.5"/>
    <n v="0.3"/>
    <x v="3"/>
    <s v="Electronics"/>
    <x v="2"/>
    <x v="2"/>
  </r>
  <r>
    <n v="881"/>
    <x v="51"/>
    <x v="2"/>
    <n v="4"/>
    <n v="4"/>
    <n v="13"/>
    <n v="159784"/>
    <n v="2077192"/>
    <n v="623157.6"/>
    <n v="0.3"/>
    <x v="1"/>
    <s v="Accessories"/>
    <x v="1"/>
    <x v="1"/>
  </r>
  <r>
    <n v="882"/>
    <x v="76"/>
    <x v="5"/>
    <n v="2"/>
    <n v="2"/>
    <n v="9"/>
    <n v="151281"/>
    <n v="1361529"/>
    <n v="408458.7"/>
    <n v="0.3"/>
    <x v="0"/>
    <s v="Electronics"/>
    <x v="3"/>
    <x v="3"/>
  </r>
  <r>
    <n v="883"/>
    <x v="98"/>
    <x v="10"/>
    <n v="5"/>
    <n v="3"/>
    <n v="3"/>
    <n v="179013"/>
    <n v="537039"/>
    <n v="161111.69999999998"/>
    <n v="0.3"/>
    <x v="4"/>
    <s v="Accessories"/>
    <x v="0"/>
    <x v="0"/>
  </r>
  <r>
    <n v="884"/>
    <x v="256"/>
    <x v="2"/>
    <n v="4"/>
    <n v="2"/>
    <n v="16"/>
    <n v="119514"/>
    <n v="1912224"/>
    <n v="573667.19999999995"/>
    <n v="0.3"/>
    <x v="1"/>
    <s v="Accessories"/>
    <x v="3"/>
    <x v="3"/>
  </r>
  <r>
    <n v="885"/>
    <x v="320"/>
    <x v="2"/>
    <n v="2"/>
    <n v="4"/>
    <n v="18"/>
    <n v="220218"/>
    <n v="3963924"/>
    <n v="1189177.2"/>
    <n v="0.3"/>
    <x v="0"/>
    <s v="Electronics"/>
    <x v="1"/>
    <x v="1"/>
  </r>
  <r>
    <n v="886"/>
    <x v="329"/>
    <x v="10"/>
    <n v="3"/>
    <n v="3"/>
    <n v="3"/>
    <n v="97131"/>
    <n v="291393"/>
    <n v="87417.9"/>
    <n v="0.3"/>
    <x v="2"/>
    <s v="Electronics"/>
    <x v="0"/>
    <x v="0"/>
  </r>
  <r>
    <n v="887"/>
    <x v="99"/>
    <x v="8"/>
    <n v="4"/>
    <n v="2"/>
    <n v="10"/>
    <n v="114860"/>
    <n v="1148600"/>
    <n v="344580"/>
    <n v="0.3"/>
    <x v="1"/>
    <s v="Accessories"/>
    <x v="3"/>
    <x v="3"/>
  </r>
  <r>
    <n v="888"/>
    <x v="67"/>
    <x v="10"/>
    <n v="1"/>
    <n v="4"/>
    <n v="8"/>
    <n v="53460"/>
    <n v="427680"/>
    <n v="128304"/>
    <n v="0.3"/>
    <x v="3"/>
    <s v="Electronics"/>
    <x v="1"/>
    <x v="1"/>
  </r>
  <r>
    <n v="889"/>
    <x v="193"/>
    <x v="6"/>
    <n v="3"/>
    <n v="1"/>
    <n v="8"/>
    <n v="112398"/>
    <n v="899184"/>
    <n v="269755.2"/>
    <n v="0.3"/>
    <x v="2"/>
    <s v="Electronics"/>
    <x v="2"/>
    <x v="2"/>
  </r>
  <r>
    <n v="890"/>
    <x v="315"/>
    <x v="2"/>
    <n v="1"/>
    <n v="3"/>
    <n v="17"/>
    <n v="367005"/>
    <n v="6239085"/>
    <n v="1871725.5"/>
    <n v="0.3"/>
    <x v="3"/>
    <s v="Electronics"/>
    <x v="0"/>
    <x v="0"/>
  </r>
  <r>
    <n v="891"/>
    <x v="297"/>
    <x v="9"/>
    <n v="4"/>
    <n v="3"/>
    <n v="10"/>
    <n v="82337"/>
    <n v="823370"/>
    <n v="247011"/>
    <n v="0.3"/>
    <x v="1"/>
    <s v="Accessories"/>
    <x v="0"/>
    <x v="0"/>
  </r>
  <r>
    <n v="892"/>
    <x v="227"/>
    <x v="6"/>
    <n v="4"/>
    <n v="4"/>
    <n v="4"/>
    <n v="224213"/>
    <n v="896852"/>
    <n v="269055.59999999998"/>
    <n v="0.3"/>
    <x v="1"/>
    <s v="Accessories"/>
    <x v="1"/>
    <x v="1"/>
  </r>
  <r>
    <n v="893"/>
    <x v="193"/>
    <x v="6"/>
    <n v="4"/>
    <n v="1"/>
    <n v="16"/>
    <n v="201549"/>
    <n v="3224784"/>
    <n v="967435.2"/>
    <n v="0.3"/>
    <x v="1"/>
    <s v="Accessories"/>
    <x v="2"/>
    <x v="2"/>
  </r>
  <r>
    <n v="894"/>
    <x v="330"/>
    <x v="2"/>
    <n v="5"/>
    <n v="3"/>
    <n v="11"/>
    <n v="303131"/>
    <n v="3334441"/>
    <n v="1000332.2999999999"/>
    <n v="0.3"/>
    <x v="4"/>
    <s v="Accessories"/>
    <x v="0"/>
    <x v="0"/>
  </r>
  <r>
    <n v="895"/>
    <x v="11"/>
    <x v="1"/>
    <n v="4"/>
    <n v="3"/>
    <n v="20"/>
    <n v="151141"/>
    <n v="3022820"/>
    <n v="906846"/>
    <n v="0.3"/>
    <x v="1"/>
    <s v="Accessories"/>
    <x v="0"/>
    <x v="0"/>
  </r>
  <r>
    <n v="896"/>
    <x v="95"/>
    <x v="6"/>
    <n v="5"/>
    <n v="3"/>
    <n v="13"/>
    <n v="209432"/>
    <n v="2722616"/>
    <n v="816784.79999999993"/>
    <n v="0.3"/>
    <x v="4"/>
    <s v="Accessories"/>
    <x v="0"/>
    <x v="0"/>
  </r>
  <r>
    <n v="897"/>
    <x v="318"/>
    <x v="6"/>
    <n v="3"/>
    <n v="4"/>
    <n v="19"/>
    <n v="242048"/>
    <n v="4598912"/>
    <n v="1379673.5999999999"/>
    <n v="0.3"/>
    <x v="2"/>
    <s v="Electronics"/>
    <x v="1"/>
    <x v="1"/>
  </r>
  <r>
    <n v="898"/>
    <x v="323"/>
    <x v="9"/>
    <n v="3"/>
    <n v="3"/>
    <n v="1"/>
    <n v="93577"/>
    <n v="93577"/>
    <n v="28073.1"/>
    <n v="0.3"/>
    <x v="2"/>
    <s v="Electronics"/>
    <x v="0"/>
    <x v="0"/>
  </r>
  <r>
    <n v="899"/>
    <x v="34"/>
    <x v="8"/>
    <n v="2"/>
    <n v="2"/>
    <n v="18"/>
    <n v="183318"/>
    <n v="3299724"/>
    <n v="989917.2"/>
    <n v="0.3"/>
    <x v="0"/>
    <s v="Electronics"/>
    <x v="3"/>
    <x v="3"/>
  </r>
  <r>
    <n v="900"/>
    <x v="225"/>
    <x v="3"/>
    <n v="4"/>
    <n v="1"/>
    <n v="4"/>
    <n v="107854"/>
    <n v="431416"/>
    <n v="129424.79999999999"/>
    <n v="0.3"/>
    <x v="1"/>
    <s v="Accessories"/>
    <x v="2"/>
    <x v="2"/>
  </r>
  <r>
    <n v="901"/>
    <x v="16"/>
    <x v="1"/>
    <n v="5"/>
    <n v="2"/>
    <n v="2"/>
    <n v="107875"/>
    <n v="215750"/>
    <n v="64725"/>
    <n v="0.3"/>
    <x v="4"/>
    <s v="Accessories"/>
    <x v="3"/>
    <x v="3"/>
  </r>
  <r>
    <n v="902"/>
    <x v="121"/>
    <x v="8"/>
    <n v="4"/>
    <n v="2"/>
    <n v="7"/>
    <n v="61819"/>
    <n v="432733"/>
    <n v="129819.9"/>
    <n v="0.3"/>
    <x v="1"/>
    <s v="Accessories"/>
    <x v="3"/>
    <x v="3"/>
  </r>
  <r>
    <n v="903"/>
    <x v="26"/>
    <x v="7"/>
    <n v="3"/>
    <n v="2"/>
    <n v="3"/>
    <n v="93156"/>
    <n v="279468"/>
    <n v="83840.399999999994"/>
    <n v="0.3"/>
    <x v="2"/>
    <s v="Electronics"/>
    <x v="3"/>
    <x v="3"/>
  </r>
  <r>
    <n v="904"/>
    <x v="116"/>
    <x v="4"/>
    <n v="3"/>
    <n v="1"/>
    <n v="4"/>
    <n v="174176"/>
    <n v="696704"/>
    <n v="209011.19999999998"/>
    <n v="0.3"/>
    <x v="2"/>
    <s v="Electronics"/>
    <x v="2"/>
    <x v="2"/>
  </r>
  <r>
    <n v="905"/>
    <x v="328"/>
    <x v="4"/>
    <n v="1"/>
    <n v="4"/>
    <n v="17"/>
    <n v="234036"/>
    <n v="3978612"/>
    <n v="1193583.5999999999"/>
    <n v="0.3"/>
    <x v="3"/>
    <s v="Electronics"/>
    <x v="1"/>
    <x v="1"/>
  </r>
  <r>
    <n v="906"/>
    <x v="310"/>
    <x v="11"/>
    <n v="3"/>
    <n v="1"/>
    <n v="10"/>
    <n v="198062"/>
    <n v="1980620"/>
    <n v="594186"/>
    <n v="0.3"/>
    <x v="2"/>
    <s v="Electronics"/>
    <x v="2"/>
    <x v="2"/>
  </r>
  <r>
    <n v="907"/>
    <x v="331"/>
    <x v="5"/>
    <n v="5"/>
    <n v="2"/>
    <n v="16"/>
    <n v="234770"/>
    <n v="3756320"/>
    <n v="1126896"/>
    <n v="0.3"/>
    <x v="4"/>
    <s v="Accessories"/>
    <x v="3"/>
    <x v="3"/>
  </r>
  <r>
    <n v="908"/>
    <x v="64"/>
    <x v="4"/>
    <n v="4"/>
    <n v="2"/>
    <n v="6"/>
    <n v="154184"/>
    <n v="925104"/>
    <n v="277531.2"/>
    <n v="0.3"/>
    <x v="1"/>
    <s v="Accessories"/>
    <x v="3"/>
    <x v="3"/>
  </r>
  <r>
    <n v="909"/>
    <x v="120"/>
    <x v="3"/>
    <n v="2"/>
    <n v="2"/>
    <n v="18"/>
    <n v="279493"/>
    <n v="5030874"/>
    <n v="1509262.2"/>
    <n v="0.3"/>
    <x v="0"/>
    <s v="Electronics"/>
    <x v="3"/>
    <x v="3"/>
  </r>
  <r>
    <n v="910"/>
    <x v="332"/>
    <x v="5"/>
    <n v="4"/>
    <n v="4"/>
    <n v="5"/>
    <n v="340163"/>
    <n v="1700815"/>
    <n v="510244.5"/>
    <n v="0.3"/>
    <x v="1"/>
    <s v="Accessories"/>
    <x v="1"/>
    <x v="1"/>
  </r>
  <r>
    <n v="911"/>
    <x v="176"/>
    <x v="6"/>
    <n v="1"/>
    <n v="4"/>
    <n v="9"/>
    <n v="166129"/>
    <n v="1495161"/>
    <n v="448548.3"/>
    <n v="0.3"/>
    <x v="3"/>
    <s v="Electronics"/>
    <x v="1"/>
    <x v="1"/>
  </r>
  <r>
    <n v="912"/>
    <x v="322"/>
    <x v="3"/>
    <n v="1"/>
    <n v="2"/>
    <n v="6"/>
    <n v="182747"/>
    <n v="1096482"/>
    <n v="328944.59999999998"/>
    <n v="0.3"/>
    <x v="3"/>
    <s v="Electronics"/>
    <x v="3"/>
    <x v="3"/>
  </r>
  <r>
    <n v="913"/>
    <x v="230"/>
    <x v="11"/>
    <n v="3"/>
    <n v="3"/>
    <n v="8"/>
    <n v="221548"/>
    <n v="1772384"/>
    <n v="531715.19999999995"/>
    <n v="0.3"/>
    <x v="2"/>
    <s v="Electronics"/>
    <x v="0"/>
    <x v="0"/>
  </r>
  <r>
    <n v="914"/>
    <x v="100"/>
    <x v="0"/>
    <n v="1"/>
    <n v="1"/>
    <n v="10"/>
    <n v="226441"/>
    <n v="2264410"/>
    <n v="679323"/>
    <n v="0.3"/>
    <x v="3"/>
    <s v="Electronics"/>
    <x v="2"/>
    <x v="2"/>
  </r>
  <r>
    <n v="915"/>
    <x v="124"/>
    <x v="7"/>
    <n v="5"/>
    <n v="2"/>
    <n v="16"/>
    <n v="166182"/>
    <n v="2658912"/>
    <n v="797673.6"/>
    <n v="0.3"/>
    <x v="4"/>
    <s v="Accessories"/>
    <x v="3"/>
    <x v="3"/>
  </r>
  <r>
    <n v="916"/>
    <x v="168"/>
    <x v="10"/>
    <n v="1"/>
    <n v="4"/>
    <n v="1"/>
    <n v="215745"/>
    <n v="215745"/>
    <n v="64723.5"/>
    <n v="0.3"/>
    <x v="3"/>
    <s v="Electronics"/>
    <x v="1"/>
    <x v="1"/>
  </r>
  <r>
    <n v="917"/>
    <x v="311"/>
    <x v="9"/>
    <n v="1"/>
    <n v="3"/>
    <n v="1"/>
    <n v="67620"/>
    <n v="67620"/>
    <n v="20286"/>
    <n v="0.3"/>
    <x v="3"/>
    <s v="Electronics"/>
    <x v="0"/>
    <x v="0"/>
  </r>
  <r>
    <n v="918"/>
    <x v="78"/>
    <x v="8"/>
    <n v="3"/>
    <n v="3"/>
    <n v="7"/>
    <n v="53876"/>
    <n v="377132"/>
    <n v="113139.59999999999"/>
    <n v="0.3"/>
    <x v="2"/>
    <s v="Electronics"/>
    <x v="0"/>
    <x v="0"/>
  </r>
  <r>
    <n v="919"/>
    <x v="270"/>
    <x v="10"/>
    <n v="1"/>
    <n v="3"/>
    <n v="1"/>
    <n v="248751"/>
    <n v="248751"/>
    <n v="74625.3"/>
    <n v="0.3"/>
    <x v="3"/>
    <s v="Electronics"/>
    <x v="0"/>
    <x v="0"/>
  </r>
  <r>
    <n v="920"/>
    <x v="125"/>
    <x v="6"/>
    <n v="4"/>
    <n v="1"/>
    <n v="14"/>
    <n v="109510"/>
    <n v="1533140"/>
    <n v="459942"/>
    <n v="0.3"/>
    <x v="1"/>
    <s v="Accessories"/>
    <x v="2"/>
    <x v="2"/>
  </r>
  <r>
    <n v="921"/>
    <x v="224"/>
    <x v="8"/>
    <n v="5"/>
    <n v="1"/>
    <n v="4"/>
    <n v="144155"/>
    <n v="576620"/>
    <n v="172986"/>
    <n v="0.3"/>
    <x v="4"/>
    <s v="Accessories"/>
    <x v="2"/>
    <x v="2"/>
  </r>
  <r>
    <n v="922"/>
    <x v="37"/>
    <x v="4"/>
    <n v="3"/>
    <n v="4"/>
    <n v="15"/>
    <n v="351990"/>
    <n v="5279850"/>
    <n v="1583955"/>
    <n v="0.3"/>
    <x v="2"/>
    <s v="Electronics"/>
    <x v="1"/>
    <x v="1"/>
  </r>
  <r>
    <n v="923"/>
    <x v="333"/>
    <x v="7"/>
    <n v="2"/>
    <n v="1"/>
    <n v="19"/>
    <n v="142024"/>
    <n v="2698456"/>
    <n v="809536.79999999993"/>
    <n v="0.3"/>
    <x v="0"/>
    <s v="Electronics"/>
    <x v="2"/>
    <x v="2"/>
  </r>
  <r>
    <n v="924"/>
    <x v="35"/>
    <x v="0"/>
    <n v="4"/>
    <n v="1"/>
    <n v="12"/>
    <n v="230275"/>
    <n v="2763300"/>
    <n v="828990"/>
    <n v="0.3"/>
    <x v="1"/>
    <s v="Accessories"/>
    <x v="2"/>
    <x v="2"/>
  </r>
  <r>
    <n v="925"/>
    <x v="269"/>
    <x v="0"/>
    <n v="4"/>
    <n v="4"/>
    <n v="11"/>
    <n v="337535"/>
    <n v="3712885"/>
    <n v="1113865.5"/>
    <n v="0.3"/>
    <x v="1"/>
    <s v="Accessories"/>
    <x v="1"/>
    <x v="1"/>
  </r>
  <r>
    <n v="926"/>
    <x v="41"/>
    <x v="4"/>
    <n v="4"/>
    <n v="1"/>
    <n v="19"/>
    <n v="199082"/>
    <n v="3782558"/>
    <n v="1134767.3999999999"/>
    <n v="0.3"/>
    <x v="1"/>
    <s v="Accessories"/>
    <x v="2"/>
    <x v="2"/>
  </r>
  <r>
    <n v="927"/>
    <x v="58"/>
    <x v="3"/>
    <n v="4"/>
    <n v="1"/>
    <n v="10"/>
    <n v="314525"/>
    <n v="3145250"/>
    <n v="943575"/>
    <n v="0.3"/>
    <x v="1"/>
    <s v="Accessories"/>
    <x v="2"/>
    <x v="2"/>
  </r>
  <r>
    <n v="928"/>
    <x v="245"/>
    <x v="10"/>
    <n v="4"/>
    <n v="3"/>
    <n v="12"/>
    <n v="176522"/>
    <n v="2118264"/>
    <n v="635479.19999999995"/>
    <n v="0.3"/>
    <x v="1"/>
    <s v="Accessories"/>
    <x v="0"/>
    <x v="0"/>
  </r>
  <r>
    <n v="929"/>
    <x v="281"/>
    <x v="4"/>
    <n v="4"/>
    <n v="1"/>
    <n v="14"/>
    <n v="233166"/>
    <n v="3264324"/>
    <n v="979297.2"/>
    <n v="0.3"/>
    <x v="1"/>
    <s v="Accessories"/>
    <x v="2"/>
    <x v="2"/>
  </r>
  <r>
    <n v="930"/>
    <x v="129"/>
    <x v="5"/>
    <n v="3"/>
    <n v="2"/>
    <n v="10"/>
    <n v="320926"/>
    <n v="3209260"/>
    <n v="962778"/>
    <n v="0.3"/>
    <x v="2"/>
    <s v="Electronics"/>
    <x v="3"/>
    <x v="3"/>
  </r>
  <r>
    <n v="931"/>
    <x v="128"/>
    <x v="3"/>
    <n v="4"/>
    <n v="3"/>
    <n v="7"/>
    <n v="131268"/>
    <n v="918876"/>
    <n v="275662.8"/>
    <n v="0.3"/>
    <x v="1"/>
    <s v="Accessories"/>
    <x v="0"/>
    <x v="0"/>
  </r>
  <r>
    <n v="932"/>
    <x v="129"/>
    <x v="5"/>
    <n v="5"/>
    <n v="4"/>
    <n v="19"/>
    <n v="86349"/>
    <n v="1640631"/>
    <n v="492189.3"/>
    <n v="0.3"/>
    <x v="4"/>
    <s v="Accessories"/>
    <x v="1"/>
    <x v="1"/>
  </r>
  <r>
    <n v="933"/>
    <x v="334"/>
    <x v="10"/>
    <n v="4"/>
    <n v="2"/>
    <n v="2"/>
    <n v="269821"/>
    <n v="539642"/>
    <n v="161892.6"/>
    <n v="0.3"/>
    <x v="1"/>
    <s v="Accessories"/>
    <x v="3"/>
    <x v="3"/>
  </r>
  <r>
    <n v="934"/>
    <x v="335"/>
    <x v="11"/>
    <n v="4"/>
    <n v="3"/>
    <n v="7"/>
    <n v="149297"/>
    <n v="1045079"/>
    <n v="313523.7"/>
    <n v="0.3"/>
    <x v="1"/>
    <s v="Accessories"/>
    <x v="0"/>
    <x v="0"/>
  </r>
  <r>
    <n v="935"/>
    <x v="91"/>
    <x v="4"/>
    <n v="2"/>
    <n v="3"/>
    <n v="15"/>
    <n v="257162"/>
    <n v="3857430"/>
    <n v="1157229"/>
    <n v="0.3"/>
    <x v="0"/>
    <s v="Electronics"/>
    <x v="0"/>
    <x v="0"/>
  </r>
  <r>
    <n v="936"/>
    <x v="53"/>
    <x v="8"/>
    <n v="4"/>
    <n v="4"/>
    <n v="16"/>
    <n v="205928"/>
    <n v="3294848"/>
    <n v="988454.39999999991"/>
    <n v="0.3"/>
    <x v="1"/>
    <s v="Accessories"/>
    <x v="1"/>
    <x v="1"/>
  </r>
  <r>
    <n v="937"/>
    <x v="228"/>
    <x v="2"/>
    <n v="4"/>
    <n v="3"/>
    <n v="12"/>
    <n v="355834"/>
    <n v="4270008"/>
    <n v="1281002.3999999999"/>
    <n v="0.3"/>
    <x v="1"/>
    <s v="Accessories"/>
    <x v="0"/>
    <x v="0"/>
  </r>
  <r>
    <n v="938"/>
    <x v="285"/>
    <x v="8"/>
    <n v="3"/>
    <n v="3"/>
    <n v="14"/>
    <n v="178565"/>
    <n v="2499910"/>
    <n v="749973"/>
    <n v="0.3"/>
    <x v="2"/>
    <s v="Electronics"/>
    <x v="0"/>
    <x v="0"/>
  </r>
  <r>
    <n v="939"/>
    <x v="333"/>
    <x v="7"/>
    <n v="3"/>
    <n v="4"/>
    <n v="2"/>
    <n v="331429"/>
    <n v="662858"/>
    <n v="198857.4"/>
    <n v="0.3"/>
    <x v="2"/>
    <s v="Electronics"/>
    <x v="1"/>
    <x v="1"/>
  </r>
  <r>
    <n v="940"/>
    <x v="153"/>
    <x v="11"/>
    <n v="4"/>
    <n v="2"/>
    <n v="1"/>
    <n v="60118"/>
    <n v="60118"/>
    <n v="18035.399999999998"/>
    <n v="0.3"/>
    <x v="1"/>
    <s v="Accessories"/>
    <x v="3"/>
    <x v="3"/>
  </r>
  <r>
    <n v="941"/>
    <x v="247"/>
    <x v="10"/>
    <n v="2"/>
    <n v="1"/>
    <n v="8"/>
    <n v="64621"/>
    <n v="516968"/>
    <n v="155090.4"/>
    <n v="0.3"/>
    <x v="0"/>
    <s v="Electronics"/>
    <x v="2"/>
    <x v="2"/>
  </r>
  <r>
    <n v="942"/>
    <x v="220"/>
    <x v="10"/>
    <n v="2"/>
    <n v="3"/>
    <n v="16"/>
    <n v="197178"/>
    <n v="3154848"/>
    <n v="946454.39999999991"/>
    <n v="0.3"/>
    <x v="0"/>
    <s v="Electronics"/>
    <x v="0"/>
    <x v="0"/>
  </r>
  <r>
    <n v="943"/>
    <x v="336"/>
    <x v="5"/>
    <n v="5"/>
    <n v="3"/>
    <n v="19"/>
    <n v="161973"/>
    <n v="3077487"/>
    <n v="923246.1"/>
    <n v="0.3"/>
    <x v="4"/>
    <s v="Accessories"/>
    <x v="0"/>
    <x v="0"/>
  </r>
  <r>
    <n v="944"/>
    <x v="328"/>
    <x v="4"/>
    <n v="4"/>
    <n v="2"/>
    <n v="19"/>
    <n v="322802"/>
    <n v="6133238"/>
    <n v="1839971.4"/>
    <n v="0.3"/>
    <x v="1"/>
    <s v="Accessories"/>
    <x v="3"/>
    <x v="3"/>
  </r>
  <r>
    <n v="945"/>
    <x v="130"/>
    <x v="2"/>
    <n v="5"/>
    <n v="3"/>
    <n v="17"/>
    <n v="66091"/>
    <n v="1123547"/>
    <n v="337064.1"/>
    <n v="0.3"/>
    <x v="4"/>
    <s v="Accessories"/>
    <x v="0"/>
    <x v="0"/>
  </r>
  <r>
    <n v="946"/>
    <x v="153"/>
    <x v="11"/>
    <n v="1"/>
    <n v="2"/>
    <n v="3"/>
    <n v="221416"/>
    <n v="664248"/>
    <n v="199274.4"/>
    <n v="0.3"/>
    <x v="3"/>
    <s v="Electronics"/>
    <x v="3"/>
    <x v="3"/>
  </r>
  <r>
    <n v="947"/>
    <x v="111"/>
    <x v="10"/>
    <n v="2"/>
    <n v="1"/>
    <n v="16"/>
    <n v="116675"/>
    <n v="1866800"/>
    <n v="560040"/>
    <n v="0.3"/>
    <x v="0"/>
    <s v="Electronics"/>
    <x v="2"/>
    <x v="2"/>
  </r>
  <r>
    <n v="948"/>
    <x v="85"/>
    <x v="9"/>
    <n v="3"/>
    <n v="2"/>
    <n v="7"/>
    <n v="268865"/>
    <n v="1882055"/>
    <n v="564616.5"/>
    <n v="0.3"/>
    <x v="2"/>
    <s v="Electronics"/>
    <x v="3"/>
    <x v="3"/>
  </r>
  <r>
    <n v="949"/>
    <x v="290"/>
    <x v="9"/>
    <n v="3"/>
    <n v="4"/>
    <n v="9"/>
    <n v="135519"/>
    <n v="1219671"/>
    <n v="365901.3"/>
    <n v="0.3"/>
    <x v="2"/>
    <s v="Electronics"/>
    <x v="1"/>
    <x v="1"/>
  </r>
  <r>
    <n v="950"/>
    <x v="26"/>
    <x v="7"/>
    <n v="3"/>
    <n v="1"/>
    <n v="17"/>
    <n v="204869"/>
    <n v="3482773"/>
    <n v="1044831.8999999999"/>
    <n v="0.3"/>
    <x v="2"/>
    <s v="Electronics"/>
    <x v="2"/>
    <x v="2"/>
  </r>
  <r>
    <n v="951"/>
    <x v="321"/>
    <x v="8"/>
    <n v="1"/>
    <n v="1"/>
    <n v="12"/>
    <n v="204748"/>
    <n v="2456976"/>
    <n v="737092.79999999993"/>
    <n v="0.3"/>
    <x v="3"/>
    <s v="Electronics"/>
    <x v="2"/>
    <x v="2"/>
  </r>
  <r>
    <n v="952"/>
    <x v="310"/>
    <x v="11"/>
    <n v="3"/>
    <n v="1"/>
    <n v="2"/>
    <n v="107163"/>
    <n v="214326"/>
    <n v="64297.799999999996"/>
    <n v="0.3"/>
    <x v="2"/>
    <s v="Electronics"/>
    <x v="2"/>
    <x v="2"/>
  </r>
  <r>
    <n v="953"/>
    <x v="69"/>
    <x v="5"/>
    <n v="2"/>
    <n v="2"/>
    <n v="9"/>
    <n v="295491"/>
    <n v="2659419"/>
    <n v="797825.7"/>
    <n v="0.3"/>
    <x v="0"/>
    <s v="Electronics"/>
    <x v="3"/>
    <x v="3"/>
  </r>
  <r>
    <n v="954"/>
    <x v="53"/>
    <x v="8"/>
    <n v="4"/>
    <n v="2"/>
    <n v="16"/>
    <n v="276997"/>
    <n v="4431952"/>
    <n v="1329585.5999999999"/>
    <n v="0.3"/>
    <x v="1"/>
    <s v="Accessories"/>
    <x v="3"/>
    <x v="3"/>
  </r>
  <r>
    <n v="955"/>
    <x v="16"/>
    <x v="1"/>
    <n v="3"/>
    <n v="4"/>
    <n v="6"/>
    <n v="391237"/>
    <n v="2347422"/>
    <n v="704226.6"/>
    <n v="0.3"/>
    <x v="2"/>
    <s v="Electronics"/>
    <x v="1"/>
    <x v="1"/>
  </r>
  <r>
    <n v="956"/>
    <x v="200"/>
    <x v="10"/>
    <n v="5"/>
    <n v="2"/>
    <n v="7"/>
    <n v="114139"/>
    <n v="798973"/>
    <n v="239691.9"/>
    <n v="0.3"/>
    <x v="4"/>
    <s v="Accessories"/>
    <x v="3"/>
    <x v="3"/>
  </r>
  <r>
    <n v="957"/>
    <x v="247"/>
    <x v="10"/>
    <n v="5"/>
    <n v="4"/>
    <n v="9"/>
    <n v="52927"/>
    <n v="476343"/>
    <n v="142902.9"/>
    <n v="0.3"/>
    <x v="4"/>
    <s v="Accessories"/>
    <x v="1"/>
    <x v="1"/>
  </r>
  <r>
    <n v="958"/>
    <x v="60"/>
    <x v="0"/>
    <n v="3"/>
    <n v="1"/>
    <n v="3"/>
    <n v="285671"/>
    <n v="857013"/>
    <n v="257103.9"/>
    <n v="0.3"/>
    <x v="2"/>
    <s v="Electronics"/>
    <x v="2"/>
    <x v="2"/>
  </r>
  <r>
    <n v="959"/>
    <x v="192"/>
    <x v="9"/>
    <n v="4"/>
    <n v="4"/>
    <n v="7"/>
    <n v="76914"/>
    <n v="538398"/>
    <n v="161519.4"/>
    <n v="0.3"/>
    <x v="1"/>
    <s v="Accessories"/>
    <x v="1"/>
    <x v="1"/>
  </r>
  <r>
    <n v="960"/>
    <x v="141"/>
    <x v="9"/>
    <n v="4"/>
    <n v="2"/>
    <n v="19"/>
    <n v="281987"/>
    <n v="5357753"/>
    <n v="1607325.9"/>
    <n v="0.3"/>
    <x v="1"/>
    <s v="Accessories"/>
    <x v="3"/>
    <x v="3"/>
  </r>
  <r>
    <n v="961"/>
    <x v="14"/>
    <x v="8"/>
    <n v="5"/>
    <n v="1"/>
    <n v="6"/>
    <n v="128283"/>
    <n v="769698"/>
    <n v="230909.4"/>
    <n v="0.3"/>
    <x v="4"/>
    <s v="Accessories"/>
    <x v="2"/>
    <x v="2"/>
  </r>
  <r>
    <n v="962"/>
    <x v="68"/>
    <x v="7"/>
    <n v="3"/>
    <n v="1"/>
    <n v="1"/>
    <n v="180002"/>
    <n v="180002"/>
    <n v="54000.6"/>
    <n v="0.3"/>
    <x v="2"/>
    <s v="Electronics"/>
    <x v="2"/>
    <x v="2"/>
  </r>
  <r>
    <n v="963"/>
    <x v="103"/>
    <x v="9"/>
    <n v="4"/>
    <n v="2"/>
    <n v="5"/>
    <n v="162420"/>
    <n v="812100"/>
    <n v="243630"/>
    <n v="0.3"/>
    <x v="1"/>
    <s v="Accessories"/>
    <x v="3"/>
    <x v="3"/>
  </r>
  <r>
    <n v="964"/>
    <x v="337"/>
    <x v="1"/>
    <n v="4"/>
    <n v="3"/>
    <n v="18"/>
    <n v="144196"/>
    <n v="2595528"/>
    <n v="778658.4"/>
    <n v="0.3"/>
    <x v="1"/>
    <s v="Accessories"/>
    <x v="0"/>
    <x v="0"/>
  </r>
  <r>
    <n v="965"/>
    <x v="69"/>
    <x v="5"/>
    <n v="2"/>
    <n v="3"/>
    <n v="18"/>
    <n v="302623"/>
    <n v="5447214"/>
    <n v="1634164.2"/>
    <n v="0.3"/>
    <x v="0"/>
    <s v="Electronics"/>
    <x v="0"/>
    <x v="0"/>
  </r>
  <r>
    <n v="966"/>
    <x v="144"/>
    <x v="11"/>
    <n v="1"/>
    <n v="3"/>
    <n v="10"/>
    <n v="141614"/>
    <n v="1416140"/>
    <n v="424842"/>
    <n v="0.3"/>
    <x v="3"/>
    <s v="Electronics"/>
    <x v="0"/>
    <x v="0"/>
  </r>
  <r>
    <n v="967"/>
    <x v="95"/>
    <x v="6"/>
    <n v="4"/>
    <n v="3"/>
    <n v="12"/>
    <n v="259103"/>
    <n v="3109236"/>
    <n v="932770.79999999993"/>
    <n v="0.3"/>
    <x v="1"/>
    <s v="Accessories"/>
    <x v="0"/>
    <x v="0"/>
  </r>
  <r>
    <n v="968"/>
    <x v="337"/>
    <x v="1"/>
    <n v="2"/>
    <n v="3"/>
    <n v="2"/>
    <n v="187376"/>
    <n v="374752"/>
    <n v="112425.59999999999"/>
    <n v="0.3"/>
    <x v="0"/>
    <s v="Electronics"/>
    <x v="0"/>
    <x v="0"/>
  </r>
  <r>
    <n v="969"/>
    <x v="120"/>
    <x v="3"/>
    <n v="4"/>
    <n v="4"/>
    <n v="16"/>
    <n v="100085"/>
    <n v="1601360"/>
    <n v="480408"/>
    <n v="0.3"/>
    <x v="1"/>
    <s v="Accessories"/>
    <x v="1"/>
    <x v="1"/>
  </r>
  <r>
    <n v="970"/>
    <x v="111"/>
    <x v="10"/>
    <n v="4"/>
    <n v="1"/>
    <n v="4"/>
    <n v="278858"/>
    <n v="1115432"/>
    <n v="334629.59999999998"/>
    <n v="0.3"/>
    <x v="1"/>
    <s v="Accessories"/>
    <x v="2"/>
    <x v="2"/>
  </r>
  <r>
    <n v="971"/>
    <x v="338"/>
    <x v="3"/>
    <n v="2"/>
    <n v="1"/>
    <n v="8"/>
    <n v="76364"/>
    <n v="610912"/>
    <n v="183273.60000000001"/>
    <n v="0.3"/>
    <x v="0"/>
    <s v="Electronics"/>
    <x v="2"/>
    <x v="2"/>
  </r>
  <r>
    <n v="972"/>
    <x v="67"/>
    <x v="10"/>
    <n v="5"/>
    <n v="1"/>
    <n v="2"/>
    <n v="341041"/>
    <n v="682082"/>
    <n v="204624.6"/>
    <n v="0.3"/>
    <x v="4"/>
    <s v="Accessories"/>
    <x v="2"/>
    <x v="2"/>
  </r>
  <r>
    <n v="973"/>
    <x v="93"/>
    <x v="10"/>
    <n v="3"/>
    <n v="1"/>
    <n v="17"/>
    <n v="376484"/>
    <n v="6400228"/>
    <n v="1920068.4"/>
    <n v="0.3"/>
    <x v="2"/>
    <s v="Electronics"/>
    <x v="2"/>
    <x v="2"/>
  </r>
  <r>
    <n v="974"/>
    <x v="114"/>
    <x v="1"/>
    <n v="2"/>
    <n v="1"/>
    <n v="16"/>
    <n v="286321"/>
    <n v="4581136"/>
    <n v="1374340.8"/>
    <n v="0.3"/>
    <x v="0"/>
    <s v="Electronics"/>
    <x v="2"/>
    <x v="2"/>
  </r>
  <r>
    <n v="975"/>
    <x v="1"/>
    <x v="1"/>
    <n v="3"/>
    <n v="2"/>
    <n v="14"/>
    <n v="271304"/>
    <n v="3798256"/>
    <n v="1139476.8"/>
    <n v="0.3"/>
    <x v="2"/>
    <s v="Electronics"/>
    <x v="3"/>
    <x v="3"/>
  </r>
  <r>
    <n v="976"/>
    <x v="322"/>
    <x v="3"/>
    <n v="4"/>
    <n v="3"/>
    <n v="11"/>
    <n v="309637"/>
    <n v="3406007"/>
    <n v="1021802.1"/>
    <n v="0.3"/>
    <x v="1"/>
    <s v="Accessories"/>
    <x v="0"/>
    <x v="0"/>
  </r>
  <r>
    <n v="977"/>
    <x v="278"/>
    <x v="3"/>
    <n v="3"/>
    <n v="3"/>
    <n v="7"/>
    <n v="273353"/>
    <n v="1913471"/>
    <n v="574041.29999999993"/>
    <n v="0.3"/>
    <x v="2"/>
    <s v="Electronics"/>
    <x v="0"/>
    <x v="0"/>
  </r>
  <r>
    <n v="978"/>
    <x v="262"/>
    <x v="8"/>
    <n v="3"/>
    <n v="1"/>
    <n v="16"/>
    <n v="347205"/>
    <n v="5555280"/>
    <n v="1666584"/>
    <n v="0.3"/>
    <x v="2"/>
    <s v="Electronics"/>
    <x v="2"/>
    <x v="2"/>
  </r>
  <r>
    <n v="979"/>
    <x v="308"/>
    <x v="8"/>
    <n v="3"/>
    <n v="1"/>
    <n v="2"/>
    <n v="207953"/>
    <n v="415906"/>
    <n v="124771.79999999999"/>
    <n v="0.3"/>
    <x v="2"/>
    <s v="Electronics"/>
    <x v="2"/>
    <x v="2"/>
  </r>
  <r>
    <n v="980"/>
    <x v="59"/>
    <x v="4"/>
    <n v="4"/>
    <n v="3"/>
    <n v="2"/>
    <n v="183440"/>
    <n v="366880"/>
    <n v="110064"/>
    <n v="0.3"/>
    <x v="1"/>
    <s v="Accessories"/>
    <x v="0"/>
    <x v="0"/>
  </r>
  <r>
    <n v="981"/>
    <x v="332"/>
    <x v="5"/>
    <n v="3"/>
    <n v="4"/>
    <n v="2"/>
    <n v="272290"/>
    <n v="544580"/>
    <n v="163374"/>
    <n v="0.3"/>
    <x v="2"/>
    <s v="Electronics"/>
    <x v="1"/>
    <x v="1"/>
  </r>
  <r>
    <n v="982"/>
    <x v="339"/>
    <x v="0"/>
    <n v="4"/>
    <n v="1"/>
    <n v="9"/>
    <n v="336693"/>
    <n v="3030237"/>
    <n v="909071.1"/>
    <n v="0.3"/>
    <x v="1"/>
    <s v="Accessories"/>
    <x v="2"/>
    <x v="2"/>
  </r>
  <r>
    <n v="983"/>
    <x v="164"/>
    <x v="2"/>
    <n v="1"/>
    <n v="2"/>
    <n v="10"/>
    <n v="290458"/>
    <n v="2904580"/>
    <n v="871374"/>
    <n v="0.3"/>
    <x v="3"/>
    <s v="Electronics"/>
    <x v="3"/>
    <x v="3"/>
  </r>
  <r>
    <n v="984"/>
    <x v="77"/>
    <x v="0"/>
    <n v="5"/>
    <n v="4"/>
    <n v="19"/>
    <n v="316154"/>
    <n v="6006926"/>
    <n v="1802077.8"/>
    <n v="0.3"/>
    <x v="4"/>
    <s v="Accessories"/>
    <x v="1"/>
    <x v="1"/>
  </r>
  <r>
    <n v="985"/>
    <x v="340"/>
    <x v="10"/>
    <n v="3"/>
    <n v="4"/>
    <n v="2"/>
    <n v="371042"/>
    <n v="742084"/>
    <n v="222625.19999999998"/>
    <n v="0.3"/>
    <x v="2"/>
    <s v="Electronics"/>
    <x v="1"/>
    <x v="1"/>
  </r>
  <r>
    <n v="986"/>
    <x v="14"/>
    <x v="8"/>
    <n v="3"/>
    <n v="3"/>
    <n v="4"/>
    <n v="137010"/>
    <n v="548040"/>
    <n v="164412"/>
    <n v="0.3"/>
    <x v="2"/>
    <s v="Electronics"/>
    <x v="0"/>
    <x v="0"/>
  </r>
  <r>
    <n v="987"/>
    <x v="108"/>
    <x v="1"/>
    <n v="2"/>
    <n v="4"/>
    <n v="2"/>
    <n v="192512"/>
    <n v="385024"/>
    <n v="115507.2"/>
    <n v="0.3"/>
    <x v="0"/>
    <s v="Electronics"/>
    <x v="1"/>
    <x v="1"/>
  </r>
  <r>
    <n v="988"/>
    <x v="320"/>
    <x v="2"/>
    <n v="5"/>
    <n v="2"/>
    <n v="5"/>
    <n v="350329"/>
    <n v="1751645"/>
    <n v="525493.5"/>
    <n v="0.3"/>
    <x v="4"/>
    <s v="Accessories"/>
    <x v="3"/>
    <x v="3"/>
  </r>
  <r>
    <n v="989"/>
    <x v="136"/>
    <x v="11"/>
    <n v="4"/>
    <n v="3"/>
    <n v="9"/>
    <n v="59094"/>
    <n v="531846"/>
    <n v="159553.79999999999"/>
    <n v="0.3"/>
    <x v="1"/>
    <s v="Accessories"/>
    <x v="0"/>
    <x v="0"/>
  </r>
  <r>
    <n v="990"/>
    <x v="3"/>
    <x v="3"/>
    <n v="1"/>
    <n v="4"/>
    <n v="6"/>
    <n v="387573"/>
    <n v="2325438"/>
    <n v="697631.4"/>
    <n v="0.3"/>
    <x v="3"/>
    <s v="Electronics"/>
    <x v="1"/>
    <x v="1"/>
  </r>
  <r>
    <n v="991"/>
    <x v="41"/>
    <x v="4"/>
    <n v="2"/>
    <n v="1"/>
    <n v="12"/>
    <n v="191905"/>
    <n v="2302860"/>
    <n v="690858"/>
    <n v="0.3"/>
    <x v="0"/>
    <s v="Electronics"/>
    <x v="2"/>
    <x v="2"/>
  </r>
  <r>
    <n v="992"/>
    <x v="265"/>
    <x v="3"/>
    <n v="3"/>
    <n v="3"/>
    <n v="14"/>
    <n v="164197"/>
    <n v="2298758"/>
    <n v="689627.4"/>
    <n v="0.3"/>
    <x v="2"/>
    <s v="Electronics"/>
    <x v="0"/>
    <x v="0"/>
  </r>
  <r>
    <n v="993"/>
    <x v="341"/>
    <x v="7"/>
    <n v="5"/>
    <n v="2"/>
    <n v="12"/>
    <n v="238710"/>
    <n v="2864520"/>
    <n v="859356"/>
    <n v="0.3"/>
    <x v="4"/>
    <s v="Accessories"/>
    <x v="3"/>
    <x v="3"/>
  </r>
  <r>
    <n v="994"/>
    <x v="195"/>
    <x v="0"/>
    <n v="3"/>
    <n v="2"/>
    <n v="19"/>
    <n v="61684"/>
    <n v="1171996"/>
    <n v="351598.8"/>
    <n v="0.3"/>
    <x v="2"/>
    <s v="Electronics"/>
    <x v="3"/>
    <x v="3"/>
  </r>
  <r>
    <n v="995"/>
    <x v="54"/>
    <x v="7"/>
    <n v="3"/>
    <n v="2"/>
    <n v="20"/>
    <n v="195352"/>
    <n v="3907040"/>
    <n v="1172112"/>
    <n v="0.3"/>
    <x v="2"/>
    <s v="Electronics"/>
    <x v="3"/>
    <x v="3"/>
  </r>
  <r>
    <n v="996"/>
    <x v="105"/>
    <x v="11"/>
    <n v="3"/>
    <n v="4"/>
    <n v="8"/>
    <n v="201184"/>
    <n v="1609472"/>
    <n v="482841.59999999998"/>
    <n v="0.3"/>
    <x v="2"/>
    <s v="Electronics"/>
    <x v="1"/>
    <x v="1"/>
  </r>
  <r>
    <n v="997"/>
    <x v="342"/>
    <x v="0"/>
    <n v="1"/>
    <n v="3"/>
    <n v="20"/>
    <n v="180020"/>
    <n v="3600400"/>
    <n v="1080120"/>
    <n v="0.3"/>
    <x v="3"/>
    <s v="Electronics"/>
    <x v="0"/>
    <x v="0"/>
  </r>
  <r>
    <n v="998"/>
    <x v="325"/>
    <x v="7"/>
    <n v="4"/>
    <n v="1"/>
    <n v="18"/>
    <n v="238166"/>
    <n v="4286988"/>
    <n v="1286096.3999999999"/>
    <n v="0.3"/>
    <x v="1"/>
    <s v="Accessories"/>
    <x v="2"/>
    <x v="2"/>
  </r>
  <r>
    <n v="999"/>
    <x v="10"/>
    <x v="2"/>
    <n v="2"/>
    <n v="4"/>
    <n v="4"/>
    <n v="387393"/>
    <n v="1549572"/>
    <n v="464871.6"/>
    <n v="0.3"/>
    <x v="0"/>
    <s v="Electronics"/>
    <x v="1"/>
    <x v="1"/>
  </r>
  <r>
    <n v="1000"/>
    <x v="214"/>
    <x v="7"/>
    <n v="1"/>
    <n v="3"/>
    <n v="1"/>
    <n v="184071"/>
    <n v="184071"/>
    <n v="55221.299999999996"/>
    <n v="0.3"/>
    <x v="3"/>
    <s v="Electronics"/>
    <x v="0"/>
    <x v="0"/>
  </r>
  <r>
    <n v="1001"/>
    <x v="0"/>
    <x v="0"/>
    <n v="5"/>
    <n v="3"/>
    <n v="11"/>
    <n v="145071"/>
    <n v="1595781"/>
    <n v="478734.3"/>
    <n v="0.3"/>
    <x v="4"/>
    <s v="Accessories"/>
    <x v="0"/>
    <x v="0"/>
  </r>
  <r>
    <n v="1002"/>
    <x v="341"/>
    <x v="7"/>
    <n v="2"/>
    <n v="4"/>
    <n v="1"/>
    <n v="193286"/>
    <n v="193286"/>
    <n v="57985.799999999996"/>
    <n v="0.3"/>
    <x v="0"/>
    <s v="Electronics"/>
    <x v="1"/>
    <x v="1"/>
  </r>
  <r>
    <n v="1003"/>
    <x v="147"/>
    <x v="10"/>
    <n v="3"/>
    <n v="2"/>
    <n v="6"/>
    <n v="281684"/>
    <n v="1690104"/>
    <n v="507031.19999999995"/>
    <n v="0.3"/>
    <x v="2"/>
    <s v="Electronics"/>
    <x v="3"/>
    <x v="3"/>
  </r>
  <r>
    <n v="1004"/>
    <x v="273"/>
    <x v="5"/>
    <n v="3"/>
    <n v="4"/>
    <n v="12"/>
    <n v="159009"/>
    <n v="1908108"/>
    <n v="572432.4"/>
    <n v="0.3"/>
    <x v="2"/>
    <s v="Electronics"/>
    <x v="1"/>
    <x v="1"/>
  </r>
  <r>
    <n v="1005"/>
    <x v="333"/>
    <x v="7"/>
    <n v="4"/>
    <n v="2"/>
    <n v="4"/>
    <n v="323424"/>
    <n v="1293696"/>
    <n v="388108.79999999999"/>
    <n v="0.3"/>
    <x v="1"/>
    <s v="Accessories"/>
    <x v="3"/>
    <x v="3"/>
  </r>
  <r>
    <n v="1006"/>
    <x v="306"/>
    <x v="10"/>
    <n v="5"/>
    <n v="4"/>
    <n v="7"/>
    <n v="68575"/>
    <n v="480025"/>
    <n v="144007.5"/>
    <n v="0.3"/>
    <x v="4"/>
    <s v="Accessories"/>
    <x v="1"/>
    <x v="1"/>
  </r>
  <r>
    <n v="1007"/>
    <x v="57"/>
    <x v="7"/>
    <n v="3"/>
    <n v="4"/>
    <n v="16"/>
    <n v="384553"/>
    <n v="6152848"/>
    <n v="1845854.4"/>
    <n v="0.3"/>
    <x v="2"/>
    <s v="Electronics"/>
    <x v="1"/>
    <x v="1"/>
  </r>
  <r>
    <n v="1008"/>
    <x v="281"/>
    <x v="4"/>
    <n v="5"/>
    <n v="3"/>
    <n v="19"/>
    <n v="107685"/>
    <n v="2046015"/>
    <n v="613804.5"/>
    <n v="0.3"/>
    <x v="4"/>
    <s v="Accessories"/>
    <x v="0"/>
    <x v="0"/>
  </r>
  <r>
    <n v="1009"/>
    <x v="343"/>
    <x v="6"/>
    <n v="4"/>
    <n v="4"/>
    <n v="18"/>
    <n v="358306"/>
    <n v="6449508"/>
    <n v="1934852.4"/>
    <n v="0.3"/>
    <x v="1"/>
    <s v="Accessories"/>
    <x v="1"/>
    <x v="1"/>
  </r>
  <r>
    <n v="1010"/>
    <x v="204"/>
    <x v="1"/>
    <n v="2"/>
    <n v="3"/>
    <n v="1"/>
    <n v="398959"/>
    <n v="398959"/>
    <n v="119687.7"/>
    <n v="0.3"/>
    <x v="0"/>
    <s v="Electronics"/>
    <x v="0"/>
    <x v="0"/>
  </r>
  <r>
    <n v="1011"/>
    <x v="344"/>
    <x v="11"/>
    <n v="4"/>
    <n v="2"/>
    <n v="17"/>
    <n v="343612"/>
    <n v="5841404"/>
    <n v="1752421.2"/>
    <n v="0.3"/>
    <x v="1"/>
    <s v="Accessories"/>
    <x v="3"/>
    <x v="3"/>
  </r>
  <r>
    <n v="1012"/>
    <x v="190"/>
    <x v="5"/>
    <n v="1"/>
    <n v="3"/>
    <n v="12"/>
    <n v="75194"/>
    <n v="902328"/>
    <n v="270698.39999999997"/>
    <n v="0.3"/>
    <x v="3"/>
    <s v="Electronics"/>
    <x v="0"/>
    <x v="0"/>
  </r>
  <r>
    <n v="1013"/>
    <x v="221"/>
    <x v="9"/>
    <n v="1"/>
    <n v="1"/>
    <n v="16"/>
    <n v="56255"/>
    <n v="900080"/>
    <n v="270024"/>
    <n v="0.3"/>
    <x v="3"/>
    <s v="Electronics"/>
    <x v="2"/>
    <x v="2"/>
  </r>
  <r>
    <n v="1014"/>
    <x v="65"/>
    <x v="0"/>
    <n v="2"/>
    <n v="2"/>
    <n v="20"/>
    <n v="391689"/>
    <n v="7833780"/>
    <n v="2350134"/>
    <n v="0.3"/>
    <x v="0"/>
    <s v="Electronics"/>
    <x v="3"/>
    <x v="3"/>
  </r>
  <r>
    <n v="1015"/>
    <x v="65"/>
    <x v="0"/>
    <n v="3"/>
    <n v="3"/>
    <n v="17"/>
    <n v="60199"/>
    <n v="1023383"/>
    <n v="307014.89999999997"/>
    <n v="0.3"/>
    <x v="2"/>
    <s v="Electronics"/>
    <x v="0"/>
    <x v="0"/>
  </r>
  <r>
    <n v="1016"/>
    <x v="158"/>
    <x v="4"/>
    <n v="4"/>
    <n v="1"/>
    <n v="9"/>
    <n v="203748"/>
    <n v="1833732"/>
    <n v="550119.6"/>
    <n v="0.3"/>
    <x v="1"/>
    <s v="Accessories"/>
    <x v="2"/>
    <x v="2"/>
  </r>
  <r>
    <n v="1017"/>
    <x v="91"/>
    <x v="4"/>
    <n v="3"/>
    <n v="4"/>
    <n v="17"/>
    <n v="328818"/>
    <n v="5589906"/>
    <n v="1676971.8"/>
    <n v="0.3"/>
    <x v="2"/>
    <s v="Electronics"/>
    <x v="1"/>
    <x v="1"/>
  </r>
  <r>
    <n v="1018"/>
    <x v="38"/>
    <x v="11"/>
    <n v="2"/>
    <n v="2"/>
    <n v="3"/>
    <n v="319229"/>
    <n v="957687"/>
    <n v="287306.09999999998"/>
    <n v="0.3"/>
    <x v="0"/>
    <s v="Electronics"/>
    <x v="3"/>
    <x v="3"/>
  </r>
  <r>
    <n v="1019"/>
    <x v="150"/>
    <x v="0"/>
    <n v="3"/>
    <n v="2"/>
    <n v="20"/>
    <n v="285231"/>
    <n v="5704620"/>
    <n v="1711386"/>
    <n v="0.3"/>
    <x v="2"/>
    <s v="Electronics"/>
    <x v="3"/>
    <x v="3"/>
  </r>
  <r>
    <n v="1020"/>
    <x v="155"/>
    <x v="5"/>
    <n v="2"/>
    <n v="3"/>
    <n v="7"/>
    <n v="147389"/>
    <n v="1031723"/>
    <n v="309516.89999999997"/>
    <n v="0.3"/>
    <x v="0"/>
    <s v="Electronics"/>
    <x v="0"/>
    <x v="0"/>
  </r>
  <r>
    <n v="1021"/>
    <x v="258"/>
    <x v="9"/>
    <n v="2"/>
    <n v="3"/>
    <n v="16"/>
    <n v="184646"/>
    <n v="2954336"/>
    <n v="886300.79999999993"/>
    <n v="0.3"/>
    <x v="0"/>
    <s v="Electronics"/>
    <x v="0"/>
    <x v="0"/>
  </r>
  <r>
    <n v="1022"/>
    <x v="286"/>
    <x v="11"/>
    <n v="3"/>
    <n v="1"/>
    <n v="7"/>
    <n v="152626"/>
    <n v="1068382"/>
    <n v="320514.59999999998"/>
    <n v="0.3"/>
    <x v="2"/>
    <s v="Electronics"/>
    <x v="2"/>
    <x v="2"/>
  </r>
  <r>
    <n v="1023"/>
    <x v="92"/>
    <x v="8"/>
    <n v="4"/>
    <n v="4"/>
    <n v="15"/>
    <n v="221437"/>
    <n v="3321555"/>
    <n v="996466.5"/>
    <n v="0.3"/>
    <x v="1"/>
    <s v="Accessories"/>
    <x v="1"/>
    <x v="1"/>
  </r>
  <r>
    <n v="1024"/>
    <x v="216"/>
    <x v="11"/>
    <n v="2"/>
    <n v="1"/>
    <n v="17"/>
    <n v="354687"/>
    <n v="6029679"/>
    <n v="1808903.7"/>
    <n v="0.3"/>
    <x v="0"/>
    <s v="Electronics"/>
    <x v="2"/>
    <x v="2"/>
  </r>
  <r>
    <n v="1025"/>
    <x v="132"/>
    <x v="2"/>
    <n v="4"/>
    <n v="2"/>
    <n v="15"/>
    <n v="250872"/>
    <n v="3763080"/>
    <n v="1128924"/>
    <n v="0.3"/>
    <x v="1"/>
    <s v="Accessories"/>
    <x v="3"/>
    <x v="3"/>
  </r>
  <r>
    <n v="1026"/>
    <x v="345"/>
    <x v="2"/>
    <n v="3"/>
    <n v="2"/>
    <n v="17"/>
    <n v="251910"/>
    <n v="4282470"/>
    <n v="1284741"/>
    <n v="0.3"/>
    <x v="2"/>
    <s v="Electronics"/>
    <x v="3"/>
    <x v="3"/>
  </r>
  <r>
    <n v="1027"/>
    <x v="267"/>
    <x v="0"/>
    <n v="5"/>
    <n v="4"/>
    <n v="19"/>
    <n v="129094"/>
    <n v="2452786"/>
    <n v="735835.79999999993"/>
    <n v="0.3"/>
    <x v="4"/>
    <s v="Accessories"/>
    <x v="1"/>
    <x v="1"/>
  </r>
  <r>
    <n v="1028"/>
    <x v="209"/>
    <x v="5"/>
    <n v="3"/>
    <n v="2"/>
    <n v="15"/>
    <n v="108187"/>
    <n v="1622805"/>
    <n v="486841.5"/>
    <n v="0.3"/>
    <x v="2"/>
    <s v="Electronics"/>
    <x v="3"/>
    <x v="3"/>
  </r>
  <r>
    <n v="1029"/>
    <x v="281"/>
    <x v="4"/>
    <n v="3"/>
    <n v="2"/>
    <n v="10"/>
    <n v="307282"/>
    <n v="3072820"/>
    <n v="921846"/>
    <n v="0.3"/>
    <x v="2"/>
    <s v="Electronics"/>
    <x v="3"/>
    <x v="3"/>
  </r>
  <r>
    <n v="1030"/>
    <x v="206"/>
    <x v="3"/>
    <n v="2"/>
    <n v="2"/>
    <n v="5"/>
    <n v="373580"/>
    <n v="1867900"/>
    <n v="560370"/>
    <n v="0.3"/>
    <x v="0"/>
    <s v="Electronics"/>
    <x v="3"/>
    <x v="3"/>
  </r>
  <r>
    <n v="1031"/>
    <x v="85"/>
    <x v="9"/>
    <n v="1"/>
    <n v="2"/>
    <n v="14"/>
    <n v="212396"/>
    <n v="2973544"/>
    <n v="892063.2"/>
    <n v="0.3"/>
    <x v="3"/>
    <s v="Electronics"/>
    <x v="3"/>
    <x v="3"/>
  </r>
  <r>
    <n v="1032"/>
    <x v="161"/>
    <x v="8"/>
    <n v="5"/>
    <n v="1"/>
    <n v="8"/>
    <n v="210377"/>
    <n v="1683016"/>
    <n v="504904.8"/>
    <n v="0.3"/>
    <x v="4"/>
    <s v="Accessories"/>
    <x v="2"/>
    <x v="2"/>
  </r>
  <r>
    <n v="1033"/>
    <x v="218"/>
    <x v="10"/>
    <n v="5"/>
    <n v="2"/>
    <n v="13"/>
    <n v="363011"/>
    <n v="4719143"/>
    <n v="1415742.9"/>
    <n v="0.3"/>
    <x v="4"/>
    <s v="Accessories"/>
    <x v="3"/>
    <x v="3"/>
  </r>
  <r>
    <n v="1034"/>
    <x v="72"/>
    <x v="1"/>
    <n v="3"/>
    <n v="3"/>
    <n v="10"/>
    <n v="169577"/>
    <n v="1695770"/>
    <n v="508731"/>
    <n v="0.3"/>
    <x v="2"/>
    <s v="Electronics"/>
    <x v="0"/>
    <x v="0"/>
  </r>
  <r>
    <n v="1035"/>
    <x v="222"/>
    <x v="4"/>
    <n v="4"/>
    <n v="4"/>
    <n v="15"/>
    <n v="384502"/>
    <n v="5767530"/>
    <n v="1730259"/>
    <n v="0.3"/>
    <x v="1"/>
    <s v="Accessories"/>
    <x v="1"/>
    <x v="1"/>
  </r>
  <r>
    <n v="1036"/>
    <x v="47"/>
    <x v="8"/>
    <n v="5"/>
    <n v="2"/>
    <n v="10"/>
    <n v="282756"/>
    <n v="2827560"/>
    <n v="848268"/>
    <n v="0.3"/>
    <x v="4"/>
    <s v="Accessories"/>
    <x v="3"/>
    <x v="3"/>
  </r>
  <r>
    <n v="1037"/>
    <x v="21"/>
    <x v="2"/>
    <n v="4"/>
    <n v="2"/>
    <n v="15"/>
    <n v="336192"/>
    <n v="5042880"/>
    <n v="1512864"/>
    <n v="0.3"/>
    <x v="1"/>
    <s v="Accessories"/>
    <x v="3"/>
    <x v="3"/>
  </r>
  <r>
    <n v="1038"/>
    <x v="48"/>
    <x v="1"/>
    <n v="5"/>
    <n v="1"/>
    <n v="12"/>
    <n v="222858"/>
    <n v="2674296"/>
    <n v="802288.79999999993"/>
    <n v="0.3"/>
    <x v="4"/>
    <s v="Accessories"/>
    <x v="2"/>
    <x v="2"/>
  </r>
  <r>
    <n v="1039"/>
    <x v="78"/>
    <x v="8"/>
    <n v="1"/>
    <n v="1"/>
    <n v="19"/>
    <n v="234546"/>
    <n v="4456374"/>
    <n v="1336912.2"/>
    <n v="0.3"/>
    <x v="3"/>
    <s v="Electronics"/>
    <x v="2"/>
    <x v="2"/>
  </r>
  <r>
    <n v="1040"/>
    <x v="341"/>
    <x v="7"/>
    <n v="4"/>
    <n v="3"/>
    <n v="5"/>
    <n v="238215"/>
    <n v="1191075"/>
    <n v="357322.5"/>
    <n v="0.3"/>
    <x v="1"/>
    <s v="Accessories"/>
    <x v="0"/>
    <x v="0"/>
  </r>
  <r>
    <n v="1041"/>
    <x v="156"/>
    <x v="8"/>
    <n v="3"/>
    <n v="2"/>
    <n v="20"/>
    <n v="144637"/>
    <n v="2892740"/>
    <n v="867822"/>
    <n v="0.3"/>
    <x v="2"/>
    <s v="Electronics"/>
    <x v="3"/>
    <x v="3"/>
  </r>
  <r>
    <n v="1042"/>
    <x v="193"/>
    <x v="6"/>
    <n v="5"/>
    <n v="4"/>
    <n v="12"/>
    <n v="380062"/>
    <n v="4560744"/>
    <n v="1368223.2"/>
    <n v="0.3"/>
    <x v="4"/>
    <s v="Accessories"/>
    <x v="1"/>
    <x v="1"/>
  </r>
  <r>
    <n v="1043"/>
    <x v="60"/>
    <x v="0"/>
    <n v="5"/>
    <n v="3"/>
    <n v="7"/>
    <n v="194153"/>
    <n v="1359071"/>
    <n v="407721.3"/>
    <n v="0.3"/>
    <x v="4"/>
    <s v="Accessories"/>
    <x v="0"/>
    <x v="0"/>
  </r>
  <r>
    <n v="1044"/>
    <x v="346"/>
    <x v="5"/>
    <n v="3"/>
    <n v="1"/>
    <n v="16"/>
    <n v="195604"/>
    <n v="3129664"/>
    <n v="938899.2"/>
    <n v="0.3"/>
    <x v="2"/>
    <s v="Electronics"/>
    <x v="2"/>
    <x v="2"/>
  </r>
  <r>
    <n v="1045"/>
    <x v="347"/>
    <x v="6"/>
    <n v="3"/>
    <n v="2"/>
    <n v="1"/>
    <n v="196829"/>
    <n v="196829"/>
    <n v="59048.7"/>
    <n v="0.3"/>
    <x v="2"/>
    <s v="Electronics"/>
    <x v="3"/>
    <x v="3"/>
  </r>
  <r>
    <n v="1046"/>
    <x v="28"/>
    <x v="5"/>
    <n v="5"/>
    <n v="2"/>
    <n v="8"/>
    <n v="123650"/>
    <n v="989200"/>
    <n v="296760"/>
    <n v="0.3"/>
    <x v="4"/>
    <s v="Accessories"/>
    <x v="3"/>
    <x v="3"/>
  </r>
  <r>
    <n v="1047"/>
    <x v="7"/>
    <x v="6"/>
    <n v="4"/>
    <n v="4"/>
    <n v="20"/>
    <n v="195723"/>
    <n v="3914460"/>
    <n v="1174338"/>
    <n v="0.3"/>
    <x v="1"/>
    <s v="Accessories"/>
    <x v="1"/>
    <x v="1"/>
  </r>
  <r>
    <n v="1048"/>
    <x v="249"/>
    <x v="11"/>
    <n v="1"/>
    <n v="3"/>
    <n v="6"/>
    <n v="248621"/>
    <n v="1491726"/>
    <n v="447517.8"/>
    <n v="0.3"/>
    <x v="3"/>
    <s v="Electronics"/>
    <x v="0"/>
    <x v="0"/>
  </r>
  <r>
    <n v="1049"/>
    <x v="134"/>
    <x v="6"/>
    <n v="4"/>
    <n v="1"/>
    <n v="15"/>
    <n v="258874"/>
    <n v="3883110"/>
    <n v="1164933"/>
    <n v="0.3"/>
    <x v="1"/>
    <s v="Accessories"/>
    <x v="2"/>
    <x v="2"/>
  </r>
  <r>
    <n v="1050"/>
    <x v="190"/>
    <x v="5"/>
    <n v="4"/>
    <n v="1"/>
    <n v="4"/>
    <n v="65746"/>
    <n v="262984"/>
    <n v="78895.199999999997"/>
    <n v="0.3"/>
    <x v="1"/>
    <s v="Accessories"/>
    <x v="2"/>
    <x v="2"/>
  </r>
  <r>
    <n v="1051"/>
    <x v="348"/>
    <x v="5"/>
    <n v="2"/>
    <n v="1"/>
    <n v="2"/>
    <n v="198141"/>
    <n v="396282"/>
    <n v="118884.59999999999"/>
    <n v="0.3"/>
    <x v="0"/>
    <s v="Electronics"/>
    <x v="2"/>
    <x v="2"/>
  </r>
  <r>
    <n v="1052"/>
    <x v="286"/>
    <x v="11"/>
    <n v="3"/>
    <n v="2"/>
    <n v="9"/>
    <n v="53947"/>
    <n v="485523"/>
    <n v="145656.9"/>
    <n v="0.3"/>
    <x v="2"/>
    <s v="Electronics"/>
    <x v="3"/>
    <x v="3"/>
  </r>
  <r>
    <n v="1053"/>
    <x v="127"/>
    <x v="9"/>
    <n v="4"/>
    <n v="1"/>
    <n v="17"/>
    <n v="363371"/>
    <n v="6177307"/>
    <n v="1853192.0999999999"/>
    <n v="0.3"/>
    <x v="1"/>
    <s v="Accessories"/>
    <x v="2"/>
    <x v="2"/>
  </r>
  <r>
    <n v="1054"/>
    <x v="164"/>
    <x v="2"/>
    <n v="4"/>
    <n v="4"/>
    <n v="2"/>
    <n v="53560"/>
    <n v="107120"/>
    <n v="32136"/>
    <n v="0.3"/>
    <x v="1"/>
    <s v="Accessories"/>
    <x v="1"/>
    <x v="1"/>
  </r>
  <r>
    <n v="1055"/>
    <x v="29"/>
    <x v="8"/>
    <n v="1"/>
    <n v="2"/>
    <n v="19"/>
    <n v="298458"/>
    <n v="5670702"/>
    <n v="1701210.5999999999"/>
    <n v="0.3"/>
    <x v="3"/>
    <s v="Electronics"/>
    <x v="3"/>
    <x v="3"/>
  </r>
  <r>
    <n v="1056"/>
    <x v="16"/>
    <x v="1"/>
    <n v="4"/>
    <n v="1"/>
    <n v="2"/>
    <n v="126246"/>
    <n v="252492"/>
    <n v="75747.599999999991"/>
    <n v="0.3"/>
    <x v="1"/>
    <s v="Accessories"/>
    <x v="2"/>
    <x v="2"/>
  </r>
  <r>
    <n v="1057"/>
    <x v="183"/>
    <x v="7"/>
    <n v="1"/>
    <n v="2"/>
    <n v="4"/>
    <n v="138187"/>
    <n v="552748"/>
    <n v="165824.4"/>
    <n v="0.3"/>
    <x v="3"/>
    <s v="Electronics"/>
    <x v="3"/>
    <x v="3"/>
  </r>
  <r>
    <n v="1058"/>
    <x v="203"/>
    <x v="4"/>
    <n v="1"/>
    <n v="2"/>
    <n v="8"/>
    <n v="301304"/>
    <n v="2410432"/>
    <n v="723129.6"/>
    <n v="0.3"/>
    <x v="3"/>
    <s v="Electronics"/>
    <x v="3"/>
    <x v="3"/>
  </r>
  <r>
    <n v="1059"/>
    <x v="329"/>
    <x v="10"/>
    <n v="3"/>
    <n v="1"/>
    <n v="10"/>
    <n v="242232"/>
    <n v="2422320"/>
    <n v="726696"/>
    <n v="0.3"/>
    <x v="2"/>
    <s v="Electronics"/>
    <x v="2"/>
    <x v="2"/>
  </r>
  <r>
    <n v="1060"/>
    <x v="310"/>
    <x v="11"/>
    <n v="2"/>
    <n v="2"/>
    <n v="4"/>
    <n v="317103"/>
    <n v="1268412"/>
    <n v="380523.6"/>
    <n v="0.3"/>
    <x v="0"/>
    <s v="Electronics"/>
    <x v="3"/>
    <x v="3"/>
  </r>
  <r>
    <n v="1061"/>
    <x v="172"/>
    <x v="11"/>
    <n v="4"/>
    <n v="1"/>
    <n v="3"/>
    <n v="284842"/>
    <n v="854526"/>
    <n v="256357.8"/>
    <n v="0.3"/>
    <x v="1"/>
    <s v="Accessories"/>
    <x v="2"/>
    <x v="2"/>
  </r>
  <r>
    <n v="1062"/>
    <x v="166"/>
    <x v="9"/>
    <n v="3"/>
    <n v="2"/>
    <n v="13"/>
    <n v="323914"/>
    <n v="4210882"/>
    <n v="1263264.5999999999"/>
    <n v="0.3"/>
    <x v="2"/>
    <s v="Electronics"/>
    <x v="3"/>
    <x v="3"/>
  </r>
  <r>
    <n v="1063"/>
    <x v="257"/>
    <x v="9"/>
    <n v="2"/>
    <n v="2"/>
    <n v="18"/>
    <n v="110913"/>
    <n v="1996434"/>
    <n v="598930.19999999995"/>
    <n v="0.3"/>
    <x v="0"/>
    <s v="Electronics"/>
    <x v="3"/>
    <x v="3"/>
  </r>
  <r>
    <n v="1064"/>
    <x v="255"/>
    <x v="11"/>
    <n v="1"/>
    <n v="1"/>
    <n v="10"/>
    <n v="308981"/>
    <n v="3089810"/>
    <n v="926943"/>
    <n v="0.3"/>
    <x v="3"/>
    <s v="Electronics"/>
    <x v="2"/>
    <x v="2"/>
  </r>
  <r>
    <n v="1065"/>
    <x v="349"/>
    <x v="1"/>
    <n v="4"/>
    <n v="3"/>
    <n v="18"/>
    <n v="306657"/>
    <n v="5519826"/>
    <n v="1655947.8"/>
    <n v="0.3"/>
    <x v="1"/>
    <s v="Accessories"/>
    <x v="0"/>
    <x v="0"/>
  </r>
  <r>
    <n v="1066"/>
    <x v="178"/>
    <x v="6"/>
    <n v="3"/>
    <n v="3"/>
    <n v="4"/>
    <n v="334111"/>
    <n v="1336444"/>
    <n v="400933.2"/>
    <n v="0.3"/>
    <x v="2"/>
    <s v="Electronics"/>
    <x v="0"/>
    <x v="0"/>
  </r>
  <r>
    <n v="1067"/>
    <x v="5"/>
    <x v="1"/>
    <n v="5"/>
    <n v="4"/>
    <n v="12"/>
    <n v="396396"/>
    <n v="4756752"/>
    <n v="1427025.5999999999"/>
    <n v="0.3"/>
    <x v="4"/>
    <s v="Accessories"/>
    <x v="1"/>
    <x v="1"/>
  </r>
  <r>
    <n v="1068"/>
    <x v="94"/>
    <x v="0"/>
    <n v="3"/>
    <n v="3"/>
    <n v="8"/>
    <n v="189715"/>
    <n v="1517720"/>
    <n v="455316"/>
    <n v="0.3"/>
    <x v="2"/>
    <s v="Electronics"/>
    <x v="0"/>
    <x v="0"/>
  </r>
  <r>
    <n v="1069"/>
    <x v="345"/>
    <x v="2"/>
    <n v="1"/>
    <n v="2"/>
    <n v="2"/>
    <n v="208387"/>
    <n v="416774"/>
    <n v="125032.2"/>
    <n v="0.3"/>
    <x v="3"/>
    <s v="Electronics"/>
    <x v="3"/>
    <x v="3"/>
  </r>
  <r>
    <n v="1070"/>
    <x v="318"/>
    <x v="6"/>
    <n v="4"/>
    <n v="3"/>
    <n v="3"/>
    <n v="344290"/>
    <n v="1032870"/>
    <n v="309861"/>
    <n v="0.3"/>
    <x v="1"/>
    <s v="Accessories"/>
    <x v="0"/>
    <x v="0"/>
  </r>
  <r>
    <n v="1071"/>
    <x v="118"/>
    <x v="3"/>
    <n v="2"/>
    <n v="2"/>
    <n v="8"/>
    <n v="285230"/>
    <n v="2281840"/>
    <n v="684552"/>
    <n v="0.3"/>
    <x v="0"/>
    <s v="Electronics"/>
    <x v="3"/>
    <x v="3"/>
  </r>
  <r>
    <n v="1072"/>
    <x v="84"/>
    <x v="3"/>
    <n v="3"/>
    <n v="3"/>
    <n v="9"/>
    <n v="97465"/>
    <n v="877185"/>
    <n v="263155.5"/>
    <n v="0.3"/>
    <x v="2"/>
    <s v="Electronics"/>
    <x v="0"/>
    <x v="0"/>
  </r>
  <r>
    <n v="1073"/>
    <x v="259"/>
    <x v="6"/>
    <n v="2"/>
    <n v="3"/>
    <n v="2"/>
    <n v="331845"/>
    <n v="663690"/>
    <n v="199107"/>
    <n v="0.3"/>
    <x v="0"/>
    <s v="Electronics"/>
    <x v="0"/>
    <x v="0"/>
  </r>
  <r>
    <n v="1074"/>
    <x v="113"/>
    <x v="9"/>
    <n v="2"/>
    <n v="4"/>
    <n v="6"/>
    <n v="101507"/>
    <n v="609042"/>
    <n v="182712.6"/>
    <n v="0.3"/>
    <x v="0"/>
    <s v="Electronics"/>
    <x v="1"/>
    <x v="1"/>
  </r>
  <r>
    <n v="1075"/>
    <x v="201"/>
    <x v="9"/>
    <n v="5"/>
    <n v="4"/>
    <n v="8"/>
    <n v="271348"/>
    <n v="2170784"/>
    <n v="651235.19999999995"/>
    <n v="0.3"/>
    <x v="4"/>
    <s v="Accessories"/>
    <x v="1"/>
    <x v="1"/>
  </r>
  <r>
    <n v="1076"/>
    <x v="253"/>
    <x v="4"/>
    <n v="5"/>
    <n v="4"/>
    <n v="17"/>
    <n v="196156"/>
    <n v="3334652"/>
    <n v="1000395.6"/>
    <n v="0.3"/>
    <x v="4"/>
    <s v="Accessories"/>
    <x v="1"/>
    <x v="1"/>
  </r>
  <r>
    <n v="1077"/>
    <x v="99"/>
    <x v="8"/>
    <n v="3"/>
    <n v="3"/>
    <n v="4"/>
    <n v="392711"/>
    <n v="1570844"/>
    <n v="471253.2"/>
    <n v="0.3"/>
    <x v="2"/>
    <s v="Electronics"/>
    <x v="0"/>
    <x v="0"/>
  </r>
  <r>
    <n v="1078"/>
    <x v="77"/>
    <x v="0"/>
    <n v="3"/>
    <n v="2"/>
    <n v="20"/>
    <n v="367927"/>
    <n v="7358540"/>
    <n v="2207562"/>
    <n v="0.3"/>
    <x v="2"/>
    <s v="Electronics"/>
    <x v="3"/>
    <x v="3"/>
  </r>
  <r>
    <n v="1079"/>
    <x v="349"/>
    <x v="1"/>
    <n v="5"/>
    <n v="4"/>
    <n v="18"/>
    <n v="54047"/>
    <n v="972846"/>
    <n v="291853.8"/>
    <n v="0.3"/>
    <x v="4"/>
    <s v="Accessories"/>
    <x v="1"/>
    <x v="1"/>
  </r>
  <r>
    <n v="1080"/>
    <x v="199"/>
    <x v="10"/>
    <n v="1"/>
    <n v="3"/>
    <n v="13"/>
    <n v="204105"/>
    <n v="2653365"/>
    <n v="796009.5"/>
    <n v="0.3"/>
    <x v="3"/>
    <s v="Electronics"/>
    <x v="0"/>
    <x v="0"/>
  </r>
  <r>
    <n v="1081"/>
    <x v="137"/>
    <x v="2"/>
    <n v="5"/>
    <n v="1"/>
    <n v="7"/>
    <n v="298334"/>
    <n v="2088338"/>
    <n v="626501.4"/>
    <n v="0.3"/>
    <x v="4"/>
    <s v="Accessories"/>
    <x v="2"/>
    <x v="2"/>
  </r>
  <r>
    <n v="1082"/>
    <x v="89"/>
    <x v="4"/>
    <n v="2"/>
    <n v="4"/>
    <n v="9"/>
    <n v="205062"/>
    <n v="1845558"/>
    <n v="553667.4"/>
    <n v="0.3"/>
    <x v="0"/>
    <s v="Electronics"/>
    <x v="1"/>
    <x v="1"/>
  </r>
  <r>
    <n v="1083"/>
    <x v="342"/>
    <x v="0"/>
    <n v="5"/>
    <n v="3"/>
    <n v="15"/>
    <n v="90719"/>
    <n v="1360785"/>
    <n v="408235.5"/>
    <n v="0.3"/>
    <x v="4"/>
    <s v="Accessories"/>
    <x v="0"/>
    <x v="0"/>
  </r>
  <r>
    <n v="1084"/>
    <x v="294"/>
    <x v="5"/>
    <n v="4"/>
    <n v="3"/>
    <n v="19"/>
    <n v="169699"/>
    <n v="3224281"/>
    <n v="967284.29999999993"/>
    <n v="0.3"/>
    <x v="1"/>
    <s v="Accessories"/>
    <x v="0"/>
    <x v="0"/>
  </r>
  <r>
    <n v="1085"/>
    <x v="6"/>
    <x v="5"/>
    <n v="1"/>
    <n v="2"/>
    <n v="17"/>
    <n v="364747"/>
    <n v="6200699"/>
    <n v="1860209.7"/>
    <n v="0.3"/>
    <x v="3"/>
    <s v="Electronics"/>
    <x v="3"/>
    <x v="3"/>
  </r>
  <r>
    <n v="1086"/>
    <x v="326"/>
    <x v="6"/>
    <n v="2"/>
    <n v="2"/>
    <n v="19"/>
    <n v="137855"/>
    <n v="2619245"/>
    <n v="785773.5"/>
    <n v="0.3"/>
    <x v="0"/>
    <s v="Electronics"/>
    <x v="3"/>
    <x v="3"/>
  </r>
  <r>
    <n v="1087"/>
    <x v="285"/>
    <x v="8"/>
    <n v="4"/>
    <n v="3"/>
    <n v="6"/>
    <n v="326218"/>
    <n v="1957308"/>
    <n v="587192.4"/>
    <n v="0.3"/>
    <x v="1"/>
    <s v="Accessories"/>
    <x v="0"/>
    <x v="0"/>
  </r>
  <r>
    <n v="1088"/>
    <x v="76"/>
    <x v="5"/>
    <n v="1"/>
    <n v="1"/>
    <n v="19"/>
    <n v="157389"/>
    <n v="2990391"/>
    <n v="897117.29999999993"/>
    <n v="0.3"/>
    <x v="3"/>
    <s v="Electronics"/>
    <x v="2"/>
    <x v="2"/>
  </r>
  <r>
    <n v="1089"/>
    <x v="212"/>
    <x v="3"/>
    <n v="2"/>
    <n v="3"/>
    <n v="1"/>
    <n v="107026"/>
    <n v="107026"/>
    <n v="32107.8"/>
    <n v="0.3"/>
    <x v="0"/>
    <s v="Electronics"/>
    <x v="0"/>
    <x v="0"/>
  </r>
  <r>
    <n v="1090"/>
    <x v="19"/>
    <x v="2"/>
    <n v="5"/>
    <n v="1"/>
    <n v="2"/>
    <n v="268247"/>
    <n v="536494"/>
    <n v="160948.19999999998"/>
    <n v="0.3"/>
    <x v="4"/>
    <s v="Accessories"/>
    <x v="2"/>
    <x v="2"/>
  </r>
  <r>
    <n v="1091"/>
    <x v="166"/>
    <x v="9"/>
    <n v="2"/>
    <n v="2"/>
    <n v="10"/>
    <n v="313031"/>
    <n v="3130310"/>
    <n v="939093"/>
    <n v="0.3"/>
    <x v="0"/>
    <s v="Electronics"/>
    <x v="3"/>
    <x v="3"/>
  </r>
  <r>
    <n v="1092"/>
    <x v="271"/>
    <x v="5"/>
    <n v="4"/>
    <n v="4"/>
    <n v="5"/>
    <n v="292978"/>
    <n v="1464890"/>
    <n v="439467"/>
    <n v="0.3"/>
    <x v="1"/>
    <s v="Accessories"/>
    <x v="1"/>
    <x v="1"/>
  </r>
  <r>
    <n v="1093"/>
    <x v="76"/>
    <x v="5"/>
    <n v="1"/>
    <n v="4"/>
    <n v="1"/>
    <n v="158039"/>
    <n v="158039"/>
    <n v="47411.7"/>
    <n v="0.3"/>
    <x v="3"/>
    <s v="Electronics"/>
    <x v="1"/>
    <x v="1"/>
  </r>
  <r>
    <n v="1094"/>
    <x v="203"/>
    <x v="4"/>
    <n v="1"/>
    <n v="2"/>
    <n v="6"/>
    <n v="102877"/>
    <n v="617262"/>
    <n v="185178.6"/>
    <n v="0.3"/>
    <x v="3"/>
    <s v="Electronics"/>
    <x v="3"/>
    <x v="3"/>
  </r>
  <r>
    <n v="1095"/>
    <x v="116"/>
    <x v="4"/>
    <n v="3"/>
    <n v="1"/>
    <n v="16"/>
    <n v="246867"/>
    <n v="3949872"/>
    <n v="1184961.5999999999"/>
    <n v="0.3"/>
    <x v="2"/>
    <s v="Electronics"/>
    <x v="2"/>
    <x v="2"/>
  </r>
  <r>
    <n v="1096"/>
    <x v="125"/>
    <x v="6"/>
    <n v="1"/>
    <n v="4"/>
    <n v="20"/>
    <n v="331894"/>
    <n v="6637880"/>
    <n v="1991364"/>
    <n v="0.3"/>
    <x v="3"/>
    <s v="Electronics"/>
    <x v="1"/>
    <x v="1"/>
  </r>
  <r>
    <n v="1097"/>
    <x v="5"/>
    <x v="1"/>
    <n v="2"/>
    <n v="4"/>
    <n v="1"/>
    <n v="222950"/>
    <n v="222950"/>
    <n v="66885"/>
    <n v="0.3"/>
    <x v="0"/>
    <s v="Electronics"/>
    <x v="1"/>
    <x v="1"/>
  </r>
  <r>
    <n v="1098"/>
    <x v="209"/>
    <x v="5"/>
    <n v="1"/>
    <n v="2"/>
    <n v="7"/>
    <n v="51991"/>
    <n v="363937"/>
    <n v="109181.09999999999"/>
    <n v="0.3"/>
    <x v="3"/>
    <s v="Electronics"/>
    <x v="3"/>
    <x v="3"/>
  </r>
  <r>
    <n v="1099"/>
    <x v="272"/>
    <x v="0"/>
    <n v="2"/>
    <n v="2"/>
    <n v="3"/>
    <n v="267120"/>
    <n v="801360"/>
    <n v="240408"/>
    <n v="0.3"/>
    <x v="0"/>
    <s v="Electronics"/>
    <x v="3"/>
    <x v="3"/>
  </r>
  <r>
    <n v="1100"/>
    <x v="325"/>
    <x v="7"/>
    <n v="5"/>
    <n v="3"/>
    <n v="12"/>
    <n v="281931"/>
    <n v="3383172"/>
    <n v="1014951.6"/>
    <n v="0.3"/>
    <x v="4"/>
    <s v="Accessories"/>
    <x v="0"/>
    <x v="0"/>
  </r>
  <r>
    <n v="1101"/>
    <x v="9"/>
    <x v="7"/>
    <n v="4"/>
    <n v="4"/>
    <n v="18"/>
    <n v="308131"/>
    <n v="5546358"/>
    <n v="1663907.4"/>
    <n v="0.3"/>
    <x v="1"/>
    <s v="Accessories"/>
    <x v="1"/>
    <x v="1"/>
  </r>
  <r>
    <n v="1102"/>
    <x v="200"/>
    <x v="10"/>
    <n v="1"/>
    <n v="1"/>
    <n v="3"/>
    <n v="387631"/>
    <n v="1162893"/>
    <n v="348867.89999999997"/>
    <n v="0.3"/>
    <x v="3"/>
    <s v="Electronics"/>
    <x v="2"/>
    <x v="2"/>
  </r>
  <r>
    <n v="1103"/>
    <x v="162"/>
    <x v="1"/>
    <n v="3"/>
    <n v="2"/>
    <n v="17"/>
    <n v="129596"/>
    <n v="2203132"/>
    <n v="660939.6"/>
    <n v="0.3"/>
    <x v="2"/>
    <s v="Electronics"/>
    <x v="3"/>
    <x v="3"/>
  </r>
  <r>
    <n v="1104"/>
    <x v="109"/>
    <x v="2"/>
    <n v="4"/>
    <n v="2"/>
    <n v="19"/>
    <n v="390663"/>
    <n v="7422597"/>
    <n v="2226779.1"/>
    <n v="0.3"/>
    <x v="1"/>
    <s v="Accessories"/>
    <x v="3"/>
    <x v="3"/>
  </r>
  <r>
    <n v="1105"/>
    <x v="37"/>
    <x v="4"/>
    <n v="1"/>
    <n v="2"/>
    <n v="9"/>
    <n v="261170"/>
    <n v="2350530"/>
    <n v="705159"/>
    <n v="0.3"/>
    <x v="3"/>
    <s v="Electronics"/>
    <x v="3"/>
    <x v="3"/>
  </r>
  <r>
    <n v="1106"/>
    <x v="333"/>
    <x v="7"/>
    <n v="3"/>
    <n v="3"/>
    <n v="2"/>
    <n v="102355"/>
    <n v="204710"/>
    <n v="61413"/>
    <n v="0.3"/>
    <x v="2"/>
    <s v="Electronics"/>
    <x v="0"/>
    <x v="0"/>
  </r>
  <r>
    <n v="1107"/>
    <x v="6"/>
    <x v="5"/>
    <n v="4"/>
    <n v="3"/>
    <n v="6"/>
    <n v="328457"/>
    <n v="1970742"/>
    <n v="591222.6"/>
    <n v="0.3"/>
    <x v="1"/>
    <s v="Accessories"/>
    <x v="0"/>
    <x v="0"/>
  </r>
  <r>
    <n v="1108"/>
    <x v="68"/>
    <x v="7"/>
    <n v="5"/>
    <n v="3"/>
    <n v="20"/>
    <n v="89060"/>
    <n v="1781200"/>
    <n v="534360"/>
    <n v="0.3"/>
    <x v="4"/>
    <s v="Accessories"/>
    <x v="0"/>
    <x v="0"/>
  </r>
  <r>
    <n v="1109"/>
    <x v="285"/>
    <x v="8"/>
    <n v="1"/>
    <n v="1"/>
    <n v="2"/>
    <n v="120532"/>
    <n v="241064"/>
    <n v="72319.199999999997"/>
    <n v="0.3"/>
    <x v="3"/>
    <s v="Electronics"/>
    <x v="2"/>
    <x v="2"/>
  </r>
  <r>
    <n v="1110"/>
    <x v="324"/>
    <x v="11"/>
    <n v="5"/>
    <n v="3"/>
    <n v="1"/>
    <n v="330559"/>
    <n v="330559"/>
    <n v="99167.7"/>
    <n v="0.3"/>
    <x v="4"/>
    <s v="Accessories"/>
    <x v="0"/>
    <x v="0"/>
  </r>
  <r>
    <n v="1111"/>
    <x v="101"/>
    <x v="3"/>
    <n v="4"/>
    <n v="2"/>
    <n v="9"/>
    <n v="197329"/>
    <n v="1775961"/>
    <n v="532788.29999999993"/>
    <n v="0.29999999999999993"/>
    <x v="1"/>
    <s v="Accessories"/>
    <x v="3"/>
    <x v="3"/>
  </r>
  <r>
    <n v="1112"/>
    <x v="337"/>
    <x v="1"/>
    <n v="3"/>
    <n v="2"/>
    <n v="12"/>
    <n v="247167"/>
    <n v="2966004"/>
    <n v="889801.2"/>
    <n v="0.3"/>
    <x v="2"/>
    <s v="Electronics"/>
    <x v="3"/>
    <x v="3"/>
  </r>
  <r>
    <n v="1113"/>
    <x v="162"/>
    <x v="1"/>
    <n v="3"/>
    <n v="4"/>
    <n v="14"/>
    <n v="203989"/>
    <n v="2855846"/>
    <n v="856753.79999999993"/>
    <n v="0.3"/>
    <x v="2"/>
    <s v="Electronics"/>
    <x v="1"/>
    <x v="1"/>
  </r>
  <r>
    <n v="1114"/>
    <x v="307"/>
    <x v="11"/>
    <n v="1"/>
    <n v="1"/>
    <n v="8"/>
    <n v="93590"/>
    <n v="748720"/>
    <n v="224616"/>
    <n v="0.3"/>
    <x v="3"/>
    <s v="Electronics"/>
    <x v="2"/>
    <x v="2"/>
  </r>
  <r>
    <n v="1115"/>
    <x v="297"/>
    <x v="9"/>
    <n v="5"/>
    <n v="2"/>
    <n v="16"/>
    <n v="177754"/>
    <n v="2844064"/>
    <n v="853219.2"/>
    <n v="0.3"/>
    <x v="4"/>
    <s v="Accessories"/>
    <x v="3"/>
    <x v="3"/>
  </r>
  <r>
    <n v="1116"/>
    <x v="119"/>
    <x v="9"/>
    <n v="5"/>
    <n v="1"/>
    <n v="6"/>
    <n v="371471"/>
    <n v="2228826"/>
    <n v="668647.79999999993"/>
    <n v="0.3"/>
    <x v="4"/>
    <s v="Accessories"/>
    <x v="2"/>
    <x v="2"/>
  </r>
  <r>
    <n v="1117"/>
    <x v="309"/>
    <x v="1"/>
    <n v="3"/>
    <n v="4"/>
    <n v="6"/>
    <n v="379670"/>
    <n v="2278020"/>
    <n v="683406"/>
    <n v="0.3"/>
    <x v="2"/>
    <s v="Electronics"/>
    <x v="1"/>
    <x v="1"/>
  </r>
  <r>
    <n v="1118"/>
    <x v="240"/>
    <x v="0"/>
    <n v="3"/>
    <n v="1"/>
    <n v="4"/>
    <n v="213083"/>
    <n v="852332"/>
    <n v="255699.59999999998"/>
    <n v="0.3"/>
    <x v="2"/>
    <s v="Electronics"/>
    <x v="2"/>
    <x v="2"/>
  </r>
  <r>
    <n v="1119"/>
    <x v="102"/>
    <x v="6"/>
    <n v="4"/>
    <n v="1"/>
    <n v="2"/>
    <n v="82960"/>
    <n v="165920"/>
    <n v="49776"/>
    <n v="0.3"/>
    <x v="1"/>
    <s v="Accessories"/>
    <x v="2"/>
    <x v="2"/>
  </r>
  <r>
    <n v="1120"/>
    <x v="64"/>
    <x v="4"/>
    <n v="3"/>
    <n v="4"/>
    <n v="16"/>
    <n v="246475"/>
    <n v="3943600"/>
    <n v="1183080"/>
    <n v="0.3"/>
    <x v="2"/>
    <s v="Electronics"/>
    <x v="1"/>
    <x v="1"/>
  </r>
  <r>
    <n v="1121"/>
    <x v="39"/>
    <x v="0"/>
    <n v="4"/>
    <n v="4"/>
    <n v="19"/>
    <n v="80267"/>
    <n v="1525073"/>
    <n v="457521.89999999997"/>
    <n v="0.3"/>
    <x v="1"/>
    <s v="Accessories"/>
    <x v="1"/>
    <x v="1"/>
  </r>
  <r>
    <n v="1122"/>
    <x v="135"/>
    <x v="4"/>
    <n v="2"/>
    <n v="3"/>
    <n v="15"/>
    <n v="289747"/>
    <n v="4346205"/>
    <n v="1303861.5"/>
    <n v="0.3"/>
    <x v="0"/>
    <s v="Electronics"/>
    <x v="0"/>
    <x v="0"/>
  </r>
  <r>
    <n v="1123"/>
    <x v="304"/>
    <x v="7"/>
    <n v="2"/>
    <n v="1"/>
    <n v="7"/>
    <n v="186894"/>
    <n v="1308258"/>
    <n v="392477.39999999997"/>
    <n v="0.3"/>
    <x v="0"/>
    <s v="Electronics"/>
    <x v="2"/>
    <x v="2"/>
  </r>
  <r>
    <n v="1124"/>
    <x v="256"/>
    <x v="2"/>
    <n v="5"/>
    <n v="2"/>
    <n v="19"/>
    <n v="294131"/>
    <n v="5588489"/>
    <n v="1676546.7"/>
    <n v="0.3"/>
    <x v="4"/>
    <s v="Accessories"/>
    <x v="3"/>
    <x v="3"/>
  </r>
  <r>
    <n v="1125"/>
    <x v="134"/>
    <x v="6"/>
    <n v="2"/>
    <n v="3"/>
    <n v="5"/>
    <n v="343254"/>
    <n v="1716270"/>
    <n v="514881"/>
    <n v="0.3"/>
    <x v="0"/>
    <s v="Electronics"/>
    <x v="0"/>
    <x v="0"/>
  </r>
  <r>
    <n v="1126"/>
    <x v="236"/>
    <x v="3"/>
    <n v="2"/>
    <n v="4"/>
    <n v="8"/>
    <n v="135966"/>
    <n v="1087728"/>
    <n v="326318.39999999997"/>
    <n v="0.3"/>
    <x v="0"/>
    <s v="Electronics"/>
    <x v="1"/>
    <x v="1"/>
  </r>
  <r>
    <n v="1127"/>
    <x v="197"/>
    <x v="9"/>
    <n v="2"/>
    <n v="4"/>
    <n v="6"/>
    <n v="239966"/>
    <n v="1439796"/>
    <n v="431938.8"/>
    <n v="0.3"/>
    <x v="0"/>
    <s v="Electronics"/>
    <x v="1"/>
    <x v="1"/>
  </r>
  <r>
    <n v="1128"/>
    <x v="19"/>
    <x v="2"/>
    <n v="1"/>
    <n v="2"/>
    <n v="7"/>
    <n v="245264"/>
    <n v="1716848"/>
    <n v="515054.39999999997"/>
    <n v="0.3"/>
    <x v="3"/>
    <s v="Electronics"/>
    <x v="3"/>
    <x v="3"/>
  </r>
  <r>
    <n v="1129"/>
    <x v="146"/>
    <x v="1"/>
    <n v="1"/>
    <n v="1"/>
    <n v="14"/>
    <n v="55730"/>
    <n v="780220"/>
    <n v="234066"/>
    <n v="0.3"/>
    <x v="3"/>
    <s v="Electronics"/>
    <x v="2"/>
    <x v="2"/>
  </r>
  <r>
    <n v="1130"/>
    <x v="27"/>
    <x v="10"/>
    <n v="2"/>
    <n v="1"/>
    <n v="1"/>
    <n v="311695"/>
    <n v="311695"/>
    <n v="93508.5"/>
    <n v="0.3"/>
    <x v="0"/>
    <s v="Electronics"/>
    <x v="2"/>
    <x v="2"/>
  </r>
  <r>
    <n v="1131"/>
    <x v="102"/>
    <x v="6"/>
    <n v="5"/>
    <n v="2"/>
    <n v="4"/>
    <n v="289315"/>
    <n v="1157260"/>
    <n v="347178"/>
    <n v="0.3"/>
    <x v="4"/>
    <s v="Accessories"/>
    <x v="3"/>
    <x v="3"/>
  </r>
  <r>
    <n v="1132"/>
    <x v="315"/>
    <x v="2"/>
    <n v="3"/>
    <n v="2"/>
    <n v="10"/>
    <n v="143939"/>
    <n v="1439390"/>
    <n v="431817"/>
    <n v="0.3"/>
    <x v="2"/>
    <s v="Electronics"/>
    <x v="3"/>
    <x v="3"/>
  </r>
  <r>
    <n v="1133"/>
    <x v="300"/>
    <x v="4"/>
    <n v="5"/>
    <n v="4"/>
    <n v="8"/>
    <n v="133056"/>
    <n v="1064448"/>
    <n v="319334.39999999997"/>
    <n v="0.3"/>
    <x v="4"/>
    <s v="Accessories"/>
    <x v="1"/>
    <x v="1"/>
  </r>
  <r>
    <n v="1134"/>
    <x v="300"/>
    <x v="4"/>
    <n v="1"/>
    <n v="2"/>
    <n v="3"/>
    <n v="269745"/>
    <n v="809235"/>
    <n v="242770.5"/>
    <n v="0.3"/>
    <x v="3"/>
    <s v="Electronics"/>
    <x v="3"/>
    <x v="3"/>
  </r>
  <r>
    <n v="1135"/>
    <x v="217"/>
    <x v="6"/>
    <n v="5"/>
    <n v="4"/>
    <n v="19"/>
    <n v="377704"/>
    <n v="7176376"/>
    <n v="2152912.7999999998"/>
    <n v="0.3"/>
    <x v="4"/>
    <s v="Accessories"/>
    <x v="1"/>
    <x v="1"/>
  </r>
  <r>
    <n v="1136"/>
    <x v="190"/>
    <x v="5"/>
    <n v="5"/>
    <n v="4"/>
    <n v="10"/>
    <n v="79784"/>
    <n v="797840"/>
    <n v="239352"/>
    <n v="0.3"/>
    <x v="4"/>
    <s v="Accessories"/>
    <x v="1"/>
    <x v="1"/>
  </r>
  <r>
    <n v="1137"/>
    <x v="321"/>
    <x v="8"/>
    <n v="4"/>
    <n v="3"/>
    <n v="14"/>
    <n v="307774"/>
    <n v="4308836"/>
    <n v="1292650.8"/>
    <n v="0.3"/>
    <x v="1"/>
    <s v="Accessories"/>
    <x v="0"/>
    <x v="0"/>
  </r>
  <r>
    <n v="1138"/>
    <x v="213"/>
    <x v="9"/>
    <n v="1"/>
    <n v="2"/>
    <n v="13"/>
    <n v="97009"/>
    <n v="1261117"/>
    <n v="378335.1"/>
    <n v="0.3"/>
    <x v="3"/>
    <s v="Electronics"/>
    <x v="3"/>
    <x v="3"/>
  </r>
  <r>
    <n v="1139"/>
    <x v="241"/>
    <x v="5"/>
    <n v="2"/>
    <n v="2"/>
    <n v="16"/>
    <n v="70676"/>
    <n v="1130816"/>
    <n v="339244.79999999999"/>
    <n v="0.3"/>
    <x v="0"/>
    <s v="Electronics"/>
    <x v="3"/>
    <x v="3"/>
  </r>
  <r>
    <n v="1140"/>
    <x v="44"/>
    <x v="8"/>
    <n v="4"/>
    <n v="2"/>
    <n v="10"/>
    <n v="301443"/>
    <n v="3014430"/>
    <n v="904329"/>
    <n v="0.3"/>
    <x v="1"/>
    <s v="Accessories"/>
    <x v="3"/>
    <x v="3"/>
  </r>
  <r>
    <n v="1141"/>
    <x v="350"/>
    <x v="8"/>
    <n v="3"/>
    <n v="1"/>
    <n v="7"/>
    <n v="278987"/>
    <n v="1952909"/>
    <n v="585872.69999999995"/>
    <n v="0.3"/>
    <x v="2"/>
    <s v="Electronics"/>
    <x v="2"/>
    <x v="2"/>
  </r>
  <r>
    <n v="1142"/>
    <x v="50"/>
    <x v="11"/>
    <n v="2"/>
    <n v="3"/>
    <n v="19"/>
    <n v="287262"/>
    <n v="5457978"/>
    <n v="1637393.4"/>
    <n v="0.3"/>
    <x v="0"/>
    <s v="Electronics"/>
    <x v="0"/>
    <x v="0"/>
  </r>
  <r>
    <n v="1143"/>
    <x v="140"/>
    <x v="1"/>
    <n v="5"/>
    <n v="2"/>
    <n v="15"/>
    <n v="210959"/>
    <n v="3164385"/>
    <n v="949315.5"/>
    <n v="0.3"/>
    <x v="4"/>
    <s v="Accessories"/>
    <x v="3"/>
    <x v="3"/>
  </r>
  <r>
    <n v="1144"/>
    <x v="107"/>
    <x v="11"/>
    <n v="5"/>
    <n v="3"/>
    <n v="5"/>
    <n v="90803"/>
    <n v="454015"/>
    <n v="136204.5"/>
    <n v="0.3"/>
    <x v="4"/>
    <s v="Accessories"/>
    <x v="0"/>
    <x v="0"/>
  </r>
  <r>
    <n v="1145"/>
    <x v="103"/>
    <x v="9"/>
    <n v="4"/>
    <n v="4"/>
    <n v="20"/>
    <n v="83494"/>
    <n v="1669880"/>
    <n v="500964"/>
    <n v="0.3"/>
    <x v="1"/>
    <s v="Accessories"/>
    <x v="1"/>
    <x v="1"/>
  </r>
  <r>
    <n v="1146"/>
    <x v="344"/>
    <x v="11"/>
    <n v="4"/>
    <n v="2"/>
    <n v="13"/>
    <n v="181873"/>
    <n v="2364349"/>
    <n v="709304.7"/>
    <n v="0.3"/>
    <x v="1"/>
    <s v="Accessories"/>
    <x v="3"/>
    <x v="3"/>
  </r>
  <r>
    <n v="1147"/>
    <x v="211"/>
    <x v="4"/>
    <n v="5"/>
    <n v="1"/>
    <n v="12"/>
    <n v="105859"/>
    <n v="1270308"/>
    <n v="381092.39999999997"/>
    <n v="0.3"/>
    <x v="4"/>
    <s v="Accessories"/>
    <x v="2"/>
    <x v="2"/>
  </r>
  <r>
    <n v="1148"/>
    <x v="225"/>
    <x v="3"/>
    <n v="3"/>
    <n v="2"/>
    <n v="12"/>
    <n v="52453"/>
    <n v="629436"/>
    <n v="188830.8"/>
    <n v="0.3"/>
    <x v="2"/>
    <s v="Electronics"/>
    <x v="3"/>
    <x v="3"/>
  </r>
  <r>
    <n v="1149"/>
    <x v="100"/>
    <x v="0"/>
    <n v="2"/>
    <n v="3"/>
    <n v="9"/>
    <n v="244287"/>
    <n v="2198583"/>
    <n v="659574.9"/>
    <n v="0.3"/>
    <x v="0"/>
    <s v="Electronics"/>
    <x v="0"/>
    <x v="0"/>
  </r>
  <r>
    <n v="1150"/>
    <x v="13"/>
    <x v="3"/>
    <n v="1"/>
    <n v="4"/>
    <n v="14"/>
    <n v="127149"/>
    <n v="1780086"/>
    <n v="534025.79999999993"/>
    <n v="0.29999999999999993"/>
    <x v="3"/>
    <s v="Electronics"/>
    <x v="1"/>
    <x v="1"/>
  </r>
  <r>
    <n v="1151"/>
    <x v="156"/>
    <x v="8"/>
    <n v="2"/>
    <n v="1"/>
    <n v="20"/>
    <n v="328862"/>
    <n v="6577240"/>
    <n v="1973172"/>
    <n v="0.3"/>
    <x v="0"/>
    <s v="Electronics"/>
    <x v="2"/>
    <x v="2"/>
  </r>
  <r>
    <n v="1152"/>
    <x v="266"/>
    <x v="4"/>
    <n v="3"/>
    <n v="2"/>
    <n v="12"/>
    <n v="286896"/>
    <n v="3442752"/>
    <n v="1032825.6"/>
    <n v="0.3"/>
    <x v="2"/>
    <s v="Electronics"/>
    <x v="3"/>
    <x v="3"/>
  </r>
  <r>
    <n v="1153"/>
    <x v="65"/>
    <x v="0"/>
    <n v="4"/>
    <n v="3"/>
    <n v="16"/>
    <n v="234298"/>
    <n v="3748768"/>
    <n v="1124630.3999999999"/>
    <n v="0.3"/>
    <x v="1"/>
    <s v="Accessories"/>
    <x v="0"/>
    <x v="0"/>
  </r>
  <r>
    <n v="1154"/>
    <x v="251"/>
    <x v="5"/>
    <n v="1"/>
    <n v="3"/>
    <n v="16"/>
    <n v="183863"/>
    <n v="2941808"/>
    <n v="882542.4"/>
    <n v="0.3"/>
    <x v="3"/>
    <s v="Electronics"/>
    <x v="0"/>
    <x v="0"/>
  </r>
  <r>
    <n v="1155"/>
    <x v="180"/>
    <x v="10"/>
    <n v="1"/>
    <n v="3"/>
    <n v="16"/>
    <n v="85479"/>
    <n v="1367664"/>
    <n v="410299.2"/>
    <n v="0.3"/>
    <x v="3"/>
    <s v="Electronics"/>
    <x v="0"/>
    <x v="0"/>
  </r>
  <r>
    <n v="1156"/>
    <x v="256"/>
    <x v="2"/>
    <n v="4"/>
    <n v="2"/>
    <n v="18"/>
    <n v="256085"/>
    <n v="4609530"/>
    <n v="1382859"/>
    <n v="0.3"/>
    <x v="1"/>
    <s v="Accessories"/>
    <x v="3"/>
    <x v="3"/>
  </r>
  <r>
    <n v="1157"/>
    <x v="21"/>
    <x v="2"/>
    <n v="1"/>
    <n v="2"/>
    <n v="19"/>
    <n v="234075"/>
    <n v="4447425"/>
    <n v="1334227.5"/>
    <n v="0.3"/>
    <x v="3"/>
    <s v="Electronics"/>
    <x v="3"/>
    <x v="3"/>
  </r>
  <r>
    <n v="1158"/>
    <x v="347"/>
    <x v="6"/>
    <n v="5"/>
    <n v="3"/>
    <n v="11"/>
    <n v="180404"/>
    <n v="1984444"/>
    <n v="595333.19999999995"/>
    <n v="0.3"/>
    <x v="4"/>
    <s v="Accessories"/>
    <x v="0"/>
    <x v="0"/>
  </r>
  <r>
    <n v="1159"/>
    <x v="331"/>
    <x v="5"/>
    <n v="3"/>
    <n v="4"/>
    <n v="15"/>
    <n v="213926"/>
    <n v="3208890"/>
    <n v="962667"/>
    <n v="0.3"/>
    <x v="2"/>
    <s v="Electronics"/>
    <x v="1"/>
    <x v="1"/>
  </r>
  <r>
    <n v="1160"/>
    <x v="176"/>
    <x v="6"/>
    <n v="3"/>
    <n v="2"/>
    <n v="7"/>
    <n v="233800"/>
    <n v="1636600"/>
    <n v="490980"/>
    <n v="0.3"/>
    <x v="2"/>
    <s v="Electronics"/>
    <x v="3"/>
    <x v="3"/>
  </r>
  <r>
    <n v="1161"/>
    <x v="43"/>
    <x v="4"/>
    <n v="5"/>
    <n v="3"/>
    <n v="15"/>
    <n v="351913"/>
    <n v="5278695"/>
    <n v="1583608.5"/>
    <n v="0.3"/>
    <x v="4"/>
    <s v="Accessories"/>
    <x v="0"/>
    <x v="0"/>
  </r>
  <r>
    <n v="1162"/>
    <x v="1"/>
    <x v="1"/>
    <n v="2"/>
    <n v="3"/>
    <n v="5"/>
    <n v="388003"/>
    <n v="1940015"/>
    <n v="582004.5"/>
    <n v="0.3"/>
    <x v="0"/>
    <s v="Electronics"/>
    <x v="0"/>
    <x v="0"/>
  </r>
  <r>
    <n v="1163"/>
    <x v="213"/>
    <x v="9"/>
    <n v="3"/>
    <n v="3"/>
    <n v="2"/>
    <n v="241250"/>
    <n v="482500"/>
    <n v="144750"/>
    <n v="0.3"/>
    <x v="2"/>
    <s v="Electronics"/>
    <x v="0"/>
    <x v="0"/>
  </r>
  <r>
    <n v="1164"/>
    <x v="282"/>
    <x v="6"/>
    <n v="2"/>
    <n v="3"/>
    <n v="14"/>
    <n v="205737"/>
    <n v="2880318"/>
    <n v="864095.4"/>
    <n v="0.3"/>
    <x v="0"/>
    <s v="Electronics"/>
    <x v="0"/>
    <x v="0"/>
  </r>
  <r>
    <n v="1165"/>
    <x v="268"/>
    <x v="0"/>
    <n v="1"/>
    <n v="3"/>
    <n v="18"/>
    <n v="68901"/>
    <n v="1240218"/>
    <n v="372065.39999999997"/>
    <n v="0.3"/>
    <x v="3"/>
    <s v="Electronics"/>
    <x v="0"/>
    <x v="0"/>
  </r>
  <r>
    <n v="1166"/>
    <x v="4"/>
    <x v="4"/>
    <n v="4"/>
    <n v="4"/>
    <n v="2"/>
    <n v="263870"/>
    <n v="527740"/>
    <n v="158322"/>
    <n v="0.3"/>
    <x v="1"/>
    <s v="Accessories"/>
    <x v="1"/>
    <x v="1"/>
  </r>
  <r>
    <n v="1167"/>
    <x v="275"/>
    <x v="7"/>
    <n v="4"/>
    <n v="1"/>
    <n v="12"/>
    <n v="270847"/>
    <n v="3250164"/>
    <n v="975049.2"/>
    <n v="0.3"/>
    <x v="1"/>
    <s v="Accessories"/>
    <x v="2"/>
    <x v="2"/>
  </r>
  <r>
    <n v="1168"/>
    <x v="41"/>
    <x v="4"/>
    <n v="2"/>
    <n v="1"/>
    <n v="15"/>
    <n v="61671"/>
    <n v="925065"/>
    <n v="277519.5"/>
    <n v="0.3"/>
    <x v="0"/>
    <s v="Electronics"/>
    <x v="2"/>
    <x v="2"/>
  </r>
  <r>
    <n v="1169"/>
    <x v="235"/>
    <x v="10"/>
    <n v="1"/>
    <n v="4"/>
    <n v="19"/>
    <n v="163433"/>
    <n v="3105227"/>
    <n v="931568.1"/>
    <n v="0.3"/>
    <x v="3"/>
    <s v="Electronics"/>
    <x v="1"/>
    <x v="1"/>
  </r>
  <r>
    <n v="1170"/>
    <x v="142"/>
    <x v="3"/>
    <n v="4"/>
    <n v="2"/>
    <n v="18"/>
    <n v="247852"/>
    <n v="4461336"/>
    <n v="1338400.8"/>
    <n v="0.3"/>
    <x v="1"/>
    <s v="Accessories"/>
    <x v="3"/>
    <x v="3"/>
  </r>
  <r>
    <n v="1171"/>
    <x v="6"/>
    <x v="5"/>
    <n v="5"/>
    <n v="3"/>
    <n v="12"/>
    <n v="81253"/>
    <n v="975036"/>
    <n v="292510.8"/>
    <n v="0.3"/>
    <x v="4"/>
    <s v="Accessories"/>
    <x v="0"/>
    <x v="0"/>
  </r>
  <r>
    <n v="1172"/>
    <x v="222"/>
    <x v="4"/>
    <n v="4"/>
    <n v="1"/>
    <n v="14"/>
    <n v="324355"/>
    <n v="4540970"/>
    <n v="1362291"/>
    <n v="0.3"/>
    <x v="1"/>
    <s v="Accessories"/>
    <x v="2"/>
    <x v="2"/>
  </r>
  <r>
    <n v="1173"/>
    <x v="66"/>
    <x v="4"/>
    <n v="1"/>
    <n v="4"/>
    <n v="11"/>
    <n v="349610"/>
    <n v="3845710"/>
    <n v="1153713"/>
    <n v="0.3"/>
    <x v="3"/>
    <s v="Electronics"/>
    <x v="1"/>
    <x v="1"/>
  </r>
  <r>
    <n v="1174"/>
    <x v="60"/>
    <x v="0"/>
    <n v="5"/>
    <n v="2"/>
    <n v="4"/>
    <n v="298306"/>
    <n v="1193224"/>
    <n v="357967.2"/>
    <n v="0.3"/>
    <x v="4"/>
    <s v="Accessories"/>
    <x v="3"/>
    <x v="3"/>
  </r>
  <r>
    <n v="1175"/>
    <x v="202"/>
    <x v="1"/>
    <n v="1"/>
    <n v="3"/>
    <n v="17"/>
    <n v="217844"/>
    <n v="3703348"/>
    <n v="1111004.3999999999"/>
    <n v="0.3"/>
    <x v="3"/>
    <s v="Electronics"/>
    <x v="0"/>
    <x v="0"/>
  </r>
  <r>
    <n v="1176"/>
    <x v="48"/>
    <x v="1"/>
    <n v="1"/>
    <n v="1"/>
    <n v="14"/>
    <n v="128011"/>
    <n v="1792154"/>
    <n v="537646.19999999995"/>
    <n v="0.3"/>
    <x v="3"/>
    <s v="Electronics"/>
    <x v="2"/>
    <x v="2"/>
  </r>
  <r>
    <n v="1177"/>
    <x v="315"/>
    <x v="2"/>
    <n v="5"/>
    <n v="4"/>
    <n v="7"/>
    <n v="194659"/>
    <n v="1362613"/>
    <n v="408783.89999999997"/>
    <n v="0.3"/>
    <x v="4"/>
    <s v="Accessories"/>
    <x v="1"/>
    <x v="1"/>
  </r>
  <r>
    <n v="1178"/>
    <x v="182"/>
    <x v="11"/>
    <n v="4"/>
    <n v="4"/>
    <n v="16"/>
    <n v="75194"/>
    <n v="1203104"/>
    <n v="360931.2"/>
    <n v="0.3"/>
    <x v="1"/>
    <s v="Accessories"/>
    <x v="1"/>
    <x v="1"/>
  </r>
  <r>
    <n v="1179"/>
    <x v="275"/>
    <x v="7"/>
    <n v="3"/>
    <n v="4"/>
    <n v="6"/>
    <n v="130324"/>
    <n v="781944"/>
    <n v="234583.19999999998"/>
    <n v="0.3"/>
    <x v="2"/>
    <s v="Electronics"/>
    <x v="1"/>
    <x v="1"/>
  </r>
  <r>
    <n v="1180"/>
    <x v="343"/>
    <x v="6"/>
    <n v="1"/>
    <n v="3"/>
    <n v="1"/>
    <n v="213951"/>
    <n v="213951"/>
    <n v="64185.299999999996"/>
    <n v="0.3"/>
    <x v="3"/>
    <s v="Electronics"/>
    <x v="0"/>
    <x v="0"/>
  </r>
  <r>
    <n v="1181"/>
    <x v="234"/>
    <x v="5"/>
    <n v="3"/>
    <n v="2"/>
    <n v="2"/>
    <n v="130592"/>
    <n v="261184"/>
    <n v="78355.199999999997"/>
    <n v="0.3"/>
    <x v="2"/>
    <s v="Electronics"/>
    <x v="3"/>
    <x v="3"/>
  </r>
  <r>
    <n v="1182"/>
    <x v="252"/>
    <x v="11"/>
    <n v="5"/>
    <n v="1"/>
    <n v="14"/>
    <n v="333802"/>
    <n v="4673228"/>
    <n v="1401968.4"/>
    <n v="0.3"/>
    <x v="4"/>
    <s v="Accessories"/>
    <x v="2"/>
    <x v="2"/>
  </r>
  <r>
    <n v="1183"/>
    <x v="126"/>
    <x v="4"/>
    <n v="2"/>
    <n v="2"/>
    <n v="17"/>
    <n v="373496"/>
    <n v="6349432"/>
    <n v="1904829.5999999999"/>
    <n v="0.3"/>
    <x v="0"/>
    <s v="Electronics"/>
    <x v="3"/>
    <x v="3"/>
  </r>
  <r>
    <n v="1184"/>
    <x v="54"/>
    <x v="7"/>
    <n v="2"/>
    <n v="1"/>
    <n v="9"/>
    <n v="389837"/>
    <n v="3508533"/>
    <n v="1052559.8999999999"/>
    <n v="0.3"/>
    <x v="0"/>
    <s v="Electronics"/>
    <x v="2"/>
    <x v="2"/>
  </r>
  <r>
    <n v="1185"/>
    <x v="332"/>
    <x v="5"/>
    <n v="3"/>
    <n v="2"/>
    <n v="19"/>
    <n v="117894"/>
    <n v="2239986"/>
    <n v="671995.79999999993"/>
    <n v="0.3"/>
    <x v="2"/>
    <s v="Electronics"/>
    <x v="3"/>
    <x v="3"/>
  </r>
  <r>
    <n v="1186"/>
    <x v="107"/>
    <x v="11"/>
    <n v="3"/>
    <n v="3"/>
    <n v="14"/>
    <n v="217631"/>
    <n v="3046834"/>
    <n v="914050.2"/>
    <n v="0.3"/>
    <x v="2"/>
    <s v="Electronics"/>
    <x v="0"/>
    <x v="0"/>
  </r>
  <r>
    <n v="1187"/>
    <x v="330"/>
    <x v="2"/>
    <n v="4"/>
    <n v="3"/>
    <n v="5"/>
    <n v="214686"/>
    <n v="1073430"/>
    <n v="322029"/>
    <n v="0.3"/>
    <x v="1"/>
    <s v="Accessories"/>
    <x v="0"/>
    <x v="0"/>
  </r>
  <r>
    <n v="1188"/>
    <x v="33"/>
    <x v="1"/>
    <n v="1"/>
    <n v="3"/>
    <n v="10"/>
    <n v="61683"/>
    <n v="616830"/>
    <n v="185049"/>
    <n v="0.3"/>
    <x v="3"/>
    <s v="Electronics"/>
    <x v="0"/>
    <x v="0"/>
  </r>
  <r>
    <n v="1189"/>
    <x v="212"/>
    <x v="3"/>
    <n v="2"/>
    <n v="2"/>
    <n v="3"/>
    <n v="332453"/>
    <n v="997359"/>
    <n v="299207.7"/>
    <n v="0.3"/>
    <x v="0"/>
    <s v="Electronics"/>
    <x v="3"/>
    <x v="3"/>
  </r>
  <r>
    <n v="1190"/>
    <x v="121"/>
    <x v="8"/>
    <n v="2"/>
    <n v="1"/>
    <n v="5"/>
    <n v="223935"/>
    <n v="1119675"/>
    <n v="335902.5"/>
    <n v="0.3"/>
    <x v="0"/>
    <s v="Electronics"/>
    <x v="2"/>
    <x v="2"/>
  </r>
  <r>
    <n v="1191"/>
    <x v="54"/>
    <x v="7"/>
    <n v="4"/>
    <n v="2"/>
    <n v="15"/>
    <n v="223882"/>
    <n v="3358230"/>
    <n v="1007469"/>
    <n v="0.3"/>
    <x v="1"/>
    <s v="Accessories"/>
    <x v="3"/>
    <x v="3"/>
  </r>
  <r>
    <n v="1192"/>
    <x v="292"/>
    <x v="11"/>
    <n v="5"/>
    <n v="3"/>
    <n v="19"/>
    <n v="235022"/>
    <n v="4465418"/>
    <n v="1339625.3999999999"/>
    <n v="0.3"/>
    <x v="4"/>
    <s v="Accessories"/>
    <x v="0"/>
    <x v="0"/>
  </r>
  <r>
    <n v="1193"/>
    <x v="24"/>
    <x v="7"/>
    <n v="4"/>
    <n v="3"/>
    <n v="4"/>
    <n v="302340"/>
    <n v="1209360"/>
    <n v="362808"/>
    <n v="0.3"/>
    <x v="1"/>
    <s v="Accessories"/>
    <x v="0"/>
    <x v="0"/>
  </r>
  <r>
    <n v="1194"/>
    <x v="230"/>
    <x v="11"/>
    <n v="2"/>
    <n v="3"/>
    <n v="10"/>
    <n v="108599"/>
    <n v="1085990"/>
    <n v="325797"/>
    <n v="0.3"/>
    <x v="0"/>
    <s v="Electronics"/>
    <x v="0"/>
    <x v="0"/>
  </r>
  <r>
    <n v="1195"/>
    <x v="244"/>
    <x v="8"/>
    <n v="2"/>
    <n v="3"/>
    <n v="15"/>
    <n v="151644"/>
    <n v="2274660"/>
    <n v="682398"/>
    <n v="0.3"/>
    <x v="0"/>
    <s v="Electronics"/>
    <x v="0"/>
    <x v="0"/>
  </r>
  <r>
    <n v="1196"/>
    <x v="157"/>
    <x v="7"/>
    <n v="2"/>
    <n v="2"/>
    <n v="7"/>
    <n v="398282"/>
    <n v="2787974"/>
    <n v="836392.2"/>
    <n v="0.3"/>
    <x v="0"/>
    <s v="Electronics"/>
    <x v="3"/>
    <x v="3"/>
  </r>
  <r>
    <n v="1197"/>
    <x v="18"/>
    <x v="6"/>
    <n v="4"/>
    <n v="1"/>
    <n v="14"/>
    <n v="319391"/>
    <n v="4471474"/>
    <n v="1341442.2"/>
    <n v="0.3"/>
    <x v="1"/>
    <s v="Accessories"/>
    <x v="2"/>
    <x v="2"/>
  </r>
  <r>
    <n v="1198"/>
    <x v="67"/>
    <x v="10"/>
    <n v="1"/>
    <n v="4"/>
    <n v="8"/>
    <n v="207873"/>
    <n v="1662984"/>
    <n v="498895.19999999995"/>
    <n v="0.3"/>
    <x v="3"/>
    <s v="Electronics"/>
    <x v="1"/>
    <x v="1"/>
  </r>
  <r>
    <n v="1199"/>
    <x v="277"/>
    <x v="5"/>
    <n v="1"/>
    <n v="1"/>
    <n v="4"/>
    <n v="380256"/>
    <n v="1521024"/>
    <n v="456307.20000000001"/>
    <n v="0.3"/>
    <x v="3"/>
    <s v="Electronics"/>
    <x v="2"/>
    <x v="2"/>
  </r>
  <r>
    <n v="1200"/>
    <x v="163"/>
    <x v="8"/>
    <n v="1"/>
    <n v="2"/>
    <n v="12"/>
    <n v="202886"/>
    <n v="2434632"/>
    <n v="730389.6"/>
    <n v="0.3"/>
    <x v="3"/>
    <s v="Electronics"/>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67DB1-8279-4D1C-A5D3-AD50265643A1}"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4:B37" firstHeaderRow="1" firstDataRow="1" firstDataCol="1"/>
  <pivotFields count="14">
    <pivotField showAll="0"/>
    <pivotField numFmtId="164" showAll="0">
      <items count="352">
        <item x="86"/>
        <item x="119"/>
        <item x="15"/>
        <item x="323"/>
        <item x="197"/>
        <item x="36"/>
        <item x="127"/>
        <item x="141"/>
        <item x="181"/>
        <item x="258"/>
        <item x="290"/>
        <item x="46"/>
        <item x="55"/>
        <item x="187"/>
        <item x="232"/>
        <item x="276"/>
        <item x="201"/>
        <item x="213"/>
        <item x="166"/>
        <item x="103"/>
        <item x="192"/>
        <item x="85"/>
        <item x="221"/>
        <item x="311"/>
        <item x="297"/>
        <item x="257"/>
        <item x="113"/>
        <item x="215"/>
        <item x="301"/>
        <item x="17"/>
        <item x="142"/>
        <item x="236"/>
        <item x="118"/>
        <item x="264"/>
        <item x="338"/>
        <item x="148"/>
        <item x="189"/>
        <item x="194"/>
        <item x="295"/>
        <item x="278"/>
        <item x="84"/>
        <item x="322"/>
        <item x="82"/>
        <item x="265"/>
        <item x="31"/>
        <item x="106"/>
        <item x="52"/>
        <item x="3"/>
        <item x="212"/>
        <item x="101"/>
        <item x="206"/>
        <item x="225"/>
        <item x="128"/>
        <item x="8"/>
        <item x="280"/>
        <item x="13"/>
        <item x="58"/>
        <item x="120"/>
        <item x="7"/>
        <item x="326"/>
        <item x="284"/>
        <item x="145"/>
        <item x="177"/>
        <item x="188"/>
        <item x="139"/>
        <item x="102"/>
        <item x="125"/>
        <item x="149"/>
        <item x="90"/>
        <item x="170"/>
        <item x="73"/>
        <item x="134"/>
        <item x="259"/>
        <item x="18"/>
        <item x="154"/>
        <item x="95"/>
        <item x="282"/>
        <item x="343"/>
        <item x="226"/>
        <item x="217"/>
        <item x="227"/>
        <item x="178"/>
        <item x="63"/>
        <item x="176"/>
        <item x="347"/>
        <item x="318"/>
        <item x="210"/>
        <item x="193"/>
        <item x="20"/>
        <item x="158"/>
        <item x="37"/>
        <item x="135"/>
        <item x="205"/>
        <item x="64"/>
        <item x="248"/>
        <item x="260"/>
        <item x="116"/>
        <item x="123"/>
        <item x="59"/>
        <item x="91"/>
        <item x="328"/>
        <item x="110"/>
        <item x="266"/>
        <item x="66"/>
        <item x="281"/>
        <item x="83"/>
        <item x="253"/>
        <item x="300"/>
        <item x="4"/>
        <item x="203"/>
        <item x="41"/>
        <item x="89"/>
        <item x="43"/>
        <item x="211"/>
        <item x="222"/>
        <item x="133"/>
        <item x="126"/>
        <item x="60"/>
        <item x="223"/>
        <item x="159"/>
        <item x="272"/>
        <item x="30"/>
        <item x="327"/>
        <item x="269"/>
        <item x="94"/>
        <item x="339"/>
        <item x="342"/>
        <item x="219"/>
        <item x="268"/>
        <item x="70"/>
        <item x="42"/>
        <item x="150"/>
        <item x="0"/>
        <item x="240"/>
        <item x="195"/>
        <item x="313"/>
        <item x="77"/>
        <item x="39"/>
        <item x="35"/>
        <item x="65"/>
        <item x="179"/>
        <item x="291"/>
        <item x="100"/>
        <item x="254"/>
        <item x="267"/>
        <item x="11"/>
        <item x="349"/>
        <item x="303"/>
        <item x="337"/>
        <item x="162"/>
        <item x="204"/>
        <item x="146"/>
        <item x="202"/>
        <item x="108"/>
        <item x="5"/>
        <item x="33"/>
        <item x="143"/>
        <item x="115"/>
        <item x="48"/>
        <item x="237"/>
        <item x="1"/>
        <item x="140"/>
        <item x="71"/>
        <item x="22"/>
        <item x="208"/>
        <item x="16"/>
        <item x="309"/>
        <item x="114"/>
        <item x="88"/>
        <item x="87"/>
        <item x="185"/>
        <item x="72"/>
        <item x="238"/>
        <item x="305"/>
        <item x="214"/>
        <item x="198"/>
        <item x="124"/>
        <item x="229"/>
        <item x="157"/>
        <item x="151"/>
        <item x="304"/>
        <item x="325"/>
        <item x="283"/>
        <item x="275"/>
        <item x="312"/>
        <item x="54"/>
        <item x="319"/>
        <item x="183"/>
        <item x="289"/>
        <item x="9"/>
        <item x="131"/>
        <item x="57"/>
        <item x="341"/>
        <item x="246"/>
        <item x="25"/>
        <item x="26"/>
        <item x="263"/>
        <item x="68"/>
        <item x="296"/>
        <item x="12"/>
        <item x="24"/>
        <item x="333"/>
        <item x="62"/>
        <item x="216"/>
        <item x="255"/>
        <item x="117"/>
        <item x="171"/>
        <item x="249"/>
        <item x="286"/>
        <item x="316"/>
        <item x="79"/>
        <item x="153"/>
        <item x="75"/>
        <item x="292"/>
        <item x="310"/>
        <item x="191"/>
        <item x="182"/>
        <item x="144"/>
        <item x="104"/>
        <item x="335"/>
        <item x="252"/>
        <item x="107"/>
        <item x="136"/>
        <item x="307"/>
        <item x="239"/>
        <item x="38"/>
        <item x="105"/>
        <item x="172"/>
        <item x="230"/>
        <item x="196"/>
        <item x="324"/>
        <item x="344"/>
        <item x="50"/>
        <item x="138"/>
        <item x="173"/>
        <item x="279"/>
        <item x="207"/>
        <item x="330"/>
        <item x="96"/>
        <item x="320"/>
        <item x="40"/>
        <item x="10"/>
        <item x="174"/>
        <item x="21"/>
        <item x="45"/>
        <item x="186"/>
        <item x="109"/>
        <item x="164"/>
        <item x="302"/>
        <item x="56"/>
        <item x="242"/>
        <item x="51"/>
        <item x="315"/>
        <item x="256"/>
        <item x="130"/>
        <item x="345"/>
        <item x="228"/>
        <item x="152"/>
        <item x="132"/>
        <item x="74"/>
        <item x="2"/>
        <item x="19"/>
        <item x="274"/>
        <item x="137"/>
        <item x="247"/>
        <item x="122"/>
        <item x="184"/>
        <item x="27"/>
        <item x="329"/>
        <item x="180"/>
        <item x="67"/>
        <item x="340"/>
        <item x="168"/>
        <item x="97"/>
        <item x="250"/>
        <item x="200"/>
        <item x="245"/>
        <item x="317"/>
        <item x="235"/>
        <item x="306"/>
        <item x="299"/>
        <item x="167"/>
        <item x="220"/>
        <item x="298"/>
        <item x="93"/>
        <item x="199"/>
        <item x="231"/>
        <item x="287"/>
        <item x="23"/>
        <item x="270"/>
        <item x="111"/>
        <item x="147"/>
        <item x="98"/>
        <item x="218"/>
        <item x="334"/>
        <item x="285"/>
        <item x="78"/>
        <item x="224"/>
        <item x="161"/>
        <item x="53"/>
        <item x="61"/>
        <item x="34"/>
        <item x="92"/>
        <item x="99"/>
        <item x="321"/>
        <item x="156"/>
        <item x="243"/>
        <item x="175"/>
        <item x="112"/>
        <item x="288"/>
        <item x="262"/>
        <item x="233"/>
        <item x="47"/>
        <item x="29"/>
        <item x="244"/>
        <item x="44"/>
        <item x="14"/>
        <item x="308"/>
        <item x="163"/>
        <item x="169"/>
        <item x="121"/>
        <item x="350"/>
        <item x="129"/>
        <item x="165"/>
        <item x="332"/>
        <item x="336"/>
        <item x="293"/>
        <item x="209"/>
        <item x="69"/>
        <item x="234"/>
        <item x="271"/>
        <item x="348"/>
        <item x="28"/>
        <item x="49"/>
        <item x="331"/>
        <item x="76"/>
        <item x="277"/>
        <item x="251"/>
        <item x="241"/>
        <item x="273"/>
        <item x="81"/>
        <item x="261"/>
        <item x="314"/>
        <item x="6"/>
        <item x="190"/>
        <item x="155"/>
        <item x="80"/>
        <item x="294"/>
        <item x="32"/>
        <item x="160"/>
        <item x="346"/>
        <item t="default"/>
      </items>
    </pivotField>
    <pivotField axis="axisRow" showAll="0">
      <items count="13">
        <item x="9"/>
        <item x="3"/>
        <item x="6"/>
        <item x="4"/>
        <item x="0"/>
        <item x="1"/>
        <item x="7"/>
        <item x="11"/>
        <item x="2"/>
        <item x="10"/>
        <item x="8"/>
        <item x="5"/>
        <item t="default"/>
      </items>
    </pivotField>
    <pivotField showAll="0"/>
    <pivotField showAll="0"/>
    <pivotField showAll="0"/>
    <pivotField numFmtId="165" showAll="0"/>
    <pivotField dataField="1" numFmtId="165" showAll="0"/>
    <pivotField numFmtId="165" showAll="0"/>
    <pivotField numFmtId="10" showAll="0"/>
    <pivotField showAll="0">
      <items count="6">
        <item x="3"/>
        <item x="4"/>
        <item x="0"/>
        <item x="1"/>
        <item x="2"/>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7" baseField="0" baseItem="0" numFmtId="166"/>
  </dataFields>
  <formats count="2">
    <format dxfId="1">
      <pivotArea grandCol="1" outline="0" collapsedLevelsAreSubtotals="1" fieldPosition="0"/>
    </format>
    <format dxfId="0">
      <pivotArea outline="0" collapsedLevelsAreSubtotals="1" fieldPosition="0"/>
    </format>
  </formats>
  <chartFormats count="36">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4" format="7">
      <pivotArea type="data" outline="0" fieldPosition="0">
        <references count="2">
          <reference field="4294967294" count="1" selected="0">
            <x v="0"/>
          </reference>
          <reference field="2" count="1" selected="0">
            <x v="6"/>
          </reference>
        </references>
      </pivotArea>
    </chartFormat>
    <chartFormat chart="4" format="8">
      <pivotArea type="data" outline="0" fieldPosition="0">
        <references count="2">
          <reference field="4294967294" count="1" selected="0">
            <x v="0"/>
          </reference>
          <reference field="2" count="1" selected="0">
            <x v="8"/>
          </reference>
        </references>
      </pivotArea>
    </chartFormat>
    <chartFormat chart="4" format="9">
      <pivotArea type="data" outline="0" fieldPosition="0">
        <references count="2">
          <reference field="4294967294" count="1" selected="0">
            <x v="0"/>
          </reference>
          <reference field="2" count="1" selected="0">
            <x v="9"/>
          </reference>
        </references>
      </pivotArea>
    </chartFormat>
    <chartFormat chart="4" format="10">
      <pivotArea type="data" outline="0" fieldPosition="0">
        <references count="2">
          <reference field="4294967294" count="1" selected="0">
            <x v="0"/>
          </reference>
          <reference field="2" count="1" selected="0">
            <x v="1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2" count="1" selected="0">
            <x v="0"/>
          </reference>
        </references>
      </pivotArea>
    </chartFormat>
    <chartFormat chart="10" format="13">
      <pivotArea type="data" outline="0" fieldPosition="0">
        <references count="2">
          <reference field="4294967294" count="1" selected="0">
            <x v="0"/>
          </reference>
          <reference field="2" count="1" selected="0">
            <x v="1"/>
          </reference>
        </references>
      </pivotArea>
    </chartFormat>
    <chartFormat chart="10" format="14">
      <pivotArea type="data" outline="0" fieldPosition="0">
        <references count="2">
          <reference field="4294967294" count="1" selected="0">
            <x v="0"/>
          </reference>
          <reference field="2" count="1" selected="0">
            <x v="2"/>
          </reference>
        </references>
      </pivotArea>
    </chartFormat>
    <chartFormat chart="10" format="15">
      <pivotArea type="data" outline="0" fieldPosition="0">
        <references count="2">
          <reference field="4294967294" count="1" selected="0">
            <x v="0"/>
          </reference>
          <reference field="2" count="1" selected="0">
            <x v="3"/>
          </reference>
        </references>
      </pivotArea>
    </chartFormat>
    <chartFormat chart="10" format="16">
      <pivotArea type="data" outline="0" fieldPosition="0">
        <references count="2">
          <reference field="4294967294" count="1" selected="0">
            <x v="0"/>
          </reference>
          <reference field="2" count="1" selected="0">
            <x v="4"/>
          </reference>
        </references>
      </pivotArea>
    </chartFormat>
    <chartFormat chart="10" format="17">
      <pivotArea type="data" outline="0" fieldPosition="0">
        <references count="2">
          <reference field="4294967294" count="1" selected="0">
            <x v="0"/>
          </reference>
          <reference field="2" count="1" selected="0">
            <x v="5"/>
          </reference>
        </references>
      </pivotArea>
    </chartFormat>
    <chartFormat chart="10" format="18">
      <pivotArea type="data" outline="0" fieldPosition="0">
        <references count="2">
          <reference field="4294967294" count="1" selected="0">
            <x v="0"/>
          </reference>
          <reference field="2" count="1" selected="0">
            <x v="6"/>
          </reference>
        </references>
      </pivotArea>
    </chartFormat>
    <chartFormat chart="10" format="19">
      <pivotArea type="data" outline="0" fieldPosition="0">
        <references count="2">
          <reference field="4294967294" count="1" selected="0">
            <x v="0"/>
          </reference>
          <reference field="2" count="1" selected="0">
            <x v="8"/>
          </reference>
        </references>
      </pivotArea>
    </chartFormat>
    <chartFormat chart="10" format="20">
      <pivotArea type="data" outline="0" fieldPosition="0">
        <references count="2">
          <reference field="4294967294" count="1" selected="0">
            <x v="0"/>
          </reference>
          <reference field="2" count="1" selected="0">
            <x v="9"/>
          </reference>
        </references>
      </pivotArea>
    </chartFormat>
    <chartFormat chart="10" format="21">
      <pivotArea type="data" outline="0" fieldPosition="0">
        <references count="2">
          <reference field="4294967294" count="1" selected="0">
            <x v="0"/>
          </reference>
          <reference field="2" count="1" selected="0">
            <x v="11"/>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2" count="1" selected="0">
            <x v="0"/>
          </reference>
        </references>
      </pivotArea>
    </chartFormat>
    <chartFormat chart="13" format="24">
      <pivotArea type="data" outline="0" fieldPosition="0">
        <references count="2">
          <reference field="4294967294" count="1" selected="0">
            <x v="0"/>
          </reference>
          <reference field="2" count="1" selected="0">
            <x v="1"/>
          </reference>
        </references>
      </pivotArea>
    </chartFormat>
    <chartFormat chart="13" format="25">
      <pivotArea type="data" outline="0" fieldPosition="0">
        <references count="2">
          <reference field="4294967294" count="1" selected="0">
            <x v="0"/>
          </reference>
          <reference field="2" count="1" selected="0">
            <x v="2"/>
          </reference>
        </references>
      </pivotArea>
    </chartFormat>
    <chartFormat chart="13" format="26">
      <pivotArea type="data" outline="0" fieldPosition="0">
        <references count="2">
          <reference field="4294967294" count="1" selected="0">
            <x v="0"/>
          </reference>
          <reference field="2" count="1" selected="0">
            <x v="3"/>
          </reference>
        </references>
      </pivotArea>
    </chartFormat>
    <chartFormat chart="13" format="27">
      <pivotArea type="data" outline="0" fieldPosition="0">
        <references count="2">
          <reference field="4294967294" count="1" selected="0">
            <x v="0"/>
          </reference>
          <reference field="2" count="1" selected="0">
            <x v="4"/>
          </reference>
        </references>
      </pivotArea>
    </chartFormat>
    <chartFormat chart="13" format="28">
      <pivotArea type="data" outline="0" fieldPosition="0">
        <references count="2">
          <reference field="4294967294" count="1" selected="0">
            <x v="0"/>
          </reference>
          <reference field="2" count="1" selected="0">
            <x v="5"/>
          </reference>
        </references>
      </pivotArea>
    </chartFormat>
    <chartFormat chart="13" format="29">
      <pivotArea type="data" outline="0" fieldPosition="0">
        <references count="2">
          <reference field="4294967294" count="1" selected="0">
            <x v="0"/>
          </reference>
          <reference field="2" count="1" selected="0">
            <x v="6"/>
          </reference>
        </references>
      </pivotArea>
    </chartFormat>
    <chartFormat chart="13" format="30">
      <pivotArea type="data" outline="0" fieldPosition="0">
        <references count="2">
          <reference field="4294967294" count="1" selected="0">
            <x v="0"/>
          </reference>
          <reference field="2" count="1" selected="0">
            <x v="8"/>
          </reference>
        </references>
      </pivotArea>
    </chartFormat>
    <chartFormat chart="13" format="31">
      <pivotArea type="data" outline="0" fieldPosition="0">
        <references count="2">
          <reference field="4294967294" count="1" selected="0">
            <x v="0"/>
          </reference>
          <reference field="2" count="1" selected="0">
            <x v="9"/>
          </reference>
        </references>
      </pivotArea>
    </chartFormat>
    <chartFormat chart="13" format="32">
      <pivotArea type="data" outline="0" fieldPosition="0">
        <references count="2">
          <reference field="4294967294" count="1" selected="0">
            <x v="0"/>
          </reference>
          <reference field="2" count="1" selected="0">
            <x v="11"/>
          </reference>
        </references>
      </pivotArea>
    </chartFormat>
    <chartFormat chart="13" format="33">
      <pivotArea type="data" outline="0" fieldPosition="0">
        <references count="2">
          <reference field="4294967294" count="1" selected="0">
            <x v="0"/>
          </reference>
          <reference field="2" count="1" selected="0">
            <x v="7"/>
          </reference>
        </references>
      </pivotArea>
    </chartFormat>
    <chartFormat chart="13" format="34">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A354E-9CF5-4DB6-AABA-004C45943759}"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5:B20" firstHeaderRow="1" firstDataRow="1" firstDataCol="1"/>
  <pivotFields count="14">
    <pivotField showAll="0"/>
    <pivotField numFmtId="164" showAll="0">
      <items count="352">
        <item x="86"/>
        <item x="119"/>
        <item x="15"/>
        <item x="323"/>
        <item x="197"/>
        <item x="36"/>
        <item x="127"/>
        <item x="141"/>
        <item x="181"/>
        <item x="258"/>
        <item x="290"/>
        <item x="46"/>
        <item x="55"/>
        <item x="187"/>
        <item x="232"/>
        <item x="276"/>
        <item x="201"/>
        <item x="213"/>
        <item x="166"/>
        <item x="103"/>
        <item x="192"/>
        <item x="85"/>
        <item x="221"/>
        <item x="311"/>
        <item x="297"/>
        <item x="257"/>
        <item x="113"/>
        <item x="215"/>
        <item x="301"/>
        <item x="17"/>
        <item x="142"/>
        <item x="236"/>
        <item x="118"/>
        <item x="264"/>
        <item x="338"/>
        <item x="148"/>
        <item x="189"/>
        <item x="194"/>
        <item x="295"/>
        <item x="278"/>
        <item x="84"/>
        <item x="322"/>
        <item x="82"/>
        <item x="265"/>
        <item x="31"/>
        <item x="106"/>
        <item x="52"/>
        <item x="3"/>
        <item x="212"/>
        <item x="101"/>
        <item x="206"/>
        <item x="225"/>
        <item x="128"/>
        <item x="8"/>
        <item x="280"/>
        <item x="13"/>
        <item x="58"/>
        <item x="120"/>
        <item x="7"/>
        <item x="326"/>
        <item x="284"/>
        <item x="145"/>
        <item x="177"/>
        <item x="188"/>
        <item x="139"/>
        <item x="102"/>
        <item x="125"/>
        <item x="149"/>
        <item x="90"/>
        <item x="170"/>
        <item x="73"/>
        <item x="134"/>
        <item x="259"/>
        <item x="18"/>
        <item x="154"/>
        <item x="95"/>
        <item x="282"/>
        <item x="343"/>
        <item x="226"/>
        <item x="217"/>
        <item x="227"/>
        <item x="178"/>
        <item x="63"/>
        <item x="176"/>
        <item x="347"/>
        <item x="318"/>
        <item x="210"/>
        <item x="193"/>
        <item x="20"/>
        <item x="158"/>
        <item x="37"/>
        <item x="135"/>
        <item x="205"/>
        <item x="64"/>
        <item x="248"/>
        <item x="260"/>
        <item x="116"/>
        <item x="123"/>
        <item x="59"/>
        <item x="91"/>
        <item x="328"/>
        <item x="110"/>
        <item x="266"/>
        <item x="66"/>
        <item x="281"/>
        <item x="83"/>
        <item x="253"/>
        <item x="300"/>
        <item x="4"/>
        <item x="203"/>
        <item x="41"/>
        <item x="89"/>
        <item x="43"/>
        <item x="211"/>
        <item x="222"/>
        <item x="133"/>
        <item x="126"/>
        <item x="60"/>
        <item x="223"/>
        <item x="159"/>
        <item x="272"/>
        <item x="30"/>
        <item x="327"/>
        <item x="269"/>
        <item x="94"/>
        <item x="339"/>
        <item x="342"/>
        <item x="219"/>
        <item x="268"/>
        <item x="70"/>
        <item x="42"/>
        <item x="150"/>
        <item x="0"/>
        <item x="240"/>
        <item x="195"/>
        <item x="313"/>
        <item x="77"/>
        <item x="39"/>
        <item x="35"/>
        <item x="65"/>
        <item x="179"/>
        <item x="291"/>
        <item x="100"/>
        <item x="254"/>
        <item x="267"/>
        <item x="11"/>
        <item x="349"/>
        <item x="303"/>
        <item x="337"/>
        <item x="162"/>
        <item x="204"/>
        <item x="146"/>
        <item x="202"/>
        <item x="108"/>
        <item x="5"/>
        <item x="33"/>
        <item x="143"/>
        <item x="115"/>
        <item x="48"/>
        <item x="237"/>
        <item x="1"/>
        <item x="140"/>
        <item x="71"/>
        <item x="22"/>
        <item x="208"/>
        <item x="16"/>
        <item x="309"/>
        <item x="114"/>
        <item x="88"/>
        <item x="87"/>
        <item x="185"/>
        <item x="72"/>
        <item x="238"/>
        <item x="305"/>
        <item x="214"/>
        <item x="198"/>
        <item x="124"/>
        <item x="229"/>
        <item x="157"/>
        <item x="151"/>
        <item x="304"/>
        <item x="325"/>
        <item x="283"/>
        <item x="275"/>
        <item x="312"/>
        <item x="54"/>
        <item x="319"/>
        <item x="183"/>
        <item x="289"/>
        <item x="9"/>
        <item x="131"/>
        <item x="57"/>
        <item x="341"/>
        <item x="246"/>
        <item x="25"/>
        <item x="26"/>
        <item x="263"/>
        <item x="68"/>
        <item x="296"/>
        <item x="12"/>
        <item x="24"/>
        <item x="333"/>
        <item x="62"/>
        <item x="216"/>
        <item x="255"/>
        <item x="117"/>
        <item x="171"/>
        <item x="249"/>
        <item x="286"/>
        <item x="316"/>
        <item x="79"/>
        <item x="153"/>
        <item x="75"/>
        <item x="292"/>
        <item x="310"/>
        <item x="191"/>
        <item x="182"/>
        <item x="144"/>
        <item x="104"/>
        <item x="335"/>
        <item x="252"/>
        <item x="107"/>
        <item x="136"/>
        <item x="307"/>
        <item x="239"/>
        <item x="38"/>
        <item x="105"/>
        <item x="172"/>
        <item x="230"/>
        <item x="196"/>
        <item x="324"/>
        <item x="344"/>
        <item x="50"/>
        <item x="138"/>
        <item x="173"/>
        <item x="279"/>
        <item x="207"/>
        <item x="330"/>
        <item x="96"/>
        <item x="320"/>
        <item x="40"/>
        <item x="10"/>
        <item x="174"/>
        <item x="21"/>
        <item x="45"/>
        <item x="186"/>
        <item x="109"/>
        <item x="164"/>
        <item x="302"/>
        <item x="56"/>
        <item x="242"/>
        <item x="51"/>
        <item x="315"/>
        <item x="256"/>
        <item x="130"/>
        <item x="345"/>
        <item x="228"/>
        <item x="152"/>
        <item x="132"/>
        <item x="74"/>
        <item x="2"/>
        <item x="19"/>
        <item x="274"/>
        <item x="137"/>
        <item x="247"/>
        <item x="122"/>
        <item x="184"/>
        <item x="27"/>
        <item x="329"/>
        <item x="180"/>
        <item x="67"/>
        <item x="340"/>
        <item x="168"/>
        <item x="97"/>
        <item x="250"/>
        <item x="200"/>
        <item x="245"/>
        <item x="317"/>
        <item x="235"/>
        <item x="306"/>
        <item x="299"/>
        <item x="167"/>
        <item x="220"/>
        <item x="298"/>
        <item x="93"/>
        <item x="199"/>
        <item x="231"/>
        <item x="287"/>
        <item x="23"/>
        <item x="270"/>
        <item x="111"/>
        <item x="147"/>
        <item x="98"/>
        <item x="218"/>
        <item x="334"/>
        <item x="285"/>
        <item x="78"/>
        <item x="224"/>
        <item x="161"/>
        <item x="53"/>
        <item x="61"/>
        <item x="34"/>
        <item x="92"/>
        <item x="99"/>
        <item x="321"/>
        <item x="156"/>
        <item x="243"/>
        <item x="175"/>
        <item x="112"/>
        <item x="288"/>
        <item x="262"/>
        <item x="233"/>
        <item x="47"/>
        <item x="29"/>
        <item x="244"/>
        <item x="44"/>
        <item x="14"/>
        <item x="308"/>
        <item x="163"/>
        <item x="169"/>
        <item x="121"/>
        <item x="350"/>
        <item x="129"/>
        <item x="165"/>
        <item x="332"/>
        <item x="336"/>
        <item x="293"/>
        <item x="209"/>
        <item x="69"/>
        <item x="234"/>
        <item x="271"/>
        <item x="348"/>
        <item x="28"/>
        <item x="49"/>
        <item x="331"/>
        <item x="76"/>
        <item x="277"/>
        <item x="251"/>
        <item x="241"/>
        <item x="273"/>
        <item x="81"/>
        <item x="261"/>
        <item x="314"/>
        <item x="6"/>
        <item x="190"/>
        <item x="155"/>
        <item x="80"/>
        <item x="294"/>
        <item x="32"/>
        <item x="160"/>
        <item x="346"/>
        <item t="default"/>
      </items>
    </pivotField>
    <pivotField showAll="0"/>
    <pivotField showAll="0"/>
    <pivotField showAll="0"/>
    <pivotField showAll="0"/>
    <pivotField numFmtId="165" showAll="0"/>
    <pivotField dataField="1" numFmtId="165" showAll="0"/>
    <pivotField numFmtId="165" showAll="0"/>
    <pivotField numFmtId="10" showAll="0"/>
    <pivotField showAll="0">
      <items count="6">
        <item x="3"/>
        <item x="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s>
  <rowFields count="1">
    <field x="12"/>
  </rowFields>
  <rowItems count="5">
    <i>
      <x v="1"/>
    </i>
    <i>
      <x/>
    </i>
    <i>
      <x v="3"/>
    </i>
    <i>
      <x v="2"/>
    </i>
    <i t="grand">
      <x/>
    </i>
  </rowItems>
  <colItems count="1">
    <i/>
  </colItems>
  <dataFields count="1">
    <dataField name="Sum of Total Revenue" fld="7" baseField="0" baseItem="0" numFmtId="166"/>
  </dataFields>
  <formats count="2">
    <format dxfId="3">
      <pivotArea grandCol="1" outline="0" collapsedLevelsAreSubtotals="1" fieldPosition="0"/>
    </format>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7B2F67-BD72-49CF-96FB-D30527DFF688}"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F10" firstHeaderRow="1" firstDataRow="2" firstDataCol="1"/>
  <pivotFields count="14">
    <pivotField showAll="0"/>
    <pivotField numFmtId="164" showAll="0">
      <items count="352">
        <item x="86"/>
        <item x="119"/>
        <item x="15"/>
        <item x="323"/>
        <item x="197"/>
        <item x="36"/>
        <item x="127"/>
        <item x="141"/>
        <item x="181"/>
        <item x="258"/>
        <item x="290"/>
        <item x="46"/>
        <item x="55"/>
        <item x="187"/>
        <item x="232"/>
        <item x="276"/>
        <item x="201"/>
        <item x="213"/>
        <item x="166"/>
        <item x="103"/>
        <item x="192"/>
        <item x="85"/>
        <item x="221"/>
        <item x="311"/>
        <item x="297"/>
        <item x="257"/>
        <item x="113"/>
        <item x="215"/>
        <item x="301"/>
        <item x="17"/>
        <item x="142"/>
        <item x="236"/>
        <item x="118"/>
        <item x="264"/>
        <item x="338"/>
        <item x="148"/>
        <item x="189"/>
        <item x="194"/>
        <item x="295"/>
        <item x="278"/>
        <item x="84"/>
        <item x="322"/>
        <item x="82"/>
        <item x="265"/>
        <item x="31"/>
        <item x="106"/>
        <item x="52"/>
        <item x="3"/>
        <item x="212"/>
        <item x="101"/>
        <item x="206"/>
        <item x="225"/>
        <item x="128"/>
        <item x="8"/>
        <item x="280"/>
        <item x="13"/>
        <item x="58"/>
        <item x="120"/>
        <item x="7"/>
        <item x="326"/>
        <item x="284"/>
        <item x="145"/>
        <item x="177"/>
        <item x="188"/>
        <item x="139"/>
        <item x="102"/>
        <item x="125"/>
        <item x="149"/>
        <item x="90"/>
        <item x="170"/>
        <item x="73"/>
        <item x="134"/>
        <item x="259"/>
        <item x="18"/>
        <item x="154"/>
        <item x="95"/>
        <item x="282"/>
        <item x="343"/>
        <item x="226"/>
        <item x="217"/>
        <item x="227"/>
        <item x="178"/>
        <item x="63"/>
        <item x="176"/>
        <item x="347"/>
        <item x="318"/>
        <item x="210"/>
        <item x="193"/>
        <item x="20"/>
        <item x="158"/>
        <item x="37"/>
        <item x="135"/>
        <item x="205"/>
        <item x="64"/>
        <item x="248"/>
        <item x="260"/>
        <item x="116"/>
        <item x="123"/>
        <item x="59"/>
        <item x="91"/>
        <item x="328"/>
        <item x="110"/>
        <item x="266"/>
        <item x="66"/>
        <item x="281"/>
        <item x="83"/>
        <item x="253"/>
        <item x="300"/>
        <item x="4"/>
        <item x="203"/>
        <item x="41"/>
        <item x="89"/>
        <item x="43"/>
        <item x="211"/>
        <item x="222"/>
        <item x="133"/>
        <item x="126"/>
        <item x="60"/>
        <item x="223"/>
        <item x="159"/>
        <item x="272"/>
        <item x="30"/>
        <item x="327"/>
        <item x="269"/>
        <item x="94"/>
        <item x="339"/>
        <item x="342"/>
        <item x="219"/>
        <item x="268"/>
        <item x="70"/>
        <item x="42"/>
        <item x="150"/>
        <item x="0"/>
        <item x="240"/>
        <item x="195"/>
        <item x="313"/>
        <item x="77"/>
        <item x="39"/>
        <item x="35"/>
        <item x="65"/>
        <item x="179"/>
        <item x="291"/>
        <item x="100"/>
        <item x="254"/>
        <item x="267"/>
        <item x="11"/>
        <item x="349"/>
        <item x="303"/>
        <item x="337"/>
        <item x="162"/>
        <item x="204"/>
        <item x="146"/>
        <item x="202"/>
        <item x="108"/>
        <item x="5"/>
        <item x="33"/>
        <item x="143"/>
        <item x="115"/>
        <item x="48"/>
        <item x="237"/>
        <item x="1"/>
        <item x="140"/>
        <item x="71"/>
        <item x="22"/>
        <item x="208"/>
        <item x="16"/>
        <item x="309"/>
        <item x="114"/>
        <item x="88"/>
        <item x="87"/>
        <item x="185"/>
        <item x="72"/>
        <item x="238"/>
        <item x="305"/>
        <item x="214"/>
        <item x="198"/>
        <item x="124"/>
        <item x="229"/>
        <item x="157"/>
        <item x="151"/>
        <item x="304"/>
        <item x="325"/>
        <item x="283"/>
        <item x="275"/>
        <item x="312"/>
        <item x="54"/>
        <item x="319"/>
        <item x="183"/>
        <item x="289"/>
        <item x="9"/>
        <item x="131"/>
        <item x="57"/>
        <item x="341"/>
        <item x="246"/>
        <item x="25"/>
        <item x="26"/>
        <item x="263"/>
        <item x="68"/>
        <item x="296"/>
        <item x="12"/>
        <item x="24"/>
        <item x="333"/>
        <item x="62"/>
        <item x="216"/>
        <item x="255"/>
        <item x="117"/>
        <item x="171"/>
        <item x="249"/>
        <item x="286"/>
        <item x="316"/>
        <item x="79"/>
        <item x="153"/>
        <item x="75"/>
        <item x="292"/>
        <item x="310"/>
        <item x="191"/>
        <item x="182"/>
        <item x="144"/>
        <item x="104"/>
        <item x="335"/>
        <item x="252"/>
        <item x="107"/>
        <item x="136"/>
        <item x="307"/>
        <item x="239"/>
        <item x="38"/>
        <item x="105"/>
        <item x="172"/>
        <item x="230"/>
        <item x="196"/>
        <item x="324"/>
        <item x="344"/>
        <item x="50"/>
        <item x="138"/>
        <item x="173"/>
        <item x="279"/>
        <item x="207"/>
        <item x="330"/>
        <item x="96"/>
        <item x="320"/>
        <item x="40"/>
        <item x="10"/>
        <item x="174"/>
        <item x="21"/>
        <item x="45"/>
        <item x="186"/>
        <item x="109"/>
        <item x="164"/>
        <item x="302"/>
        <item x="56"/>
        <item x="242"/>
        <item x="51"/>
        <item x="315"/>
        <item x="256"/>
        <item x="130"/>
        <item x="345"/>
        <item x="228"/>
        <item x="152"/>
        <item x="132"/>
        <item x="74"/>
        <item x="2"/>
        <item x="19"/>
        <item x="274"/>
        <item x="137"/>
        <item x="247"/>
        <item x="122"/>
        <item x="184"/>
        <item x="27"/>
        <item x="329"/>
        <item x="180"/>
        <item x="67"/>
        <item x="340"/>
        <item x="168"/>
        <item x="97"/>
        <item x="250"/>
        <item x="200"/>
        <item x="245"/>
        <item x="317"/>
        <item x="235"/>
        <item x="306"/>
        <item x="299"/>
        <item x="167"/>
        <item x="220"/>
        <item x="298"/>
        <item x="93"/>
        <item x="199"/>
        <item x="231"/>
        <item x="287"/>
        <item x="23"/>
        <item x="270"/>
        <item x="111"/>
        <item x="147"/>
        <item x="98"/>
        <item x="218"/>
        <item x="334"/>
        <item x="285"/>
        <item x="78"/>
        <item x="224"/>
        <item x="161"/>
        <item x="53"/>
        <item x="61"/>
        <item x="34"/>
        <item x="92"/>
        <item x="99"/>
        <item x="321"/>
        <item x="156"/>
        <item x="243"/>
        <item x="175"/>
        <item x="112"/>
        <item x="288"/>
        <item x="262"/>
        <item x="233"/>
        <item x="47"/>
        <item x="29"/>
        <item x="244"/>
        <item x="44"/>
        <item x="14"/>
        <item x="308"/>
        <item x="163"/>
        <item x="169"/>
        <item x="121"/>
        <item x="350"/>
        <item x="129"/>
        <item x="165"/>
        <item x="332"/>
        <item x="336"/>
        <item x="293"/>
        <item x="209"/>
        <item x="69"/>
        <item x="234"/>
        <item x="271"/>
        <item x="348"/>
        <item x="28"/>
        <item x="49"/>
        <item x="331"/>
        <item x="76"/>
        <item x="277"/>
        <item x="251"/>
        <item x="241"/>
        <item x="273"/>
        <item x="81"/>
        <item x="261"/>
        <item x="314"/>
        <item x="6"/>
        <item x="190"/>
        <item x="155"/>
        <item x="80"/>
        <item x="294"/>
        <item x="32"/>
        <item x="160"/>
        <item x="346"/>
        <item t="default"/>
      </items>
    </pivotField>
    <pivotField showAll="0"/>
    <pivotField showAll="0"/>
    <pivotField showAll="0"/>
    <pivotField showAll="0"/>
    <pivotField numFmtId="165" showAll="0"/>
    <pivotField dataField="1" numFmtId="165" showAll="0"/>
    <pivotField numFmtId="165" showAll="0"/>
    <pivotField numFmtId="10" showAll="0"/>
    <pivotField axis="axisRow" showAll="0">
      <items count="6">
        <item x="3"/>
        <item x="4"/>
        <item x="0"/>
        <item x="1"/>
        <item x="2"/>
        <item t="default"/>
      </items>
    </pivotField>
    <pivotField showAll="0"/>
    <pivotField showAll="0"/>
    <pivotField axis="axisCol" showAll="0">
      <items count="5">
        <item x="3"/>
        <item x="1"/>
        <item x="0"/>
        <item x="2"/>
        <item t="default"/>
      </items>
    </pivotField>
  </pivotFields>
  <rowFields count="1">
    <field x="10"/>
  </rowFields>
  <rowItems count="6">
    <i>
      <x/>
    </i>
    <i>
      <x v="1"/>
    </i>
    <i>
      <x v="2"/>
    </i>
    <i>
      <x v="3"/>
    </i>
    <i>
      <x v="4"/>
    </i>
    <i t="grand">
      <x/>
    </i>
  </rowItems>
  <colFields count="1">
    <field x="13"/>
  </colFields>
  <colItems count="5">
    <i>
      <x/>
    </i>
    <i>
      <x v="1"/>
    </i>
    <i>
      <x v="2"/>
    </i>
    <i>
      <x v="3"/>
    </i>
    <i t="grand">
      <x/>
    </i>
  </colItems>
  <dataFields count="1">
    <dataField name="Sum of Total Revenue" fld="7" baseField="0" baseItem="0" numFmtId="166"/>
  </dataFields>
  <formats count="4">
    <format dxfId="7">
      <pivotArea field="10" grandCol="1" collapsedLevelsAreSubtotals="1" axis="axisRow" fieldPosition="0">
        <references count="1">
          <reference field="10" count="1">
            <x v="0"/>
          </reference>
        </references>
      </pivotArea>
    </format>
    <format dxfId="6">
      <pivotArea grandCol="1" outline="0" collapsedLevelsAreSubtotals="1" fieldPosition="0"/>
    </format>
    <format dxfId="5">
      <pivotArea outline="0" collapsedLevelsAreSubtotals="1" fieldPosition="0">
        <references count="1">
          <reference field="13" count="0" selected="0"/>
        </references>
      </pivotArea>
    </format>
    <format dxfId="4">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E779F7-8378-4845-9E34-6C869A126CDF}"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1:D57" firstHeaderRow="0" firstDataRow="1" firstDataCol="1"/>
  <pivotFields count="14">
    <pivotField showAll="0"/>
    <pivotField numFmtId="164" showAll="0">
      <items count="352">
        <item x="86"/>
        <item x="119"/>
        <item x="15"/>
        <item x="323"/>
        <item x="197"/>
        <item x="36"/>
        <item x="127"/>
        <item x="141"/>
        <item x="181"/>
        <item x="258"/>
        <item x="290"/>
        <item x="46"/>
        <item x="55"/>
        <item x="187"/>
        <item x="232"/>
        <item x="276"/>
        <item x="201"/>
        <item x="213"/>
        <item x="166"/>
        <item x="103"/>
        <item x="192"/>
        <item x="85"/>
        <item x="221"/>
        <item x="311"/>
        <item x="297"/>
        <item x="257"/>
        <item x="113"/>
        <item x="215"/>
        <item x="301"/>
        <item x="17"/>
        <item x="142"/>
        <item x="236"/>
        <item x="118"/>
        <item x="264"/>
        <item x="338"/>
        <item x="148"/>
        <item x="189"/>
        <item x="194"/>
        <item x="295"/>
        <item x="278"/>
        <item x="84"/>
        <item x="322"/>
        <item x="82"/>
        <item x="265"/>
        <item x="31"/>
        <item x="106"/>
        <item x="52"/>
        <item x="3"/>
        <item x="212"/>
        <item x="101"/>
        <item x="206"/>
        <item x="225"/>
        <item x="128"/>
        <item x="8"/>
        <item x="280"/>
        <item x="13"/>
        <item x="58"/>
        <item x="120"/>
        <item x="7"/>
        <item x="326"/>
        <item x="284"/>
        <item x="145"/>
        <item x="177"/>
        <item x="188"/>
        <item x="139"/>
        <item x="102"/>
        <item x="125"/>
        <item x="149"/>
        <item x="90"/>
        <item x="170"/>
        <item x="73"/>
        <item x="134"/>
        <item x="259"/>
        <item x="18"/>
        <item x="154"/>
        <item x="95"/>
        <item x="282"/>
        <item x="343"/>
        <item x="226"/>
        <item x="217"/>
        <item x="227"/>
        <item x="178"/>
        <item x="63"/>
        <item x="176"/>
        <item x="347"/>
        <item x="318"/>
        <item x="210"/>
        <item x="193"/>
        <item x="20"/>
        <item x="158"/>
        <item x="37"/>
        <item x="135"/>
        <item x="205"/>
        <item x="64"/>
        <item x="248"/>
        <item x="260"/>
        <item x="116"/>
        <item x="123"/>
        <item x="59"/>
        <item x="91"/>
        <item x="328"/>
        <item x="110"/>
        <item x="266"/>
        <item x="66"/>
        <item x="281"/>
        <item x="83"/>
        <item x="253"/>
        <item x="300"/>
        <item x="4"/>
        <item x="203"/>
        <item x="41"/>
        <item x="89"/>
        <item x="43"/>
        <item x="211"/>
        <item x="222"/>
        <item x="133"/>
        <item x="126"/>
        <item x="60"/>
        <item x="223"/>
        <item x="159"/>
        <item x="272"/>
        <item x="30"/>
        <item x="327"/>
        <item x="269"/>
        <item x="94"/>
        <item x="339"/>
        <item x="342"/>
        <item x="219"/>
        <item x="268"/>
        <item x="70"/>
        <item x="42"/>
        <item x="150"/>
        <item x="0"/>
        <item x="240"/>
        <item x="195"/>
        <item x="313"/>
        <item x="77"/>
        <item x="39"/>
        <item x="35"/>
        <item x="65"/>
        <item x="179"/>
        <item x="291"/>
        <item x="100"/>
        <item x="254"/>
        <item x="267"/>
        <item x="11"/>
        <item x="349"/>
        <item x="303"/>
        <item x="337"/>
        <item x="162"/>
        <item x="204"/>
        <item x="146"/>
        <item x="202"/>
        <item x="108"/>
        <item x="5"/>
        <item x="33"/>
        <item x="143"/>
        <item x="115"/>
        <item x="48"/>
        <item x="237"/>
        <item x="1"/>
        <item x="140"/>
        <item x="71"/>
        <item x="22"/>
        <item x="208"/>
        <item x="16"/>
        <item x="309"/>
        <item x="114"/>
        <item x="88"/>
        <item x="87"/>
        <item x="185"/>
        <item x="72"/>
        <item x="238"/>
        <item x="305"/>
        <item x="214"/>
        <item x="198"/>
        <item x="124"/>
        <item x="229"/>
        <item x="157"/>
        <item x="151"/>
        <item x="304"/>
        <item x="325"/>
        <item x="283"/>
        <item x="275"/>
        <item x="312"/>
        <item x="54"/>
        <item x="319"/>
        <item x="183"/>
        <item x="289"/>
        <item x="9"/>
        <item x="131"/>
        <item x="57"/>
        <item x="341"/>
        <item x="246"/>
        <item x="25"/>
        <item x="26"/>
        <item x="263"/>
        <item x="68"/>
        <item x="296"/>
        <item x="12"/>
        <item x="24"/>
        <item x="333"/>
        <item x="62"/>
        <item x="216"/>
        <item x="255"/>
        <item x="117"/>
        <item x="171"/>
        <item x="249"/>
        <item x="286"/>
        <item x="316"/>
        <item x="79"/>
        <item x="153"/>
        <item x="75"/>
        <item x="292"/>
        <item x="310"/>
        <item x="191"/>
        <item x="182"/>
        <item x="144"/>
        <item x="104"/>
        <item x="335"/>
        <item x="252"/>
        <item x="107"/>
        <item x="136"/>
        <item x="307"/>
        <item x="239"/>
        <item x="38"/>
        <item x="105"/>
        <item x="172"/>
        <item x="230"/>
        <item x="196"/>
        <item x="324"/>
        <item x="344"/>
        <item x="50"/>
        <item x="138"/>
        <item x="173"/>
        <item x="279"/>
        <item x="207"/>
        <item x="330"/>
        <item x="96"/>
        <item x="320"/>
        <item x="40"/>
        <item x="10"/>
        <item x="174"/>
        <item x="21"/>
        <item x="45"/>
        <item x="186"/>
        <item x="109"/>
        <item x="164"/>
        <item x="302"/>
        <item x="56"/>
        <item x="242"/>
        <item x="51"/>
        <item x="315"/>
        <item x="256"/>
        <item x="130"/>
        <item x="345"/>
        <item x="228"/>
        <item x="152"/>
        <item x="132"/>
        <item x="74"/>
        <item x="2"/>
        <item x="19"/>
        <item x="274"/>
        <item x="137"/>
        <item x="247"/>
        <item x="122"/>
        <item x="184"/>
        <item x="27"/>
        <item x="329"/>
        <item x="180"/>
        <item x="67"/>
        <item x="340"/>
        <item x="168"/>
        <item x="97"/>
        <item x="250"/>
        <item x="200"/>
        <item x="245"/>
        <item x="317"/>
        <item x="235"/>
        <item x="306"/>
        <item x="299"/>
        <item x="167"/>
        <item x="220"/>
        <item x="298"/>
        <item x="93"/>
        <item x="199"/>
        <item x="231"/>
        <item x="287"/>
        <item x="23"/>
        <item x="270"/>
        <item x="111"/>
        <item x="147"/>
        <item x="98"/>
        <item x="218"/>
        <item x="334"/>
        <item x="285"/>
        <item x="78"/>
        <item x="224"/>
        <item x="161"/>
        <item x="53"/>
        <item x="61"/>
        <item x="34"/>
        <item x="92"/>
        <item x="99"/>
        <item x="321"/>
        <item x="156"/>
        <item x="243"/>
        <item x="175"/>
        <item x="112"/>
        <item x="288"/>
        <item x="262"/>
        <item x="233"/>
        <item x="47"/>
        <item x="29"/>
        <item x="244"/>
        <item x="44"/>
        <item x="14"/>
        <item x="308"/>
        <item x="163"/>
        <item x="169"/>
        <item x="121"/>
        <item x="350"/>
        <item x="129"/>
        <item x="165"/>
        <item x="332"/>
        <item x="336"/>
        <item x="293"/>
        <item x="209"/>
        <item x="69"/>
        <item x="234"/>
        <item x="271"/>
        <item x="348"/>
        <item x="28"/>
        <item x="49"/>
        <item x="331"/>
        <item x="76"/>
        <item x="277"/>
        <item x="251"/>
        <item x="241"/>
        <item x="273"/>
        <item x="81"/>
        <item x="261"/>
        <item x="314"/>
        <item x="6"/>
        <item x="190"/>
        <item x="155"/>
        <item x="80"/>
        <item x="294"/>
        <item x="32"/>
        <item x="160"/>
        <item x="346"/>
        <item t="default"/>
      </items>
    </pivotField>
    <pivotField showAll="0">
      <items count="13">
        <item x="9"/>
        <item x="3"/>
        <item x="6"/>
        <item x="4"/>
        <item x="0"/>
        <item x="1"/>
        <item x="7"/>
        <item x="11"/>
        <item x="2"/>
        <item x="10"/>
        <item x="8"/>
        <item x="5"/>
        <item t="default"/>
      </items>
    </pivotField>
    <pivotField showAll="0"/>
    <pivotField showAll="0"/>
    <pivotField dataField="1" showAll="0"/>
    <pivotField numFmtId="165" showAll="0"/>
    <pivotField numFmtId="165" showAll="0"/>
    <pivotField dataField="1" numFmtId="165" showAll="0"/>
    <pivotField dataField="1" numFmtId="10" showAll="0"/>
    <pivotField axis="axisRow" showAll="0">
      <items count="6">
        <item x="3"/>
        <item x="4"/>
        <item x="0"/>
        <item x="1"/>
        <item x="2"/>
        <item t="default"/>
      </items>
    </pivotField>
    <pivotField showAll="0"/>
    <pivotField showAll="0">
      <items count="5">
        <item x="2"/>
        <item x="3"/>
        <item x="0"/>
        <item x="1"/>
        <item t="default"/>
      </items>
    </pivotField>
    <pivotField showAll="0">
      <items count="5">
        <item x="3"/>
        <item x="1"/>
        <item x="0"/>
        <item x="2"/>
        <item t="default"/>
      </items>
    </pivotField>
  </pivotFields>
  <rowFields count="1">
    <field x="10"/>
  </rowFields>
  <rowItems count="6">
    <i>
      <x/>
    </i>
    <i>
      <x v="1"/>
    </i>
    <i>
      <x v="2"/>
    </i>
    <i>
      <x v="3"/>
    </i>
    <i>
      <x v="4"/>
    </i>
    <i t="grand">
      <x/>
    </i>
  </rowItems>
  <colFields count="1">
    <field x="-2"/>
  </colFields>
  <colItems count="3">
    <i>
      <x/>
    </i>
    <i i="1">
      <x v="1"/>
    </i>
    <i i="2">
      <x v="2"/>
    </i>
  </colItems>
  <dataFields count="3">
    <dataField name="Sum of Profit Margin" fld="9" showDataAs="percentOfTotal" baseField="10" baseItem="0" numFmtId="10"/>
    <dataField name="Count of Quantity" fld="5" subtotal="count" baseField="0" baseItem="0" numFmtId="167"/>
    <dataField name="Sum of Gross Profit By 30%" fld="8" baseField="0" baseItem="0" numFmtId="166"/>
  </dataFields>
  <formats count="2">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0C507B-1690-4C8E-9877-4F2E4EC3D6C3}"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1:B47" firstHeaderRow="1" firstDataRow="1" firstDataCol="1"/>
  <pivotFields count="14">
    <pivotField showAll="0"/>
    <pivotField numFmtId="164" showAll="0">
      <items count="352">
        <item x="86"/>
        <item x="119"/>
        <item x="15"/>
        <item x="323"/>
        <item x="197"/>
        <item x="36"/>
        <item x="127"/>
        <item x="141"/>
        <item x="181"/>
        <item x="258"/>
        <item x="290"/>
        <item x="46"/>
        <item x="55"/>
        <item x="187"/>
        <item x="232"/>
        <item x="276"/>
        <item x="201"/>
        <item x="213"/>
        <item x="166"/>
        <item x="103"/>
        <item x="192"/>
        <item x="85"/>
        <item x="221"/>
        <item x="311"/>
        <item x="297"/>
        <item x="257"/>
        <item x="113"/>
        <item x="215"/>
        <item x="301"/>
        <item x="17"/>
        <item x="142"/>
        <item x="236"/>
        <item x="118"/>
        <item x="264"/>
        <item x="338"/>
        <item x="148"/>
        <item x="189"/>
        <item x="194"/>
        <item x="295"/>
        <item x="278"/>
        <item x="84"/>
        <item x="322"/>
        <item x="82"/>
        <item x="265"/>
        <item x="31"/>
        <item x="106"/>
        <item x="52"/>
        <item x="3"/>
        <item x="212"/>
        <item x="101"/>
        <item x="206"/>
        <item x="225"/>
        <item x="128"/>
        <item x="8"/>
        <item x="280"/>
        <item x="13"/>
        <item x="58"/>
        <item x="120"/>
        <item x="7"/>
        <item x="326"/>
        <item x="284"/>
        <item x="145"/>
        <item x="177"/>
        <item x="188"/>
        <item x="139"/>
        <item x="102"/>
        <item x="125"/>
        <item x="149"/>
        <item x="90"/>
        <item x="170"/>
        <item x="73"/>
        <item x="134"/>
        <item x="259"/>
        <item x="18"/>
        <item x="154"/>
        <item x="95"/>
        <item x="282"/>
        <item x="343"/>
        <item x="226"/>
        <item x="217"/>
        <item x="227"/>
        <item x="178"/>
        <item x="63"/>
        <item x="176"/>
        <item x="347"/>
        <item x="318"/>
        <item x="210"/>
        <item x="193"/>
        <item x="20"/>
        <item x="158"/>
        <item x="37"/>
        <item x="135"/>
        <item x="205"/>
        <item x="64"/>
        <item x="248"/>
        <item x="260"/>
        <item x="116"/>
        <item x="123"/>
        <item x="59"/>
        <item x="91"/>
        <item x="328"/>
        <item x="110"/>
        <item x="266"/>
        <item x="66"/>
        <item x="281"/>
        <item x="83"/>
        <item x="253"/>
        <item x="300"/>
        <item x="4"/>
        <item x="203"/>
        <item x="41"/>
        <item x="89"/>
        <item x="43"/>
        <item x="211"/>
        <item x="222"/>
        <item x="133"/>
        <item x="126"/>
        <item x="60"/>
        <item x="223"/>
        <item x="159"/>
        <item x="272"/>
        <item x="30"/>
        <item x="327"/>
        <item x="269"/>
        <item x="94"/>
        <item x="339"/>
        <item x="342"/>
        <item x="219"/>
        <item x="268"/>
        <item x="70"/>
        <item x="42"/>
        <item x="150"/>
        <item x="0"/>
        <item x="240"/>
        <item x="195"/>
        <item x="313"/>
        <item x="77"/>
        <item x="39"/>
        <item x="35"/>
        <item x="65"/>
        <item x="179"/>
        <item x="291"/>
        <item x="100"/>
        <item x="254"/>
        <item x="267"/>
        <item x="11"/>
        <item x="349"/>
        <item x="303"/>
        <item x="337"/>
        <item x="162"/>
        <item x="204"/>
        <item x="146"/>
        <item x="202"/>
        <item x="108"/>
        <item x="5"/>
        <item x="33"/>
        <item x="143"/>
        <item x="115"/>
        <item x="48"/>
        <item x="237"/>
        <item x="1"/>
        <item x="140"/>
        <item x="71"/>
        <item x="22"/>
        <item x="208"/>
        <item x="16"/>
        <item x="309"/>
        <item x="114"/>
        <item x="88"/>
        <item x="87"/>
        <item x="185"/>
        <item x="72"/>
        <item x="238"/>
        <item x="305"/>
        <item x="214"/>
        <item x="198"/>
        <item x="124"/>
        <item x="229"/>
        <item x="157"/>
        <item x="151"/>
        <item x="304"/>
        <item x="325"/>
        <item x="283"/>
        <item x="275"/>
        <item x="312"/>
        <item x="54"/>
        <item x="319"/>
        <item x="183"/>
        <item x="289"/>
        <item x="9"/>
        <item x="131"/>
        <item x="57"/>
        <item x="341"/>
        <item x="246"/>
        <item x="25"/>
        <item x="26"/>
        <item x="263"/>
        <item x="68"/>
        <item x="296"/>
        <item x="12"/>
        <item x="24"/>
        <item x="333"/>
        <item x="62"/>
        <item x="216"/>
        <item x="255"/>
        <item x="117"/>
        <item x="171"/>
        <item x="249"/>
        <item x="286"/>
        <item x="316"/>
        <item x="79"/>
        <item x="153"/>
        <item x="75"/>
        <item x="292"/>
        <item x="310"/>
        <item x="191"/>
        <item x="182"/>
        <item x="144"/>
        <item x="104"/>
        <item x="335"/>
        <item x="252"/>
        <item x="107"/>
        <item x="136"/>
        <item x="307"/>
        <item x="239"/>
        <item x="38"/>
        <item x="105"/>
        <item x="172"/>
        <item x="230"/>
        <item x="196"/>
        <item x="324"/>
        <item x="344"/>
        <item x="50"/>
        <item x="138"/>
        <item x="173"/>
        <item x="279"/>
        <item x="207"/>
        <item x="330"/>
        <item x="96"/>
        <item x="320"/>
        <item x="40"/>
        <item x="10"/>
        <item x="174"/>
        <item x="21"/>
        <item x="45"/>
        <item x="186"/>
        <item x="109"/>
        <item x="164"/>
        <item x="302"/>
        <item x="56"/>
        <item x="242"/>
        <item x="51"/>
        <item x="315"/>
        <item x="256"/>
        <item x="130"/>
        <item x="345"/>
        <item x="228"/>
        <item x="152"/>
        <item x="132"/>
        <item x="74"/>
        <item x="2"/>
        <item x="19"/>
        <item x="274"/>
        <item x="137"/>
        <item x="247"/>
        <item x="122"/>
        <item x="184"/>
        <item x="27"/>
        <item x="329"/>
        <item x="180"/>
        <item x="67"/>
        <item x="340"/>
        <item x="168"/>
        <item x="97"/>
        <item x="250"/>
        <item x="200"/>
        <item x="245"/>
        <item x="317"/>
        <item x="235"/>
        <item x="306"/>
        <item x="299"/>
        <item x="167"/>
        <item x="220"/>
        <item x="298"/>
        <item x="93"/>
        <item x="199"/>
        <item x="231"/>
        <item x="287"/>
        <item x="23"/>
        <item x="270"/>
        <item x="111"/>
        <item x="147"/>
        <item x="98"/>
        <item x="218"/>
        <item x="334"/>
        <item x="285"/>
        <item x="78"/>
        <item x="224"/>
        <item x="161"/>
        <item x="53"/>
        <item x="61"/>
        <item x="34"/>
        <item x="92"/>
        <item x="99"/>
        <item x="321"/>
        <item x="156"/>
        <item x="243"/>
        <item x="175"/>
        <item x="112"/>
        <item x="288"/>
        <item x="262"/>
        <item x="233"/>
        <item x="47"/>
        <item x="29"/>
        <item x="244"/>
        <item x="44"/>
        <item x="14"/>
        <item x="308"/>
        <item x="163"/>
        <item x="169"/>
        <item x="121"/>
        <item x="350"/>
        <item x="129"/>
        <item x="165"/>
        <item x="332"/>
        <item x="336"/>
        <item x="293"/>
        <item x="209"/>
        <item x="69"/>
        <item x="234"/>
        <item x="271"/>
        <item x="348"/>
        <item x="28"/>
        <item x="49"/>
        <item x="331"/>
        <item x="76"/>
        <item x="277"/>
        <item x="251"/>
        <item x="241"/>
        <item x="273"/>
        <item x="81"/>
        <item x="261"/>
        <item x="314"/>
        <item x="6"/>
        <item x="190"/>
        <item x="155"/>
        <item x="80"/>
        <item x="294"/>
        <item x="32"/>
        <item x="160"/>
        <item x="346"/>
        <item t="default"/>
      </items>
    </pivotField>
    <pivotField showAll="0">
      <items count="13">
        <item x="9"/>
        <item x="3"/>
        <item x="6"/>
        <item x="4"/>
        <item x="0"/>
        <item x="1"/>
        <item x="7"/>
        <item x="11"/>
        <item x="2"/>
        <item x="10"/>
        <item x="8"/>
        <item x="5"/>
        <item t="default"/>
      </items>
    </pivotField>
    <pivotField showAll="0"/>
    <pivotField showAll="0"/>
    <pivotField showAll="0"/>
    <pivotField numFmtId="165" showAll="0"/>
    <pivotField numFmtId="165" showAll="0"/>
    <pivotField dataField="1" numFmtId="165" showAll="0"/>
    <pivotField numFmtId="10"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5">
        <item x="3"/>
        <item x="1"/>
        <item x="0"/>
        <item x="2"/>
        <item t="default"/>
      </items>
    </pivotField>
  </pivotFields>
  <rowFields count="1">
    <field x="10"/>
  </rowFields>
  <rowItems count="6">
    <i>
      <x v="3"/>
    </i>
    <i>
      <x/>
    </i>
    <i>
      <x v="2"/>
    </i>
    <i>
      <x v="4"/>
    </i>
    <i>
      <x v="1"/>
    </i>
    <i t="grand">
      <x/>
    </i>
  </rowItems>
  <colItems count="1">
    <i/>
  </colItems>
  <dataFields count="1">
    <dataField name="Sum of Gross Profit By 30%" fld="8" showDataAs="percentOfTotal" baseField="0" baseItem="0" numFmtId="10"/>
  </dataFields>
  <chartFormats count="12">
    <chartFormat chart="6"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0" count="1" selected="0">
            <x v="3"/>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2"/>
          </reference>
        </references>
      </pivotArea>
    </chartFormat>
    <chartFormat chart="10" format="11">
      <pivotArea type="data" outline="0" fieldPosition="0">
        <references count="2">
          <reference field="4294967294" count="1" selected="0">
            <x v="0"/>
          </reference>
          <reference field="10" count="1" selected="0">
            <x v="4"/>
          </reference>
        </references>
      </pivotArea>
    </chartFormat>
    <chartFormat chart="10" format="12">
      <pivotArea type="data" outline="0" fieldPosition="0">
        <references count="2">
          <reference field="4294967294" count="1" selected="0">
            <x v="0"/>
          </reference>
          <reference field="10" count="1" selected="0">
            <x v="1"/>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2"/>
          </reference>
        </references>
      </pivotArea>
    </chartFormat>
    <chartFormat chart="6" format="3">
      <pivotArea type="data" outline="0" fieldPosition="0">
        <references count="2">
          <reference field="4294967294" count="1" selected="0">
            <x v="0"/>
          </reference>
          <reference field="10" count="1" selected="0">
            <x v="3"/>
          </reference>
        </references>
      </pivotArea>
    </chartFormat>
    <chartFormat chart="6" format="4">
      <pivotArea type="data" outline="0" fieldPosition="0">
        <references count="2">
          <reference field="4294967294" count="1" selected="0">
            <x v="0"/>
          </reference>
          <reference field="10" count="1" selected="0">
            <x v="4"/>
          </reference>
        </references>
      </pivotArea>
    </chartFormat>
    <chartFormat chart="6"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F54CD0-0AE7-4B62-B874-AE061A7FACA5}" sourceName="Product">
  <pivotTables>
    <pivotTable tabId="5" name="PivotTable1"/>
    <pivotTable tabId="5" name="PivotTable2"/>
    <pivotTable tabId="5" name="PivotTable3"/>
    <pivotTable tabId="5" name="PivotTable4"/>
    <pivotTable tabId="5" name="PivotTable5"/>
  </pivotTables>
  <data>
    <tabular pivotCacheId="361277883">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DF79749-DB8B-4BE2-9A29-CEBB7757C814}" cache="Slicer_Product" caption="Product"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F8681D-353E-4E79-88B2-EC393C8DB008}" name="Table2" displayName="Table2" ref="A1:N1201" totalsRowShown="0">
  <autoFilter ref="A1:N1201" xr:uid="{6CF8681D-353E-4E79-88B2-EC393C8DB008}"/>
  <tableColumns count="14">
    <tableColumn id="1" xr3:uid="{B865B590-BB74-407C-A2C2-7E684F988C32}" name="OrderID"/>
    <tableColumn id="2" xr3:uid="{DC6A12DB-6730-476D-8E32-8523DC542760}" name="OrderDate" dataDxfId="19"/>
    <tableColumn id="16" xr3:uid="{A7F3599F-9F0C-424B-AA67-C70C860E38EB}" name="Month" dataDxfId="18">
      <calculatedColumnFormula>TEXT(Table2[[#This Row],[OrderDate]],"mmm")</calculatedColumnFormula>
    </tableColumn>
    <tableColumn id="3" xr3:uid="{CC237509-88DC-451C-9838-0303E5421124}" name="ProductID"/>
    <tableColumn id="4" xr3:uid="{BCFCD64B-54E7-432C-98A0-38154C91DB50}" name="AgentID"/>
    <tableColumn id="5" xr3:uid="{A63017DF-88F0-4927-B46E-2D42DA62D914}" name="Quantity"/>
    <tableColumn id="6" xr3:uid="{37D31547-C4EB-4778-B94F-06507A1B006C}" name="UnitPrice" dataDxfId="17" dataCellStyle="Currency"/>
    <tableColumn id="7" xr3:uid="{086913B9-FEBB-4623-A516-93CB47254AEA}" name="Total Revenue" dataDxfId="16" dataCellStyle="Currency">
      <calculatedColumnFormula>G2*F2</calculatedColumnFormula>
    </tableColumn>
    <tableColumn id="11" xr3:uid="{1E5775AF-0343-4D1A-8DDD-E1A5AAC1D8A1}" name="Gross Profit By 30%" dataDxfId="15" dataCellStyle="Currency">
      <calculatedColumnFormula>Table2[[#This Row],[Total Revenue]]*0.3</calculatedColumnFormula>
    </tableColumn>
    <tableColumn id="14" xr3:uid="{3E20F5D3-6572-441F-BAF4-7E3890FCADAA}" name="Profit Margin" dataDxfId="14" dataCellStyle="Currency">
      <calculatedColumnFormula>I2/H2</calculatedColumnFormula>
    </tableColumn>
    <tableColumn id="8" xr3:uid="{4F774C66-6DC7-46FB-BAA1-61805590A669}" name="Product" dataDxfId="13">
      <calculatedColumnFormula>VLOOKUP(Table2[[#This Row],[ProductID]],Products!$A$1:C6,2)</calculatedColumnFormula>
    </tableColumn>
    <tableColumn id="15" xr3:uid="{11FE576F-0BDA-4B86-B4A7-1BC4981F8791}" name="Category" dataDxfId="12">
      <calculatedColumnFormula>VLOOKUP(D2,Products!$A$1:C6,3)</calculatedColumnFormula>
    </tableColumn>
    <tableColumn id="9" xr3:uid="{64D66879-B3DF-4BCD-9A99-F4465F2F8F24}" name="Sales Agent" dataDxfId="11">
      <calculatedColumnFormula>VLOOKUP(Table2[[#This Row],[AgentID]],Sales_Agents!$A$1:C5,2)</calculatedColumnFormula>
    </tableColumn>
    <tableColumn id="10" xr3:uid="{B7E86058-094B-485A-9E7E-3947E85BC94C}" name="Region" dataDxfId="10">
      <calculatedColumnFormula>VLOOKUP(Table2[[#This Row],[AgentID]],Sales_Agents!$A$1:C5,3)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B20294-7FB5-4CA5-9E17-49D235EA01FF}" name="Table1" displayName="Table1" ref="A1:C6" totalsRowShown="0">
  <autoFilter ref="A1:C6" xr:uid="{0EB20294-7FB5-4CA5-9E17-49D235EA01FF}"/>
  <tableColumns count="3">
    <tableColumn id="1" xr3:uid="{3E3D02D0-867B-451E-9456-D13625B5E99A}" name="ProductID"/>
    <tableColumn id="2" xr3:uid="{475641CA-7D7B-4CEF-A9DD-5E57338F6868}" name="ProductName"/>
    <tableColumn id="3" xr3:uid="{CA12718A-BD19-4AC2-B31D-F6C8747EA2E6}"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134866-500F-40CF-BD4E-DE0D2002EFFA}" name="Table3" displayName="Table3" ref="A1:C5" totalsRowShown="0">
  <autoFilter ref="A1:C5" xr:uid="{66134866-500F-40CF-BD4E-DE0D2002EFFA}"/>
  <tableColumns count="3">
    <tableColumn id="1" xr3:uid="{422D4D05-C68F-4046-9495-6D196FBF1DAC}" name="AgentID"/>
    <tableColumn id="2" xr3:uid="{9B6D217D-C58C-4D64-8813-67513E0861B6}" name="AgentName"/>
    <tableColumn id="3" xr3:uid="{C27311F3-2588-4100-8E1F-0CF399E061DE}"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8A028421-16CB-4520-B3A3-6B533E5C8E32}" sourceName="OrderDate">
  <pivotTables>
    <pivotTable tabId="5" name="PivotTable1"/>
    <pivotTable tabId="5" name="PivotTable2"/>
    <pivotTable tabId="5" name="PivotTable3"/>
    <pivotTable tabId="5" name="PivotTable4"/>
    <pivotTable tabId="5" name="PivotTable5"/>
  </pivotTables>
  <state minimalRefreshVersion="6" lastRefreshVersion="6" pivotCacheId="36127788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158EE0C-9564-4B02-B916-5854FBBC0577}" cache="NativeTimeline_OrderDate" caption="Order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01312110-7127-49B2-9AE5-9BCC1D71DCBD}" cache="NativeTimeline_OrderDate" caption="OrderDate" showHorizontalScrollbar="0" level="2" selectionLevel="2"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11/relationships/timeline" Target="../timelines/timelin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N1201"/>
  <sheetViews>
    <sheetView workbookViewId="0">
      <selection activeCell="I2" sqref="I2"/>
    </sheetView>
  </sheetViews>
  <sheetFormatPr defaultRowHeight="15" x14ac:dyDescent="0.25"/>
  <cols>
    <col min="1" max="1" width="10.140625" customWidth="1"/>
    <col min="2" max="2" width="12.42578125" customWidth="1"/>
    <col min="3" max="3" width="12.42578125" style="7" customWidth="1"/>
    <col min="4" max="4" width="11.85546875" customWidth="1"/>
    <col min="5" max="5" width="10.28515625" customWidth="1"/>
    <col min="6" max="6" width="10.85546875" customWidth="1"/>
    <col min="7" max="7" width="13.7109375" style="4" customWidth="1"/>
    <col min="8" max="8" width="14.7109375" style="2" bestFit="1" customWidth="1"/>
    <col min="9" max="9" width="20.5703125" style="5" customWidth="1"/>
    <col min="10" max="10" width="14.42578125" style="6" customWidth="1"/>
    <col min="11" max="11" width="10.140625" bestFit="1" customWidth="1"/>
    <col min="12" max="12" width="10.140625" customWidth="1"/>
  </cols>
  <sheetData>
    <row r="1" spans="1:14" x14ac:dyDescent="0.25">
      <c r="A1" t="s">
        <v>0</v>
      </c>
      <c r="B1" t="s">
        <v>1</v>
      </c>
      <c r="C1" s="7" t="s">
        <v>26</v>
      </c>
      <c r="D1" t="s">
        <v>2</v>
      </c>
      <c r="E1" t="s">
        <v>3</v>
      </c>
      <c r="F1" t="s">
        <v>4</v>
      </c>
      <c r="G1" s="3" t="s">
        <v>5</v>
      </c>
      <c r="H1" s="2" t="s">
        <v>40</v>
      </c>
      <c r="I1" s="5" t="s">
        <v>43</v>
      </c>
      <c r="J1" s="6" t="s">
        <v>44</v>
      </c>
      <c r="K1" t="s">
        <v>41</v>
      </c>
      <c r="L1" t="s">
        <v>7</v>
      </c>
      <c r="M1" t="s">
        <v>42</v>
      </c>
      <c r="N1" t="s">
        <v>16</v>
      </c>
    </row>
    <row r="2" spans="1:14" x14ac:dyDescent="0.25">
      <c r="A2">
        <v>1</v>
      </c>
      <c r="B2" s="1">
        <v>45430</v>
      </c>
      <c r="C2" s="8" t="str">
        <f>TEXT(Table2[[#This Row],[OrderDate]],"mmm")</f>
        <v>May</v>
      </c>
      <c r="D2">
        <v>2</v>
      </c>
      <c r="E2">
        <v>3</v>
      </c>
      <c r="F2">
        <v>8</v>
      </c>
      <c r="G2" s="3">
        <v>399679</v>
      </c>
      <c r="H2" s="3">
        <f t="shared" ref="H2:H65" si="0">G2*F2</f>
        <v>3197432</v>
      </c>
      <c r="I2" s="5">
        <f>Table2[[#This Row],[Total Revenue]]*0.3</f>
        <v>959229.6</v>
      </c>
      <c r="J2" s="6">
        <f t="shared" ref="J2:J65" si="1">I2/H2</f>
        <v>0.3</v>
      </c>
      <c r="K2" t="str">
        <f>VLOOKUP(Table2[[#This Row],[ProductID]],Products!$A$1:C6,2)</f>
        <v>Phone</v>
      </c>
      <c r="L2" t="str">
        <f>VLOOKUP(D2,Products!$A$1:C6,3)</f>
        <v>Electronics</v>
      </c>
      <c r="M2" t="str">
        <f>VLOOKUP(Table2[[#This Row],[AgentID]],Sales_Agents!$A$1:C5,2)</f>
        <v>Chinedu</v>
      </c>
      <c r="N2" t="str">
        <f>VLOOKUP(Table2[[#This Row],[AgentID]],Sales_Agents!$A$1:C5,3)</f>
        <v>South</v>
      </c>
    </row>
    <row r="3" spans="1:14" x14ac:dyDescent="0.25">
      <c r="A3">
        <v>2</v>
      </c>
      <c r="B3" s="1">
        <v>45460</v>
      </c>
      <c r="C3" s="8" t="str">
        <f>TEXT(Table2[[#This Row],[OrderDate]],"mmm")</f>
        <v>Jun</v>
      </c>
      <c r="D3">
        <v>4</v>
      </c>
      <c r="E3">
        <v>3</v>
      </c>
      <c r="F3">
        <v>16</v>
      </c>
      <c r="G3" s="3">
        <v>166443</v>
      </c>
      <c r="H3" s="3">
        <f t="shared" si="0"/>
        <v>2663088</v>
      </c>
      <c r="I3" s="5">
        <f>Table2[[#This Row],[Total Revenue]]*0.3</f>
        <v>798926.4</v>
      </c>
      <c r="J3" s="6">
        <f t="shared" si="1"/>
        <v>0.3</v>
      </c>
      <c r="K3" t="str">
        <f>VLOOKUP(Table2[[#This Row],[ProductID]],Products!$A$1:C7,2)</f>
        <v>Printer</v>
      </c>
      <c r="L3" t="str">
        <f>VLOOKUP(D3,Products!$A$1:C7,3)</f>
        <v>Accessories</v>
      </c>
      <c r="M3" t="str">
        <f>VLOOKUP(Table2[[#This Row],[AgentID]],Sales_Agents!$A$1:C6,2)</f>
        <v>Chinedu</v>
      </c>
      <c r="N3" t="str">
        <f>VLOOKUP(Table2[[#This Row],[AgentID]],Sales_Agents!$A$1:C6,3)</f>
        <v>South</v>
      </c>
    </row>
    <row r="4" spans="1:14" x14ac:dyDescent="0.25">
      <c r="A4">
        <v>3</v>
      </c>
      <c r="B4" s="1">
        <v>45562</v>
      </c>
      <c r="C4" s="8" t="str">
        <f>TEXT(Table2[[#This Row],[OrderDate]],"mmm")</f>
        <v>Sept</v>
      </c>
      <c r="D4">
        <v>3</v>
      </c>
      <c r="E4">
        <v>4</v>
      </c>
      <c r="F4">
        <v>4</v>
      </c>
      <c r="G4" s="3">
        <v>55889</v>
      </c>
      <c r="H4" s="3">
        <f t="shared" si="0"/>
        <v>223556</v>
      </c>
      <c r="I4" s="5">
        <f>Table2[[#This Row],[Total Revenue]]*0.3</f>
        <v>67066.8</v>
      </c>
      <c r="J4" s="6">
        <f t="shared" si="1"/>
        <v>0.3</v>
      </c>
      <c r="K4" t="str">
        <f>VLOOKUP(Table2[[#This Row],[ProductID]],Products!$A$1:C8,2)</f>
        <v>Tablet</v>
      </c>
      <c r="L4" t="str">
        <f>VLOOKUP(D4,Products!$A$1:C8,3)</f>
        <v>Electronics</v>
      </c>
      <c r="M4" t="str">
        <f>VLOOKUP(Table2[[#This Row],[AgentID]],Sales_Agents!$A$1:C7,2)</f>
        <v>Zainab</v>
      </c>
      <c r="N4" t="str">
        <f>VLOOKUP(Table2[[#This Row],[AgentID]],Sales_Agents!$A$1:C7,3)</f>
        <v>North</v>
      </c>
    </row>
    <row r="5" spans="1:14" x14ac:dyDescent="0.25">
      <c r="A5">
        <v>4</v>
      </c>
      <c r="B5" s="1">
        <v>45341</v>
      </c>
      <c r="C5" s="8" t="str">
        <f>TEXT(Table2[[#This Row],[OrderDate]],"mmm")</f>
        <v>Feb</v>
      </c>
      <c r="D5">
        <v>3</v>
      </c>
      <c r="E5">
        <v>4</v>
      </c>
      <c r="F5">
        <v>7</v>
      </c>
      <c r="G5" s="3">
        <v>390956</v>
      </c>
      <c r="H5" s="3">
        <f t="shared" si="0"/>
        <v>2736692</v>
      </c>
      <c r="I5" s="5">
        <f>Table2[[#This Row],[Total Revenue]]*0.3</f>
        <v>821007.6</v>
      </c>
      <c r="J5" s="6">
        <f t="shared" si="1"/>
        <v>0.3</v>
      </c>
      <c r="K5" t="str">
        <f>VLOOKUP(Table2[[#This Row],[ProductID]],Products!$A$1:C9,2)</f>
        <v>Tablet</v>
      </c>
      <c r="L5" t="str">
        <f>VLOOKUP(D5,Products!$A$1:C9,3)</f>
        <v>Electronics</v>
      </c>
      <c r="M5" t="str">
        <f>VLOOKUP(Table2[[#This Row],[AgentID]],Sales_Agents!$A$1:C8,2)</f>
        <v>Zainab</v>
      </c>
      <c r="N5" t="str">
        <f>VLOOKUP(Table2[[#This Row],[AgentID]],Sales_Agents!$A$1:C8,3)</f>
        <v>North</v>
      </c>
    </row>
    <row r="6" spans="1:14" x14ac:dyDescent="0.25">
      <c r="A6">
        <v>5</v>
      </c>
      <c r="B6" s="1">
        <v>45404</v>
      </c>
      <c r="C6" s="8" t="str">
        <f>TEXT(Table2[[#This Row],[OrderDate]],"mmm")</f>
        <v>Apr</v>
      </c>
      <c r="D6">
        <v>1</v>
      </c>
      <c r="E6">
        <v>1</v>
      </c>
      <c r="F6">
        <v>16</v>
      </c>
      <c r="G6" s="3">
        <v>67730</v>
      </c>
      <c r="H6" s="3">
        <f t="shared" si="0"/>
        <v>1083680</v>
      </c>
      <c r="I6" s="5">
        <f>Table2[[#This Row],[Total Revenue]]*0.3</f>
        <v>325104</v>
      </c>
      <c r="J6" s="6">
        <f t="shared" si="1"/>
        <v>0.3</v>
      </c>
      <c r="K6" t="str">
        <f>VLOOKUP(Table2[[#This Row],[ProductID]],Products!$A$1:C10,2)</f>
        <v>Laptop</v>
      </c>
      <c r="L6" t="str">
        <f>VLOOKUP(D6,Products!$A$1:C10,3)</f>
        <v>Electronics</v>
      </c>
      <c r="M6" t="str">
        <f>VLOOKUP(Table2[[#This Row],[AgentID]],Sales_Agents!$A$1:C9,2)</f>
        <v>Akin</v>
      </c>
      <c r="N6" t="str">
        <f>VLOOKUP(Table2[[#This Row],[AgentID]],Sales_Agents!$A$1:C9,3)</f>
        <v>West</v>
      </c>
    </row>
    <row r="7" spans="1:14" x14ac:dyDescent="0.25">
      <c r="A7">
        <v>6</v>
      </c>
      <c r="B7" s="1">
        <v>45453</v>
      </c>
      <c r="C7" s="8" t="str">
        <f>TEXT(Table2[[#This Row],[OrderDate]],"mmm")</f>
        <v>Jun</v>
      </c>
      <c r="D7">
        <v>4</v>
      </c>
      <c r="E7">
        <v>2</v>
      </c>
      <c r="F7">
        <v>12</v>
      </c>
      <c r="G7" s="3">
        <v>210426</v>
      </c>
      <c r="H7" s="3">
        <f t="shared" si="0"/>
        <v>2525112</v>
      </c>
      <c r="I7" s="5">
        <f>Table2[[#This Row],[Total Revenue]]*0.3</f>
        <v>757533.6</v>
      </c>
      <c r="J7" s="6">
        <f t="shared" si="1"/>
        <v>0.3</v>
      </c>
      <c r="K7" t="str">
        <f>VLOOKUP(Table2[[#This Row],[ProductID]],Products!$A$1:C11,2)</f>
        <v>Printer</v>
      </c>
      <c r="L7" t="str">
        <f>VLOOKUP(D7,Products!$A$1:C11,3)</f>
        <v>Accessories</v>
      </c>
      <c r="M7" t="str">
        <f>VLOOKUP(Table2[[#This Row],[AgentID]],Sales_Agents!$A$1:C10,2)</f>
        <v>Blessing</v>
      </c>
      <c r="N7" t="str">
        <f>VLOOKUP(Table2[[#This Row],[AgentID]],Sales_Agents!$A$1:C10,3)</f>
        <v>East</v>
      </c>
    </row>
    <row r="8" spans="1:14" x14ac:dyDescent="0.25">
      <c r="A8">
        <v>7</v>
      </c>
      <c r="B8" s="1">
        <v>45649</v>
      </c>
      <c r="C8" s="8" t="str">
        <f>TEXT(Table2[[#This Row],[OrderDate]],"mmm")</f>
        <v>Dec</v>
      </c>
      <c r="D8">
        <v>3</v>
      </c>
      <c r="E8">
        <v>1</v>
      </c>
      <c r="F8">
        <v>3</v>
      </c>
      <c r="G8" s="3">
        <v>120353</v>
      </c>
      <c r="H8" s="3">
        <f t="shared" si="0"/>
        <v>361059</v>
      </c>
      <c r="I8" s="5">
        <f>Table2[[#This Row],[Total Revenue]]*0.3</f>
        <v>108317.7</v>
      </c>
      <c r="J8" s="6">
        <f t="shared" si="1"/>
        <v>0.3</v>
      </c>
      <c r="K8" t="str">
        <f>VLOOKUP(Table2[[#This Row],[ProductID]],Products!$A$1:C12,2)</f>
        <v>Tablet</v>
      </c>
      <c r="L8" t="str">
        <f>VLOOKUP(D8,Products!$A$1:C12,3)</f>
        <v>Electronics</v>
      </c>
      <c r="M8" t="str">
        <f>VLOOKUP(Table2[[#This Row],[AgentID]],Sales_Agents!$A$1:C11,2)</f>
        <v>Akin</v>
      </c>
      <c r="N8" t="str">
        <f>VLOOKUP(Table2[[#This Row],[AgentID]],Sales_Agents!$A$1:C11,3)</f>
        <v>West</v>
      </c>
    </row>
    <row r="9" spans="1:14" x14ac:dyDescent="0.25">
      <c r="A9">
        <v>8</v>
      </c>
      <c r="B9" s="1">
        <v>45352</v>
      </c>
      <c r="C9" s="8" t="str">
        <f>TEXT(Table2[[#This Row],[OrderDate]],"mmm")</f>
        <v>Mar</v>
      </c>
      <c r="D9">
        <v>1</v>
      </c>
      <c r="E9">
        <v>4</v>
      </c>
      <c r="F9">
        <v>20</v>
      </c>
      <c r="G9" s="3">
        <v>59988</v>
      </c>
      <c r="H9" s="3">
        <f t="shared" si="0"/>
        <v>1199760</v>
      </c>
      <c r="I9" s="5">
        <f>Table2[[#This Row],[Total Revenue]]*0.3</f>
        <v>359928</v>
      </c>
      <c r="J9" s="6">
        <f t="shared" si="1"/>
        <v>0.3</v>
      </c>
      <c r="K9" t="str">
        <f>VLOOKUP(Table2[[#This Row],[ProductID]],Products!$A$1:C13,2)</f>
        <v>Laptop</v>
      </c>
      <c r="L9" t="str">
        <f>VLOOKUP(D9,Products!$A$1:C13,3)</f>
        <v>Electronics</v>
      </c>
      <c r="M9" t="str">
        <f>VLOOKUP(Table2[[#This Row],[AgentID]],Sales_Agents!$A$1:C12,2)</f>
        <v>Zainab</v>
      </c>
      <c r="N9" t="str">
        <f>VLOOKUP(Table2[[#This Row],[AgentID]],Sales_Agents!$A$1:C12,3)</f>
        <v>North</v>
      </c>
    </row>
    <row r="10" spans="1:14" x14ac:dyDescent="0.25">
      <c r="A10">
        <v>9</v>
      </c>
      <c r="B10" s="1">
        <v>45460</v>
      </c>
      <c r="C10" s="8" t="str">
        <f>TEXT(Table2[[#This Row],[OrderDate]],"mmm")</f>
        <v>Jun</v>
      </c>
      <c r="D10">
        <v>4</v>
      </c>
      <c r="E10">
        <v>2</v>
      </c>
      <c r="F10">
        <v>16</v>
      </c>
      <c r="G10" s="3">
        <v>97381</v>
      </c>
      <c r="H10" s="3">
        <f t="shared" si="0"/>
        <v>1558096</v>
      </c>
      <c r="I10" s="5">
        <f>Table2[[#This Row],[Total Revenue]]*0.3</f>
        <v>467428.8</v>
      </c>
      <c r="J10" s="6">
        <f t="shared" si="1"/>
        <v>0.3</v>
      </c>
      <c r="K10" t="str">
        <f>VLOOKUP(Table2[[#This Row],[ProductID]],Products!$A$1:C14,2)</f>
        <v>Printer</v>
      </c>
      <c r="L10" t="str">
        <f>VLOOKUP(D10,Products!$A$1:C14,3)</f>
        <v>Accessories</v>
      </c>
      <c r="M10" t="str">
        <f>VLOOKUP(Table2[[#This Row],[AgentID]],Sales_Agents!$A$1:C13,2)</f>
        <v>Blessing</v>
      </c>
      <c r="N10" t="str">
        <f>VLOOKUP(Table2[[#This Row],[AgentID]],Sales_Agents!$A$1:C13,3)</f>
        <v>East</v>
      </c>
    </row>
    <row r="11" spans="1:14" x14ac:dyDescent="0.25">
      <c r="A11">
        <v>10</v>
      </c>
      <c r="B11" s="1">
        <v>45347</v>
      </c>
      <c r="C11" s="8" t="str">
        <f>TEXT(Table2[[#This Row],[OrderDate]],"mmm")</f>
        <v>Feb</v>
      </c>
      <c r="D11">
        <v>3</v>
      </c>
      <c r="E11">
        <v>1</v>
      </c>
      <c r="F11">
        <v>5</v>
      </c>
      <c r="G11" s="3">
        <v>111122</v>
      </c>
      <c r="H11" s="3">
        <f t="shared" si="0"/>
        <v>555610</v>
      </c>
      <c r="I11" s="5">
        <f>Table2[[#This Row],[Total Revenue]]*0.3</f>
        <v>166683</v>
      </c>
      <c r="J11" s="6">
        <f t="shared" si="1"/>
        <v>0.3</v>
      </c>
      <c r="K11" t="str">
        <f>VLOOKUP(Table2[[#This Row],[ProductID]],Products!$A$1:C15,2)</f>
        <v>Tablet</v>
      </c>
      <c r="L11" t="str">
        <f>VLOOKUP(D11,Products!$A$1:C15,3)</f>
        <v>Electronics</v>
      </c>
      <c r="M11" t="str">
        <f>VLOOKUP(Table2[[#This Row],[AgentID]],Sales_Agents!$A$1:C14,2)</f>
        <v>Akin</v>
      </c>
      <c r="N11" t="str">
        <f>VLOOKUP(Table2[[#This Row],[AgentID]],Sales_Agents!$A$1:C14,3)</f>
        <v>West</v>
      </c>
    </row>
    <row r="12" spans="1:14" x14ac:dyDescent="0.25">
      <c r="A12">
        <v>11</v>
      </c>
      <c r="B12" s="1">
        <v>45489</v>
      </c>
      <c r="C12" s="8" t="str">
        <f>TEXT(Table2[[#This Row],[OrderDate]],"mmm")</f>
        <v>Jul</v>
      </c>
      <c r="D12">
        <v>1</v>
      </c>
      <c r="E12">
        <v>1</v>
      </c>
      <c r="F12">
        <v>10</v>
      </c>
      <c r="G12" s="3">
        <v>67075</v>
      </c>
      <c r="H12" s="3">
        <f t="shared" si="0"/>
        <v>670750</v>
      </c>
      <c r="I12" s="5">
        <f>Table2[[#This Row],[Total Revenue]]*0.3</f>
        <v>201225</v>
      </c>
      <c r="J12" s="6">
        <f t="shared" si="1"/>
        <v>0.3</v>
      </c>
      <c r="K12" t="str">
        <f>VLOOKUP(Table2[[#This Row],[ProductID]],Products!$A$1:C16,2)</f>
        <v>Laptop</v>
      </c>
      <c r="L12" t="str">
        <f>VLOOKUP(D12,Products!$A$1:C16,3)</f>
        <v>Electronics</v>
      </c>
      <c r="M12" t="str">
        <f>VLOOKUP(Table2[[#This Row],[AgentID]],Sales_Agents!$A$1:C15,2)</f>
        <v>Akin</v>
      </c>
      <c r="N12" t="str">
        <f>VLOOKUP(Table2[[#This Row],[AgentID]],Sales_Agents!$A$1:C15,3)</f>
        <v>West</v>
      </c>
    </row>
    <row r="13" spans="1:14" x14ac:dyDescent="0.25">
      <c r="A13">
        <v>12</v>
      </c>
      <c r="B13" s="1">
        <v>45543</v>
      </c>
      <c r="C13" s="8" t="str">
        <f>TEXT(Table2[[#This Row],[OrderDate]],"mmm")</f>
        <v>Sept</v>
      </c>
      <c r="D13">
        <v>1</v>
      </c>
      <c r="E13">
        <v>3</v>
      </c>
      <c r="F13">
        <v>6</v>
      </c>
      <c r="G13" s="3">
        <v>234375</v>
      </c>
      <c r="H13" s="3">
        <f t="shared" si="0"/>
        <v>1406250</v>
      </c>
      <c r="I13" s="5">
        <f>Table2[[#This Row],[Total Revenue]]*0.3</f>
        <v>421875</v>
      </c>
      <c r="J13" s="6">
        <f t="shared" si="1"/>
        <v>0.3</v>
      </c>
      <c r="K13" t="str">
        <f>VLOOKUP(Table2[[#This Row],[ProductID]],Products!$A$1:C17,2)</f>
        <v>Laptop</v>
      </c>
      <c r="L13" t="str">
        <f>VLOOKUP(D13,Products!$A$1:C17,3)</f>
        <v>Electronics</v>
      </c>
      <c r="M13" t="str">
        <f>VLOOKUP(Table2[[#This Row],[AgentID]],Sales_Agents!$A$1:C16,2)</f>
        <v>Chinedu</v>
      </c>
      <c r="N13" t="str">
        <f>VLOOKUP(Table2[[#This Row],[AgentID]],Sales_Agents!$A$1:C16,3)</f>
        <v>South</v>
      </c>
    </row>
    <row r="14" spans="1:14" x14ac:dyDescent="0.25">
      <c r="A14">
        <v>13</v>
      </c>
      <c r="B14" s="1">
        <v>45444</v>
      </c>
      <c r="C14" s="8" t="str">
        <f>TEXT(Table2[[#This Row],[OrderDate]],"mmm")</f>
        <v>Jun</v>
      </c>
      <c r="D14">
        <v>4</v>
      </c>
      <c r="E14">
        <v>3</v>
      </c>
      <c r="F14">
        <v>16</v>
      </c>
      <c r="G14" s="3">
        <v>371571</v>
      </c>
      <c r="H14" s="3">
        <f t="shared" si="0"/>
        <v>5945136</v>
      </c>
      <c r="I14" s="5">
        <f>Table2[[#This Row],[Total Revenue]]*0.3</f>
        <v>1783540.8</v>
      </c>
      <c r="J14" s="6">
        <f t="shared" si="1"/>
        <v>0.3</v>
      </c>
      <c r="K14" t="str">
        <f>VLOOKUP(Table2[[#This Row],[ProductID]],Products!$A$1:C18,2)</f>
        <v>Printer</v>
      </c>
      <c r="L14" t="str">
        <f>VLOOKUP(D14,Products!$A$1:C18,3)</f>
        <v>Accessories</v>
      </c>
      <c r="M14" t="str">
        <f>VLOOKUP(Table2[[#This Row],[AgentID]],Sales_Agents!$A$1:C17,2)</f>
        <v>Chinedu</v>
      </c>
      <c r="N14" t="str">
        <f>VLOOKUP(Table2[[#This Row],[AgentID]],Sales_Agents!$A$1:C17,3)</f>
        <v>South</v>
      </c>
    </row>
    <row r="15" spans="1:14" x14ac:dyDescent="0.25">
      <c r="A15">
        <v>14</v>
      </c>
      <c r="B15" s="1">
        <v>45501</v>
      </c>
      <c r="C15" s="8" t="str">
        <f>TEXT(Table2[[#This Row],[OrderDate]],"mmm")</f>
        <v>Jul</v>
      </c>
      <c r="D15">
        <v>5</v>
      </c>
      <c r="E15">
        <v>4</v>
      </c>
      <c r="F15">
        <v>16</v>
      </c>
      <c r="G15" s="3">
        <v>112895</v>
      </c>
      <c r="H15" s="3">
        <f t="shared" si="0"/>
        <v>1806320</v>
      </c>
      <c r="I15" s="5">
        <f>Table2[[#This Row],[Total Revenue]]*0.3</f>
        <v>541896</v>
      </c>
      <c r="J15" s="6">
        <f t="shared" si="1"/>
        <v>0.3</v>
      </c>
      <c r="K15" t="str">
        <f>VLOOKUP(Table2[[#This Row],[ProductID]],Products!$A$1:C19,2)</f>
        <v>Monitor</v>
      </c>
      <c r="L15" t="str">
        <f>VLOOKUP(D15,Products!$A$1:C19,3)</f>
        <v>Accessories</v>
      </c>
      <c r="M15" t="str">
        <f>VLOOKUP(Table2[[#This Row],[AgentID]],Sales_Agents!$A$1:C18,2)</f>
        <v>Zainab</v>
      </c>
      <c r="N15" t="str">
        <f>VLOOKUP(Table2[[#This Row],[AgentID]],Sales_Agents!$A$1:C18,3)</f>
        <v>North</v>
      </c>
    </row>
    <row r="16" spans="1:14" x14ac:dyDescent="0.25">
      <c r="A16">
        <v>15</v>
      </c>
      <c r="B16" s="1">
        <v>45349</v>
      </c>
      <c r="C16" s="8" t="str">
        <f>TEXT(Table2[[#This Row],[OrderDate]],"mmm")</f>
        <v>Feb</v>
      </c>
      <c r="D16">
        <v>2</v>
      </c>
      <c r="E16">
        <v>4</v>
      </c>
      <c r="F16">
        <v>10</v>
      </c>
      <c r="G16" s="3">
        <v>388937</v>
      </c>
      <c r="H16" s="3">
        <f t="shared" si="0"/>
        <v>3889370</v>
      </c>
      <c r="I16" s="5">
        <f>Table2[[#This Row],[Total Revenue]]*0.3</f>
        <v>1166811</v>
      </c>
      <c r="J16" s="6">
        <f t="shared" si="1"/>
        <v>0.3</v>
      </c>
      <c r="K16" t="str">
        <f>VLOOKUP(Table2[[#This Row],[ProductID]],Products!$A$1:C20,2)</f>
        <v>Phone</v>
      </c>
      <c r="L16" t="str">
        <f>VLOOKUP(D16,Products!$A$1:C20,3)</f>
        <v>Electronics</v>
      </c>
      <c r="M16" t="str">
        <f>VLOOKUP(Table2[[#This Row],[AgentID]],Sales_Agents!$A$1:C19,2)</f>
        <v>Zainab</v>
      </c>
      <c r="N16" t="str">
        <f>VLOOKUP(Table2[[#This Row],[AgentID]],Sales_Agents!$A$1:C19,3)</f>
        <v>North</v>
      </c>
    </row>
    <row r="17" spans="1:14" x14ac:dyDescent="0.25">
      <c r="A17">
        <v>16</v>
      </c>
      <c r="B17" s="1">
        <v>45621</v>
      </c>
      <c r="C17" s="8" t="str">
        <f>TEXT(Table2[[#This Row],[OrderDate]],"mmm")</f>
        <v>Nov</v>
      </c>
      <c r="D17">
        <v>2</v>
      </c>
      <c r="E17">
        <v>4</v>
      </c>
      <c r="F17">
        <v>18</v>
      </c>
      <c r="G17" s="3">
        <v>89961</v>
      </c>
      <c r="H17" s="3">
        <f t="shared" si="0"/>
        <v>1619298</v>
      </c>
      <c r="I17" s="5">
        <f>Table2[[#This Row],[Total Revenue]]*0.3</f>
        <v>485789.39999999997</v>
      </c>
      <c r="J17" s="6">
        <f t="shared" si="1"/>
        <v>0.3</v>
      </c>
      <c r="K17" t="str">
        <f>VLOOKUP(Table2[[#This Row],[ProductID]],Products!$A$1:C21,2)</f>
        <v>Phone</v>
      </c>
      <c r="L17" t="str">
        <f>VLOOKUP(D17,Products!$A$1:C21,3)</f>
        <v>Electronics</v>
      </c>
      <c r="M17" t="str">
        <f>VLOOKUP(Table2[[#This Row],[AgentID]],Sales_Agents!$A$1:C20,2)</f>
        <v>Zainab</v>
      </c>
      <c r="N17" t="str">
        <f>VLOOKUP(Table2[[#This Row],[AgentID]],Sales_Agents!$A$1:C20,3)</f>
        <v>North</v>
      </c>
    </row>
    <row r="18" spans="1:14" x14ac:dyDescent="0.25">
      <c r="A18">
        <v>17</v>
      </c>
      <c r="B18" s="1">
        <v>45294</v>
      </c>
      <c r="C18" s="8" t="str">
        <f>TEXT(Table2[[#This Row],[OrderDate]],"mmm")</f>
        <v>Jan</v>
      </c>
      <c r="D18">
        <v>1</v>
      </c>
      <c r="E18">
        <v>4</v>
      </c>
      <c r="F18">
        <v>14</v>
      </c>
      <c r="G18" s="3">
        <v>264199</v>
      </c>
      <c r="H18" s="3">
        <f t="shared" si="0"/>
        <v>3698786</v>
      </c>
      <c r="I18" s="5">
        <f>Table2[[#This Row],[Total Revenue]]*0.3</f>
        <v>1109635.8</v>
      </c>
      <c r="J18" s="6">
        <f t="shared" si="1"/>
        <v>0.3</v>
      </c>
      <c r="K18" t="str">
        <f>VLOOKUP(Table2[[#This Row],[ProductID]],Products!$A$1:C22,2)</f>
        <v>Laptop</v>
      </c>
      <c r="L18" t="str">
        <f>VLOOKUP(D18,Products!$A$1:C22,3)</f>
        <v>Electronics</v>
      </c>
      <c r="M18" t="str">
        <f>VLOOKUP(Table2[[#This Row],[AgentID]],Sales_Agents!$A$1:C21,2)</f>
        <v>Zainab</v>
      </c>
      <c r="N18" t="str">
        <f>VLOOKUP(Table2[[#This Row],[AgentID]],Sales_Agents!$A$1:C21,3)</f>
        <v>North</v>
      </c>
    </row>
    <row r="19" spans="1:14" x14ac:dyDescent="0.25">
      <c r="A19">
        <v>18</v>
      </c>
      <c r="B19" s="1">
        <v>45465</v>
      </c>
      <c r="C19" s="8" t="str">
        <f>TEXT(Table2[[#This Row],[OrderDate]],"mmm")</f>
        <v>Jun</v>
      </c>
      <c r="D19">
        <v>2</v>
      </c>
      <c r="E19">
        <v>4</v>
      </c>
      <c r="F19">
        <v>19</v>
      </c>
      <c r="G19" s="3">
        <v>315993</v>
      </c>
      <c r="H19" s="3">
        <f t="shared" si="0"/>
        <v>6003867</v>
      </c>
      <c r="I19" s="5">
        <f>Table2[[#This Row],[Total Revenue]]*0.3</f>
        <v>1801160.0999999999</v>
      </c>
      <c r="J19" s="6">
        <f t="shared" si="1"/>
        <v>0.3</v>
      </c>
      <c r="K19" t="str">
        <f>VLOOKUP(Table2[[#This Row],[ProductID]],Products!$A$1:C23,2)</f>
        <v>Phone</v>
      </c>
      <c r="L19" t="str">
        <f>VLOOKUP(D19,Products!$A$1:C23,3)</f>
        <v>Electronics</v>
      </c>
      <c r="M19" t="str">
        <f>VLOOKUP(Table2[[#This Row],[AgentID]],Sales_Agents!$A$1:C22,2)</f>
        <v>Zainab</v>
      </c>
      <c r="N19" t="str">
        <f>VLOOKUP(Table2[[#This Row],[AgentID]],Sales_Agents!$A$1:C22,3)</f>
        <v>North</v>
      </c>
    </row>
    <row r="20" spans="1:14" x14ac:dyDescent="0.25">
      <c r="A20">
        <v>19</v>
      </c>
      <c r="B20" s="1">
        <v>45322</v>
      </c>
      <c r="C20" s="8" t="str">
        <f>TEXT(Table2[[#This Row],[OrderDate]],"mmm")</f>
        <v>Jan</v>
      </c>
      <c r="D20">
        <v>4</v>
      </c>
      <c r="E20">
        <v>3</v>
      </c>
      <c r="F20">
        <v>6</v>
      </c>
      <c r="G20" s="3">
        <v>353212</v>
      </c>
      <c r="H20" s="3">
        <f t="shared" si="0"/>
        <v>2119272</v>
      </c>
      <c r="I20" s="5">
        <f>Table2[[#This Row],[Total Revenue]]*0.3</f>
        <v>635781.6</v>
      </c>
      <c r="J20" s="6">
        <f t="shared" si="1"/>
        <v>0.3</v>
      </c>
      <c r="K20" t="str">
        <f>VLOOKUP(Table2[[#This Row],[ProductID]],Products!$A$1:C24,2)</f>
        <v>Printer</v>
      </c>
      <c r="L20" t="str">
        <f>VLOOKUP(D20,Products!$A$1:C24,3)</f>
        <v>Accessories</v>
      </c>
      <c r="M20" t="str">
        <f>VLOOKUP(Table2[[#This Row],[AgentID]],Sales_Agents!$A$1:C23,2)</f>
        <v>Chinedu</v>
      </c>
      <c r="N20" t="str">
        <f>VLOOKUP(Table2[[#This Row],[AgentID]],Sales_Agents!$A$1:C23,3)</f>
        <v>South</v>
      </c>
    </row>
    <row r="21" spans="1:14" x14ac:dyDescent="0.25">
      <c r="A21">
        <v>20</v>
      </c>
      <c r="B21" s="1">
        <v>45367</v>
      </c>
      <c r="C21" s="8" t="str">
        <f>TEXT(Table2[[#This Row],[OrderDate]],"mmm")</f>
        <v>Mar</v>
      </c>
      <c r="D21">
        <v>2</v>
      </c>
      <c r="E21">
        <v>2</v>
      </c>
      <c r="F21">
        <v>19</v>
      </c>
      <c r="G21" s="3">
        <v>252753</v>
      </c>
      <c r="H21" s="3">
        <f t="shared" si="0"/>
        <v>4802307</v>
      </c>
      <c r="I21" s="5">
        <f>Table2[[#This Row],[Total Revenue]]*0.3</f>
        <v>1440692.0999999999</v>
      </c>
      <c r="J21" s="6">
        <f t="shared" si="1"/>
        <v>0.3</v>
      </c>
      <c r="K21" t="str">
        <f>VLOOKUP(Table2[[#This Row],[ProductID]],Products!$A$1:C25,2)</f>
        <v>Phone</v>
      </c>
      <c r="L21" t="str">
        <f>VLOOKUP(D21,Products!$A$1:C25,3)</f>
        <v>Electronics</v>
      </c>
      <c r="M21" t="str">
        <f>VLOOKUP(Table2[[#This Row],[AgentID]],Sales_Agents!$A$1:C24,2)</f>
        <v>Blessing</v>
      </c>
      <c r="N21" t="str">
        <f>VLOOKUP(Table2[[#This Row],[AgentID]],Sales_Agents!$A$1:C24,3)</f>
        <v>East</v>
      </c>
    </row>
    <row r="22" spans="1:14" x14ac:dyDescent="0.25">
      <c r="A22">
        <v>21</v>
      </c>
      <c r="B22" s="1">
        <v>45563</v>
      </c>
      <c r="C22" s="8" t="str">
        <f>TEXT(Table2[[#This Row],[OrderDate]],"mmm")</f>
        <v>Sept</v>
      </c>
      <c r="D22">
        <v>3</v>
      </c>
      <c r="E22">
        <v>2</v>
      </c>
      <c r="F22">
        <v>13</v>
      </c>
      <c r="G22" s="3">
        <v>267660</v>
      </c>
      <c r="H22" s="3">
        <f t="shared" si="0"/>
        <v>3479580</v>
      </c>
      <c r="I22" s="5">
        <f>Table2[[#This Row],[Total Revenue]]*0.3</f>
        <v>1043874</v>
      </c>
      <c r="J22" s="6">
        <f t="shared" si="1"/>
        <v>0.3</v>
      </c>
      <c r="K22" t="str">
        <f>VLOOKUP(Table2[[#This Row],[ProductID]],Products!$A$1:C26,2)</f>
        <v>Tablet</v>
      </c>
      <c r="L22" t="str">
        <f>VLOOKUP(D22,Products!$A$1:C26,3)</f>
        <v>Electronics</v>
      </c>
      <c r="M22" t="str">
        <f>VLOOKUP(Table2[[#This Row],[AgentID]],Sales_Agents!$A$1:C25,2)</f>
        <v>Blessing</v>
      </c>
      <c r="N22" t="str">
        <f>VLOOKUP(Table2[[#This Row],[AgentID]],Sales_Agents!$A$1:C25,3)</f>
        <v>East</v>
      </c>
    </row>
    <row r="23" spans="1:14" x14ac:dyDescent="0.25">
      <c r="A23">
        <v>22</v>
      </c>
      <c r="B23" s="1">
        <v>45563</v>
      </c>
      <c r="C23" s="8" t="str">
        <f>TEXT(Table2[[#This Row],[OrderDate]],"mmm")</f>
        <v>Sept</v>
      </c>
      <c r="D23">
        <v>1</v>
      </c>
      <c r="E23">
        <v>2</v>
      </c>
      <c r="F23">
        <v>7</v>
      </c>
      <c r="G23" s="3">
        <v>325864</v>
      </c>
      <c r="H23" s="3">
        <f t="shared" si="0"/>
        <v>2281048</v>
      </c>
      <c r="I23" s="5">
        <f>Table2[[#This Row],[Total Revenue]]*0.3</f>
        <v>684314.4</v>
      </c>
      <c r="J23" s="6">
        <f t="shared" si="1"/>
        <v>0.3</v>
      </c>
      <c r="K23" t="str">
        <f>VLOOKUP(Table2[[#This Row],[ProductID]],Products!$A$1:C27,2)</f>
        <v>Laptop</v>
      </c>
      <c r="L23" t="str">
        <f>VLOOKUP(D23,Products!$A$1:C27,3)</f>
        <v>Electronics</v>
      </c>
      <c r="M23" t="str">
        <f>VLOOKUP(Table2[[#This Row],[AgentID]],Sales_Agents!$A$1:C26,2)</f>
        <v>Blessing</v>
      </c>
      <c r="N23" t="str">
        <f>VLOOKUP(Table2[[#This Row],[AgentID]],Sales_Agents!$A$1:C26,3)</f>
        <v>East</v>
      </c>
    </row>
    <row r="24" spans="1:14" x14ac:dyDescent="0.25">
      <c r="A24">
        <v>23</v>
      </c>
      <c r="B24" s="1">
        <v>45383</v>
      </c>
      <c r="C24" s="8" t="str">
        <f>TEXT(Table2[[#This Row],[OrderDate]],"mmm")</f>
        <v>Apr</v>
      </c>
      <c r="D24">
        <v>4</v>
      </c>
      <c r="E24">
        <v>4</v>
      </c>
      <c r="F24">
        <v>4</v>
      </c>
      <c r="G24" s="3">
        <v>348272</v>
      </c>
      <c r="H24" s="3">
        <f t="shared" si="0"/>
        <v>1393088</v>
      </c>
      <c r="I24" s="5">
        <f>Table2[[#This Row],[Total Revenue]]*0.3</f>
        <v>417926.39999999997</v>
      </c>
      <c r="J24" s="6">
        <f t="shared" si="1"/>
        <v>0.3</v>
      </c>
      <c r="K24" t="str">
        <f>VLOOKUP(Table2[[#This Row],[ProductID]],Products!$A$1:C28,2)</f>
        <v>Printer</v>
      </c>
      <c r="L24" t="str">
        <f>VLOOKUP(D24,Products!$A$1:C28,3)</f>
        <v>Accessories</v>
      </c>
      <c r="M24" t="str">
        <f>VLOOKUP(Table2[[#This Row],[AgentID]],Sales_Agents!$A$1:C27,2)</f>
        <v>Zainab</v>
      </c>
      <c r="N24" t="str">
        <f>VLOOKUP(Table2[[#This Row],[AgentID]],Sales_Agents!$A$1:C27,3)</f>
        <v>North</v>
      </c>
    </row>
    <row r="25" spans="1:14" x14ac:dyDescent="0.25">
      <c r="A25">
        <v>24</v>
      </c>
      <c r="B25" s="1">
        <v>45545</v>
      </c>
      <c r="C25" s="8" t="str">
        <f>TEXT(Table2[[#This Row],[OrderDate]],"mmm")</f>
        <v>Sept</v>
      </c>
      <c r="D25">
        <v>4</v>
      </c>
      <c r="E25">
        <v>2</v>
      </c>
      <c r="F25">
        <v>12</v>
      </c>
      <c r="G25" s="3">
        <v>215780</v>
      </c>
      <c r="H25" s="3">
        <f t="shared" si="0"/>
        <v>2589360</v>
      </c>
      <c r="I25" s="5">
        <f>Table2[[#This Row],[Total Revenue]]*0.3</f>
        <v>776808</v>
      </c>
      <c r="J25" s="6">
        <f t="shared" si="1"/>
        <v>0.3</v>
      </c>
      <c r="K25" t="str">
        <f>VLOOKUP(Table2[[#This Row],[ProductID]],Products!$A$1:C29,2)</f>
        <v>Printer</v>
      </c>
      <c r="L25" t="str">
        <f>VLOOKUP(D25,Products!$A$1:C29,3)</f>
        <v>Accessories</v>
      </c>
      <c r="M25" t="str">
        <f>VLOOKUP(Table2[[#This Row],[AgentID]],Sales_Agents!$A$1:C28,2)</f>
        <v>Blessing</v>
      </c>
      <c r="N25" t="str">
        <f>VLOOKUP(Table2[[#This Row],[AgentID]],Sales_Agents!$A$1:C28,3)</f>
        <v>East</v>
      </c>
    </row>
    <row r="26" spans="1:14" x14ac:dyDescent="0.25">
      <c r="A26">
        <v>25</v>
      </c>
      <c r="B26" s="1">
        <v>45463</v>
      </c>
      <c r="C26" s="8" t="str">
        <f>TEXT(Table2[[#This Row],[OrderDate]],"mmm")</f>
        <v>Jun</v>
      </c>
      <c r="D26">
        <v>5</v>
      </c>
      <c r="E26">
        <v>2</v>
      </c>
      <c r="F26">
        <v>6</v>
      </c>
      <c r="G26" s="3">
        <v>106840</v>
      </c>
      <c r="H26" s="3">
        <f t="shared" si="0"/>
        <v>641040</v>
      </c>
      <c r="I26" s="5">
        <f>Table2[[#This Row],[Total Revenue]]*0.3</f>
        <v>192312</v>
      </c>
      <c r="J26" s="6">
        <f t="shared" si="1"/>
        <v>0.3</v>
      </c>
      <c r="K26" t="str">
        <f>VLOOKUP(Table2[[#This Row],[ProductID]],Products!$A$1:C30,2)</f>
        <v>Monitor</v>
      </c>
      <c r="L26" t="str">
        <f>VLOOKUP(D26,Products!$A$1:C30,3)</f>
        <v>Accessories</v>
      </c>
      <c r="M26" t="str">
        <f>VLOOKUP(Table2[[#This Row],[AgentID]],Sales_Agents!$A$1:C29,2)</f>
        <v>Blessing</v>
      </c>
      <c r="N26" t="str">
        <f>VLOOKUP(Table2[[#This Row],[AgentID]],Sales_Agents!$A$1:C29,3)</f>
        <v>East</v>
      </c>
    </row>
    <row r="27" spans="1:14" x14ac:dyDescent="0.25">
      <c r="A27">
        <v>26</v>
      </c>
      <c r="B27" s="1">
        <v>45590</v>
      </c>
      <c r="C27" s="8" t="str">
        <f>TEXT(Table2[[#This Row],[OrderDate]],"mmm")</f>
        <v>Oct</v>
      </c>
      <c r="D27">
        <v>3</v>
      </c>
      <c r="E27">
        <v>4</v>
      </c>
      <c r="F27">
        <v>8</v>
      </c>
      <c r="G27" s="3">
        <v>79190</v>
      </c>
      <c r="H27" s="3">
        <f t="shared" si="0"/>
        <v>633520</v>
      </c>
      <c r="I27" s="5">
        <f>Table2[[#This Row],[Total Revenue]]*0.3</f>
        <v>190056</v>
      </c>
      <c r="J27" s="6">
        <f t="shared" si="1"/>
        <v>0.3</v>
      </c>
      <c r="K27" t="str">
        <f>VLOOKUP(Table2[[#This Row],[ProductID]],Products!$A$1:C31,2)</f>
        <v>Tablet</v>
      </c>
      <c r="L27" t="str">
        <f>VLOOKUP(D27,Products!$A$1:C31,3)</f>
        <v>Electronics</v>
      </c>
      <c r="M27" t="str">
        <f>VLOOKUP(Table2[[#This Row],[AgentID]],Sales_Agents!$A$1:C30,2)</f>
        <v>Zainab</v>
      </c>
      <c r="N27" t="str">
        <f>VLOOKUP(Table2[[#This Row],[AgentID]],Sales_Agents!$A$1:C30,3)</f>
        <v>North</v>
      </c>
    </row>
    <row r="28" spans="1:14" x14ac:dyDescent="0.25">
      <c r="A28">
        <v>27</v>
      </c>
      <c r="B28" s="1">
        <v>45453</v>
      </c>
      <c r="C28" s="8" t="str">
        <f>TEXT(Table2[[#This Row],[OrderDate]],"mmm")</f>
        <v>Jun</v>
      </c>
      <c r="D28">
        <v>5</v>
      </c>
      <c r="E28">
        <v>3</v>
      </c>
      <c r="F28">
        <v>5</v>
      </c>
      <c r="G28" s="3">
        <v>167651</v>
      </c>
      <c r="H28" s="3">
        <f t="shared" si="0"/>
        <v>838255</v>
      </c>
      <c r="I28" s="5">
        <f>Table2[[#This Row],[Total Revenue]]*0.3</f>
        <v>251476.5</v>
      </c>
      <c r="J28" s="6">
        <f t="shared" si="1"/>
        <v>0.3</v>
      </c>
      <c r="K28" t="str">
        <f>VLOOKUP(Table2[[#This Row],[ProductID]],Products!$A$1:C32,2)</f>
        <v>Monitor</v>
      </c>
      <c r="L28" t="str">
        <f>VLOOKUP(D28,Products!$A$1:C32,3)</f>
        <v>Accessories</v>
      </c>
      <c r="M28" t="str">
        <f>VLOOKUP(Table2[[#This Row],[AgentID]],Sales_Agents!$A$1:C31,2)</f>
        <v>Chinedu</v>
      </c>
      <c r="N28" t="str">
        <f>VLOOKUP(Table2[[#This Row],[AgentID]],Sales_Agents!$A$1:C31,3)</f>
        <v>South</v>
      </c>
    </row>
    <row r="29" spans="1:14" x14ac:dyDescent="0.25">
      <c r="A29">
        <v>28</v>
      </c>
      <c r="B29" s="1">
        <v>45502</v>
      </c>
      <c r="C29" s="8" t="str">
        <f>TEXT(Table2[[#This Row],[OrderDate]],"mmm")</f>
        <v>Jul</v>
      </c>
      <c r="D29">
        <v>3</v>
      </c>
      <c r="E29">
        <v>3</v>
      </c>
      <c r="F29">
        <v>15</v>
      </c>
      <c r="G29" s="3">
        <v>139782</v>
      </c>
      <c r="H29" s="3">
        <f t="shared" si="0"/>
        <v>2096730</v>
      </c>
      <c r="I29" s="5">
        <f>Table2[[#This Row],[Total Revenue]]*0.3</f>
        <v>629019</v>
      </c>
      <c r="J29" s="6">
        <f t="shared" si="1"/>
        <v>0.3</v>
      </c>
      <c r="K29" t="str">
        <f>VLOOKUP(Table2[[#This Row],[ProductID]],Products!$A$1:C33,2)</f>
        <v>Tablet</v>
      </c>
      <c r="L29" t="str">
        <f>VLOOKUP(D29,Products!$A$1:C33,3)</f>
        <v>Electronics</v>
      </c>
      <c r="M29" t="str">
        <f>VLOOKUP(Table2[[#This Row],[AgentID]],Sales_Agents!$A$1:C32,2)</f>
        <v>Chinedu</v>
      </c>
      <c r="N29" t="str">
        <f>VLOOKUP(Table2[[#This Row],[AgentID]],Sales_Agents!$A$1:C32,3)</f>
        <v>South</v>
      </c>
    </row>
    <row r="30" spans="1:14" x14ac:dyDescent="0.25">
      <c r="A30">
        <v>29</v>
      </c>
      <c r="B30" s="1">
        <v>45460</v>
      </c>
      <c r="C30" s="8" t="str">
        <f>TEXT(Table2[[#This Row],[OrderDate]],"mmm")</f>
        <v>Jun</v>
      </c>
      <c r="D30">
        <v>4</v>
      </c>
      <c r="E30">
        <v>3</v>
      </c>
      <c r="F30">
        <v>8</v>
      </c>
      <c r="G30" s="3">
        <v>85426</v>
      </c>
      <c r="H30" s="3">
        <f t="shared" si="0"/>
        <v>683408</v>
      </c>
      <c r="I30" s="5">
        <f>Table2[[#This Row],[Total Revenue]]*0.3</f>
        <v>205022.4</v>
      </c>
      <c r="J30" s="6">
        <f t="shared" si="1"/>
        <v>0.3</v>
      </c>
      <c r="K30" t="str">
        <f>VLOOKUP(Table2[[#This Row],[ProductID]],Products!$A$1:C34,2)</f>
        <v>Printer</v>
      </c>
      <c r="L30" t="str">
        <f>VLOOKUP(D30,Products!$A$1:C34,3)</f>
        <v>Accessories</v>
      </c>
      <c r="M30" t="str">
        <f>VLOOKUP(Table2[[#This Row],[AgentID]],Sales_Agents!$A$1:C33,2)</f>
        <v>Chinedu</v>
      </c>
      <c r="N30" t="str">
        <f>VLOOKUP(Table2[[#This Row],[AgentID]],Sales_Agents!$A$1:C33,3)</f>
        <v>South</v>
      </c>
    </row>
    <row r="31" spans="1:14" x14ac:dyDescent="0.25">
      <c r="A31">
        <v>30</v>
      </c>
      <c r="B31" s="1">
        <v>45496</v>
      </c>
      <c r="C31" s="8" t="str">
        <f>TEXT(Table2[[#This Row],[OrderDate]],"mmm")</f>
        <v>Jul</v>
      </c>
      <c r="D31">
        <v>4</v>
      </c>
      <c r="E31">
        <v>3</v>
      </c>
      <c r="F31">
        <v>7</v>
      </c>
      <c r="G31" s="3">
        <v>165824</v>
      </c>
      <c r="H31" s="3">
        <f t="shared" si="0"/>
        <v>1160768</v>
      </c>
      <c r="I31" s="5">
        <f>Table2[[#This Row],[Total Revenue]]*0.3</f>
        <v>348230.39999999997</v>
      </c>
      <c r="J31" s="6">
        <f t="shared" si="1"/>
        <v>0.3</v>
      </c>
      <c r="K31" t="str">
        <f>VLOOKUP(Table2[[#This Row],[ProductID]],Products!$A$1:C35,2)</f>
        <v>Printer</v>
      </c>
      <c r="L31" t="str">
        <f>VLOOKUP(D31,Products!$A$1:C35,3)</f>
        <v>Accessories</v>
      </c>
      <c r="M31" t="str">
        <f>VLOOKUP(Table2[[#This Row],[AgentID]],Sales_Agents!$A$1:C34,2)</f>
        <v>Chinedu</v>
      </c>
      <c r="N31" t="str">
        <f>VLOOKUP(Table2[[#This Row],[AgentID]],Sales_Agents!$A$1:C34,3)</f>
        <v>South</v>
      </c>
    </row>
    <row r="32" spans="1:14" x14ac:dyDescent="0.25">
      <c r="A32">
        <v>31</v>
      </c>
      <c r="B32" s="1">
        <v>45497</v>
      </c>
      <c r="C32" s="8" t="str">
        <f>TEXT(Table2[[#This Row],[OrderDate]],"mmm")</f>
        <v>Jul</v>
      </c>
      <c r="D32">
        <v>3</v>
      </c>
      <c r="E32">
        <v>1</v>
      </c>
      <c r="F32">
        <v>8</v>
      </c>
      <c r="G32" s="3">
        <v>370210</v>
      </c>
      <c r="H32" s="3">
        <f t="shared" si="0"/>
        <v>2961680</v>
      </c>
      <c r="I32" s="5">
        <f>Table2[[#This Row],[Total Revenue]]*0.3</f>
        <v>888504</v>
      </c>
      <c r="J32" s="6">
        <f t="shared" si="1"/>
        <v>0.3</v>
      </c>
      <c r="K32" t="str">
        <f>VLOOKUP(Table2[[#This Row],[ProductID]],Products!$A$1:C36,2)</f>
        <v>Tablet</v>
      </c>
      <c r="L32" t="str">
        <f>VLOOKUP(D32,Products!$A$1:C36,3)</f>
        <v>Electronics</v>
      </c>
      <c r="M32" t="str">
        <f>VLOOKUP(Table2[[#This Row],[AgentID]],Sales_Agents!$A$1:C35,2)</f>
        <v>Akin</v>
      </c>
      <c r="N32" t="str">
        <f>VLOOKUP(Table2[[#This Row],[AgentID]],Sales_Agents!$A$1:C35,3)</f>
        <v>West</v>
      </c>
    </row>
    <row r="33" spans="1:14" x14ac:dyDescent="0.25">
      <c r="A33">
        <v>32</v>
      </c>
      <c r="B33" s="1">
        <v>45569</v>
      </c>
      <c r="C33" s="8" t="str">
        <f>TEXT(Table2[[#This Row],[OrderDate]],"mmm")</f>
        <v>Oct</v>
      </c>
      <c r="D33">
        <v>2</v>
      </c>
      <c r="E33">
        <v>3</v>
      </c>
      <c r="F33">
        <v>15</v>
      </c>
      <c r="G33" s="3">
        <v>85300</v>
      </c>
      <c r="H33" s="3">
        <f t="shared" si="0"/>
        <v>1279500</v>
      </c>
      <c r="I33" s="5">
        <f>Table2[[#This Row],[Total Revenue]]*0.3</f>
        <v>383850</v>
      </c>
      <c r="J33" s="6">
        <f t="shared" si="1"/>
        <v>0.3</v>
      </c>
      <c r="K33" t="str">
        <f>VLOOKUP(Table2[[#This Row],[ProductID]],Products!$A$1:C37,2)</f>
        <v>Phone</v>
      </c>
      <c r="L33" t="str">
        <f>VLOOKUP(D33,Products!$A$1:C37,3)</f>
        <v>Electronics</v>
      </c>
      <c r="M33" t="str">
        <f>VLOOKUP(Table2[[#This Row],[AgentID]],Sales_Agents!$A$1:C36,2)</f>
        <v>Chinedu</v>
      </c>
      <c r="N33" t="str">
        <f>VLOOKUP(Table2[[#This Row],[AgentID]],Sales_Agents!$A$1:C36,3)</f>
        <v>South</v>
      </c>
    </row>
    <row r="34" spans="1:14" x14ac:dyDescent="0.25">
      <c r="A34">
        <v>33</v>
      </c>
      <c r="B34" s="1">
        <v>45638</v>
      </c>
      <c r="C34" s="8" t="str">
        <f>TEXT(Table2[[#This Row],[OrderDate]],"mmm")</f>
        <v>Dec</v>
      </c>
      <c r="D34">
        <v>3</v>
      </c>
      <c r="E34">
        <v>3</v>
      </c>
      <c r="F34">
        <v>11</v>
      </c>
      <c r="G34" s="3">
        <v>118826</v>
      </c>
      <c r="H34" s="3">
        <f t="shared" si="0"/>
        <v>1307086</v>
      </c>
      <c r="I34" s="5">
        <f>Table2[[#This Row],[Total Revenue]]*0.3</f>
        <v>392125.8</v>
      </c>
      <c r="J34" s="6">
        <f t="shared" si="1"/>
        <v>0.3</v>
      </c>
      <c r="K34" t="str">
        <f>VLOOKUP(Table2[[#This Row],[ProductID]],Products!$A$1:C38,2)</f>
        <v>Tablet</v>
      </c>
      <c r="L34" t="str">
        <f>VLOOKUP(D34,Products!$A$1:C38,3)</f>
        <v>Electronics</v>
      </c>
      <c r="M34" t="str">
        <f>VLOOKUP(Table2[[#This Row],[AgentID]],Sales_Agents!$A$1:C37,2)</f>
        <v>Chinedu</v>
      </c>
      <c r="N34" t="str">
        <f>VLOOKUP(Table2[[#This Row],[AgentID]],Sales_Agents!$A$1:C37,3)</f>
        <v>South</v>
      </c>
    </row>
    <row r="35" spans="1:14" x14ac:dyDescent="0.25">
      <c r="A35">
        <v>34</v>
      </c>
      <c r="B35" s="1">
        <v>45453</v>
      </c>
      <c r="C35" s="8" t="str">
        <f>TEXT(Table2[[#This Row],[OrderDate]],"mmm")</f>
        <v>Jun</v>
      </c>
      <c r="D35">
        <v>3</v>
      </c>
      <c r="E35">
        <v>2</v>
      </c>
      <c r="F35">
        <v>19</v>
      </c>
      <c r="G35" s="3">
        <v>354182</v>
      </c>
      <c r="H35" s="3">
        <f t="shared" si="0"/>
        <v>6729458</v>
      </c>
      <c r="I35" s="5">
        <f>Table2[[#This Row],[Total Revenue]]*0.3</f>
        <v>2018837.4</v>
      </c>
      <c r="J35" s="6">
        <f t="shared" si="1"/>
        <v>0.3</v>
      </c>
      <c r="K35" t="str">
        <f>VLOOKUP(Table2[[#This Row],[ProductID]],Products!$A$1:C39,2)</f>
        <v>Tablet</v>
      </c>
      <c r="L35" t="str">
        <f>VLOOKUP(D35,Products!$A$1:C39,3)</f>
        <v>Electronics</v>
      </c>
      <c r="M35" t="str">
        <f>VLOOKUP(Table2[[#This Row],[AgentID]],Sales_Agents!$A$1:C38,2)</f>
        <v>Blessing</v>
      </c>
      <c r="N35" t="str">
        <f>VLOOKUP(Table2[[#This Row],[AgentID]],Sales_Agents!$A$1:C38,3)</f>
        <v>East</v>
      </c>
    </row>
    <row r="36" spans="1:14" x14ac:dyDescent="0.25">
      <c r="A36">
        <v>35</v>
      </c>
      <c r="B36" s="1">
        <v>45617</v>
      </c>
      <c r="C36" s="8" t="str">
        <f>TEXT(Table2[[#This Row],[OrderDate]],"mmm")</f>
        <v>Nov</v>
      </c>
      <c r="D36">
        <v>5</v>
      </c>
      <c r="E36">
        <v>2</v>
      </c>
      <c r="F36">
        <v>19</v>
      </c>
      <c r="G36" s="3">
        <v>152174</v>
      </c>
      <c r="H36" s="3">
        <f t="shared" si="0"/>
        <v>2891306</v>
      </c>
      <c r="I36" s="5">
        <f>Table2[[#This Row],[Total Revenue]]*0.3</f>
        <v>867391.79999999993</v>
      </c>
      <c r="J36" s="6">
        <f t="shared" si="1"/>
        <v>0.3</v>
      </c>
      <c r="K36" t="str">
        <f>VLOOKUP(Table2[[#This Row],[ProductID]],Products!$A$1:C40,2)</f>
        <v>Monitor</v>
      </c>
      <c r="L36" t="str">
        <f>VLOOKUP(D36,Products!$A$1:C40,3)</f>
        <v>Accessories</v>
      </c>
      <c r="M36" t="str">
        <f>VLOOKUP(Table2[[#This Row],[AgentID]],Sales_Agents!$A$1:C39,2)</f>
        <v>Blessing</v>
      </c>
      <c r="N36" t="str">
        <f>VLOOKUP(Table2[[#This Row],[AgentID]],Sales_Agents!$A$1:C39,3)</f>
        <v>East</v>
      </c>
    </row>
    <row r="37" spans="1:14" x14ac:dyDescent="0.25">
      <c r="A37">
        <v>36</v>
      </c>
      <c r="B37" s="1">
        <v>45419</v>
      </c>
      <c r="C37" s="8" t="str">
        <f>TEXT(Table2[[#This Row],[OrderDate]],"mmm")</f>
        <v>May</v>
      </c>
      <c r="D37">
        <v>5</v>
      </c>
      <c r="E37">
        <v>2</v>
      </c>
      <c r="F37">
        <v>11</v>
      </c>
      <c r="G37" s="3">
        <v>249236</v>
      </c>
      <c r="H37" s="3">
        <f t="shared" si="0"/>
        <v>2741596</v>
      </c>
      <c r="I37" s="5">
        <f>Table2[[#This Row],[Total Revenue]]*0.3</f>
        <v>822478.79999999993</v>
      </c>
      <c r="J37" s="6">
        <f t="shared" si="1"/>
        <v>0.3</v>
      </c>
      <c r="K37" t="str">
        <f>VLOOKUP(Table2[[#This Row],[ProductID]],Products!$A$1:C41,2)</f>
        <v>Monitor</v>
      </c>
      <c r="L37" t="str">
        <f>VLOOKUP(D37,Products!$A$1:C41,3)</f>
        <v>Accessories</v>
      </c>
      <c r="M37" t="str">
        <f>VLOOKUP(Table2[[#This Row],[AgentID]],Sales_Agents!$A$1:C40,2)</f>
        <v>Blessing</v>
      </c>
      <c r="N37" t="str">
        <f>VLOOKUP(Table2[[#This Row],[AgentID]],Sales_Agents!$A$1:C40,3)</f>
        <v>East</v>
      </c>
    </row>
    <row r="38" spans="1:14" x14ac:dyDescent="0.25">
      <c r="A38">
        <v>37</v>
      </c>
      <c r="B38" s="1">
        <v>45338</v>
      </c>
      <c r="C38" s="8" t="str">
        <f>TEXT(Table2[[#This Row],[OrderDate]],"mmm")</f>
        <v>Feb</v>
      </c>
      <c r="D38">
        <v>3</v>
      </c>
      <c r="E38">
        <v>2</v>
      </c>
      <c r="F38">
        <v>13</v>
      </c>
      <c r="G38" s="3">
        <v>64334</v>
      </c>
      <c r="H38" s="3">
        <f t="shared" si="0"/>
        <v>836342</v>
      </c>
      <c r="I38" s="5">
        <f>Table2[[#This Row],[Total Revenue]]*0.3</f>
        <v>250902.59999999998</v>
      </c>
      <c r="J38" s="6">
        <f t="shared" si="1"/>
        <v>0.3</v>
      </c>
      <c r="K38" t="str">
        <f>VLOOKUP(Table2[[#This Row],[ProductID]],Products!$A$1:C42,2)</f>
        <v>Tablet</v>
      </c>
      <c r="L38" t="str">
        <f>VLOOKUP(D38,Products!$A$1:C42,3)</f>
        <v>Electronics</v>
      </c>
      <c r="M38" t="str">
        <f>VLOOKUP(Table2[[#This Row],[AgentID]],Sales_Agents!$A$1:C41,2)</f>
        <v>Blessing</v>
      </c>
      <c r="N38" t="str">
        <f>VLOOKUP(Table2[[#This Row],[AgentID]],Sales_Agents!$A$1:C41,3)</f>
        <v>East</v>
      </c>
    </row>
    <row r="39" spans="1:14" x14ac:dyDescent="0.25">
      <c r="A39">
        <v>38</v>
      </c>
      <c r="B39" s="1">
        <v>45654</v>
      </c>
      <c r="C39" s="8" t="str">
        <f>TEXT(Table2[[#This Row],[OrderDate]],"mmm")</f>
        <v>Dec</v>
      </c>
      <c r="D39">
        <v>2</v>
      </c>
      <c r="E39">
        <v>2</v>
      </c>
      <c r="F39">
        <v>1</v>
      </c>
      <c r="G39" s="3">
        <v>296053</v>
      </c>
      <c r="H39" s="3">
        <f t="shared" si="0"/>
        <v>296053</v>
      </c>
      <c r="I39" s="5">
        <f>Table2[[#This Row],[Total Revenue]]*0.3</f>
        <v>88815.9</v>
      </c>
      <c r="J39" s="6">
        <f t="shared" si="1"/>
        <v>0.3</v>
      </c>
      <c r="K39" t="str">
        <f>VLOOKUP(Table2[[#This Row],[ProductID]],Products!$A$1:C43,2)</f>
        <v>Phone</v>
      </c>
      <c r="L39" t="str">
        <f>VLOOKUP(D39,Products!$A$1:C43,3)</f>
        <v>Electronics</v>
      </c>
      <c r="M39" t="str">
        <f>VLOOKUP(Table2[[#This Row],[AgentID]],Sales_Agents!$A$1:C42,2)</f>
        <v>Blessing</v>
      </c>
      <c r="N39" t="str">
        <f>VLOOKUP(Table2[[#This Row],[AgentID]],Sales_Agents!$A$1:C42,3)</f>
        <v>East</v>
      </c>
    </row>
    <row r="40" spans="1:14" x14ac:dyDescent="0.25">
      <c r="A40">
        <v>39</v>
      </c>
      <c r="B40" s="1">
        <v>45454</v>
      </c>
      <c r="C40" s="8" t="str">
        <f>TEXT(Table2[[#This Row],[OrderDate]],"mmm")</f>
        <v>Jun</v>
      </c>
      <c r="D40">
        <v>5</v>
      </c>
      <c r="E40">
        <v>4</v>
      </c>
      <c r="F40">
        <v>19</v>
      </c>
      <c r="G40" s="3">
        <v>63109</v>
      </c>
      <c r="H40" s="3">
        <f t="shared" si="0"/>
        <v>1199071</v>
      </c>
      <c r="I40" s="5">
        <f>Table2[[#This Row],[Total Revenue]]*0.3</f>
        <v>359721.3</v>
      </c>
      <c r="J40" s="6">
        <f t="shared" si="1"/>
        <v>0.3</v>
      </c>
      <c r="K40" t="str">
        <f>VLOOKUP(Table2[[#This Row],[ProductID]],Products!$A$1:C44,2)</f>
        <v>Monitor</v>
      </c>
      <c r="L40" t="str">
        <f>VLOOKUP(D40,Products!$A$1:C44,3)</f>
        <v>Accessories</v>
      </c>
      <c r="M40" t="str">
        <f>VLOOKUP(Table2[[#This Row],[AgentID]],Sales_Agents!$A$1:C43,2)</f>
        <v>Zainab</v>
      </c>
      <c r="N40" t="str">
        <f>VLOOKUP(Table2[[#This Row],[AgentID]],Sales_Agents!$A$1:C43,3)</f>
        <v>North</v>
      </c>
    </row>
    <row r="41" spans="1:14" x14ac:dyDescent="0.25">
      <c r="A41">
        <v>40</v>
      </c>
      <c r="B41" s="1">
        <v>45603</v>
      </c>
      <c r="C41" s="8" t="str">
        <f>TEXT(Table2[[#This Row],[OrderDate]],"mmm")</f>
        <v>Nov</v>
      </c>
      <c r="D41">
        <v>3</v>
      </c>
      <c r="E41">
        <v>1</v>
      </c>
      <c r="F41">
        <v>14</v>
      </c>
      <c r="G41" s="3">
        <v>304741</v>
      </c>
      <c r="H41" s="3">
        <f t="shared" si="0"/>
        <v>4266374</v>
      </c>
      <c r="I41" s="5">
        <f>Table2[[#This Row],[Total Revenue]]*0.3</f>
        <v>1279912.2</v>
      </c>
      <c r="J41" s="6">
        <f t="shared" si="1"/>
        <v>0.3</v>
      </c>
      <c r="K41" t="str">
        <f>VLOOKUP(Table2[[#This Row],[ProductID]],Products!$A$1:C45,2)</f>
        <v>Tablet</v>
      </c>
      <c r="L41" t="str">
        <f>VLOOKUP(D41,Products!$A$1:C45,3)</f>
        <v>Electronics</v>
      </c>
      <c r="M41" t="str">
        <f>VLOOKUP(Table2[[#This Row],[AgentID]],Sales_Agents!$A$1:C44,2)</f>
        <v>Akin</v>
      </c>
      <c r="N41" t="str">
        <f>VLOOKUP(Table2[[#This Row],[AgentID]],Sales_Agents!$A$1:C44,3)</f>
        <v>West</v>
      </c>
    </row>
    <row r="42" spans="1:14" x14ac:dyDescent="0.25">
      <c r="A42">
        <v>41</v>
      </c>
      <c r="B42" s="1">
        <v>45436</v>
      </c>
      <c r="C42" s="8" t="str">
        <f>TEXT(Table2[[#This Row],[OrderDate]],"mmm")</f>
        <v>May</v>
      </c>
      <c r="D42">
        <v>4</v>
      </c>
      <c r="E42">
        <v>3</v>
      </c>
      <c r="F42">
        <v>17</v>
      </c>
      <c r="G42" s="3">
        <v>275887</v>
      </c>
      <c r="H42" s="3">
        <f t="shared" si="0"/>
        <v>4690079</v>
      </c>
      <c r="I42" s="5">
        <f>Table2[[#This Row],[Total Revenue]]*0.3</f>
        <v>1407023.7</v>
      </c>
      <c r="J42" s="6">
        <f t="shared" si="1"/>
        <v>0.3</v>
      </c>
      <c r="K42" t="str">
        <f>VLOOKUP(Table2[[#This Row],[ProductID]],Products!$A$1:C46,2)</f>
        <v>Printer</v>
      </c>
      <c r="L42" t="str">
        <f>VLOOKUP(D42,Products!$A$1:C46,3)</f>
        <v>Accessories</v>
      </c>
      <c r="M42" t="str">
        <f>VLOOKUP(Table2[[#This Row],[AgentID]],Sales_Agents!$A$1:C45,2)</f>
        <v>Chinedu</v>
      </c>
      <c r="N42" t="str">
        <f>VLOOKUP(Table2[[#This Row],[AgentID]],Sales_Agents!$A$1:C45,3)</f>
        <v>South</v>
      </c>
    </row>
    <row r="43" spans="1:14" x14ac:dyDescent="0.25">
      <c r="A43">
        <v>42</v>
      </c>
      <c r="B43" s="1">
        <v>45297</v>
      </c>
      <c r="C43" s="8" t="str">
        <f>TEXT(Table2[[#This Row],[OrderDate]],"mmm")</f>
        <v>Jan</v>
      </c>
      <c r="D43">
        <v>3</v>
      </c>
      <c r="E43">
        <v>2</v>
      </c>
      <c r="F43">
        <v>7</v>
      </c>
      <c r="G43" s="3">
        <v>239451</v>
      </c>
      <c r="H43" s="3">
        <f t="shared" si="0"/>
        <v>1676157</v>
      </c>
      <c r="I43" s="5">
        <f>Table2[[#This Row],[Total Revenue]]*0.3</f>
        <v>502847.1</v>
      </c>
      <c r="J43" s="6">
        <f t="shared" si="1"/>
        <v>0.3</v>
      </c>
      <c r="K43" t="str">
        <f>VLOOKUP(Table2[[#This Row],[ProductID]],Products!$A$1:C47,2)</f>
        <v>Tablet</v>
      </c>
      <c r="L43" t="str">
        <f>VLOOKUP(D43,Products!$A$1:C47,3)</f>
        <v>Electronics</v>
      </c>
      <c r="M43" t="str">
        <f>VLOOKUP(Table2[[#This Row],[AgentID]],Sales_Agents!$A$1:C46,2)</f>
        <v>Blessing</v>
      </c>
      <c r="N43" t="str">
        <f>VLOOKUP(Table2[[#This Row],[AgentID]],Sales_Agents!$A$1:C46,3)</f>
        <v>East</v>
      </c>
    </row>
    <row r="44" spans="1:14" x14ac:dyDescent="0.25">
      <c r="A44">
        <v>43</v>
      </c>
      <c r="B44" s="1">
        <v>45385</v>
      </c>
      <c r="C44" s="8" t="str">
        <f>TEXT(Table2[[#This Row],[OrderDate]],"mmm")</f>
        <v>Apr</v>
      </c>
      <c r="D44">
        <v>5</v>
      </c>
      <c r="E44">
        <v>4</v>
      </c>
      <c r="F44">
        <v>13</v>
      </c>
      <c r="G44" s="3">
        <v>134676</v>
      </c>
      <c r="H44" s="3">
        <f t="shared" si="0"/>
        <v>1750788</v>
      </c>
      <c r="I44" s="5">
        <f>Table2[[#This Row],[Total Revenue]]*0.3</f>
        <v>525236.4</v>
      </c>
      <c r="J44" s="6">
        <f t="shared" si="1"/>
        <v>0.3</v>
      </c>
      <c r="K44" t="str">
        <f>VLOOKUP(Table2[[#This Row],[ProductID]],Products!$A$1:C48,2)</f>
        <v>Monitor</v>
      </c>
      <c r="L44" t="str">
        <f>VLOOKUP(D44,Products!$A$1:C48,3)</f>
        <v>Accessories</v>
      </c>
      <c r="M44" t="str">
        <f>VLOOKUP(Table2[[#This Row],[AgentID]],Sales_Agents!$A$1:C47,2)</f>
        <v>Zainab</v>
      </c>
      <c r="N44" t="str">
        <f>VLOOKUP(Table2[[#This Row],[AgentID]],Sales_Agents!$A$1:C47,3)</f>
        <v>North</v>
      </c>
    </row>
    <row r="45" spans="1:14" x14ac:dyDescent="0.25">
      <c r="A45">
        <v>44</v>
      </c>
      <c r="B45" s="1">
        <v>45527</v>
      </c>
      <c r="C45" s="8" t="str">
        <f>TEXT(Table2[[#This Row],[OrderDate]],"mmm")</f>
        <v>Aug</v>
      </c>
      <c r="D45">
        <v>2</v>
      </c>
      <c r="E45">
        <v>2</v>
      </c>
      <c r="F45">
        <v>8</v>
      </c>
      <c r="G45" s="3">
        <v>157322</v>
      </c>
      <c r="H45" s="3">
        <f t="shared" si="0"/>
        <v>1258576</v>
      </c>
      <c r="I45" s="5">
        <f>Table2[[#This Row],[Total Revenue]]*0.3</f>
        <v>377572.8</v>
      </c>
      <c r="J45" s="6">
        <f t="shared" si="1"/>
        <v>0.3</v>
      </c>
      <c r="K45" t="str">
        <f>VLOOKUP(Table2[[#This Row],[ProductID]],Products!$A$1:C49,2)</f>
        <v>Phone</v>
      </c>
      <c r="L45" t="str">
        <f>VLOOKUP(D45,Products!$A$1:C49,3)</f>
        <v>Electronics</v>
      </c>
      <c r="M45" t="str">
        <f>VLOOKUP(Table2[[#This Row],[AgentID]],Sales_Agents!$A$1:C48,2)</f>
        <v>Blessing</v>
      </c>
      <c r="N45" t="str">
        <f>VLOOKUP(Table2[[#This Row],[AgentID]],Sales_Agents!$A$1:C48,3)</f>
        <v>East</v>
      </c>
    </row>
    <row r="46" spans="1:14" x14ac:dyDescent="0.25">
      <c r="A46">
        <v>45</v>
      </c>
      <c r="B46" s="1">
        <v>45435</v>
      </c>
      <c r="C46" s="8" t="str">
        <f>TEXT(Table2[[#This Row],[OrderDate]],"mmm")</f>
        <v>May</v>
      </c>
      <c r="D46">
        <v>5</v>
      </c>
      <c r="E46">
        <v>4</v>
      </c>
      <c r="F46">
        <v>11</v>
      </c>
      <c r="G46" s="3">
        <v>108576</v>
      </c>
      <c r="H46" s="3">
        <f t="shared" si="0"/>
        <v>1194336</v>
      </c>
      <c r="I46" s="5">
        <f>Table2[[#This Row],[Total Revenue]]*0.3</f>
        <v>358300.8</v>
      </c>
      <c r="J46" s="6">
        <f t="shared" si="1"/>
        <v>0.3</v>
      </c>
      <c r="K46" t="str">
        <f>VLOOKUP(Table2[[#This Row],[ProductID]],Products!$A$1:C50,2)</f>
        <v>Monitor</v>
      </c>
      <c r="L46" t="str">
        <f>VLOOKUP(D46,Products!$A$1:C50,3)</f>
        <v>Accessories</v>
      </c>
      <c r="M46" t="str">
        <f>VLOOKUP(Table2[[#This Row],[AgentID]],Sales_Agents!$A$1:C49,2)</f>
        <v>Zainab</v>
      </c>
      <c r="N46" t="str">
        <f>VLOOKUP(Table2[[#This Row],[AgentID]],Sales_Agents!$A$1:C49,3)</f>
        <v>North</v>
      </c>
    </row>
    <row r="47" spans="1:14" x14ac:dyDescent="0.25">
      <c r="A47">
        <v>46</v>
      </c>
      <c r="B47" s="1">
        <v>45542</v>
      </c>
      <c r="C47" s="8" t="str">
        <f>TEXT(Table2[[#This Row],[OrderDate]],"mmm")</f>
        <v>Sept</v>
      </c>
      <c r="D47">
        <v>1</v>
      </c>
      <c r="E47">
        <v>1</v>
      </c>
      <c r="F47">
        <v>14</v>
      </c>
      <c r="G47" s="3">
        <v>67654</v>
      </c>
      <c r="H47" s="3">
        <f t="shared" si="0"/>
        <v>947156</v>
      </c>
      <c r="I47" s="5">
        <f>Table2[[#This Row],[Total Revenue]]*0.3</f>
        <v>284146.8</v>
      </c>
      <c r="J47" s="6">
        <f t="shared" si="1"/>
        <v>0.3</v>
      </c>
      <c r="K47" t="str">
        <f>VLOOKUP(Table2[[#This Row],[ProductID]],Products!$A$1:C51,2)</f>
        <v>Laptop</v>
      </c>
      <c r="L47" t="str">
        <f>VLOOKUP(D47,Products!$A$1:C51,3)</f>
        <v>Electronics</v>
      </c>
      <c r="M47" t="str">
        <f>VLOOKUP(Table2[[#This Row],[AgentID]],Sales_Agents!$A$1:C50,2)</f>
        <v>Akin</v>
      </c>
      <c r="N47" t="str">
        <f>VLOOKUP(Table2[[#This Row],[AgentID]],Sales_Agents!$A$1:C50,3)</f>
        <v>West</v>
      </c>
    </row>
    <row r="48" spans="1:14" x14ac:dyDescent="0.25">
      <c r="A48">
        <v>47</v>
      </c>
      <c r="B48" s="1">
        <v>45406</v>
      </c>
      <c r="C48" s="8" t="str">
        <f>TEXT(Table2[[#This Row],[OrderDate]],"mmm")</f>
        <v>Apr</v>
      </c>
      <c r="D48">
        <v>1</v>
      </c>
      <c r="E48">
        <v>1</v>
      </c>
      <c r="F48">
        <v>4</v>
      </c>
      <c r="G48" s="3">
        <v>306900</v>
      </c>
      <c r="H48" s="3">
        <f t="shared" si="0"/>
        <v>1227600</v>
      </c>
      <c r="I48" s="5">
        <f>Table2[[#This Row],[Total Revenue]]*0.3</f>
        <v>368280</v>
      </c>
      <c r="J48" s="6">
        <f t="shared" si="1"/>
        <v>0.3</v>
      </c>
      <c r="K48" t="str">
        <f>VLOOKUP(Table2[[#This Row],[ProductID]],Products!$A$1:C52,2)</f>
        <v>Laptop</v>
      </c>
      <c r="L48" t="str">
        <f>VLOOKUP(D48,Products!$A$1:C52,3)</f>
        <v>Electronics</v>
      </c>
      <c r="M48" t="str">
        <f>VLOOKUP(Table2[[#This Row],[AgentID]],Sales_Agents!$A$1:C51,2)</f>
        <v>Akin</v>
      </c>
      <c r="N48" t="str">
        <f>VLOOKUP(Table2[[#This Row],[AgentID]],Sales_Agents!$A$1:C51,3)</f>
        <v>West</v>
      </c>
    </row>
    <row r="49" spans="1:14" x14ac:dyDescent="0.25">
      <c r="A49">
        <v>48</v>
      </c>
      <c r="B49" s="1">
        <v>45428</v>
      </c>
      <c r="C49" s="8" t="str">
        <f>TEXT(Table2[[#This Row],[OrderDate]],"mmm")</f>
        <v>May</v>
      </c>
      <c r="D49">
        <v>1</v>
      </c>
      <c r="E49">
        <v>4</v>
      </c>
      <c r="F49">
        <v>18</v>
      </c>
      <c r="G49" s="3">
        <v>168194</v>
      </c>
      <c r="H49" s="3">
        <f t="shared" si="0"/>
        <v>3027492</v>
      </c>
      <c r="I49" s="5">
        <f>Table2[[#This Row],[Total Revenue]]*0.3</f>
        <v>908247.6</v>
      </c>
      <c r="J49" s="6">
        <f t="shared" si="1"/>
        <v>0.3</v>
      </c>
      <c r="K49" t="str">
        <f>VLOOKUP(Table2[[#This Row],[ProductID]],Products!$A$1:C53,2)</f>
        <v>Laptop</v>
      </c>
      <c r="L49" t="str">
        <f>VLOOKUP(D49,Products!$A$1:C53,3)</f>
        <v>Electronics</v>
      </c>
      <c r="M49" t="str">
        <f>VLOOKUP(Table2[[#This Row],[AgentID]],Sales_Agents!$A$1:C52,2)</f>
        <v>Zainab</v>
      </c>
      <c r="N49" t="str">
        <f>VLOOKUP(Table2[[#This Row],[AgentID]],Sales_Agents!$A$1:C52,3)</f>
        <v>North</v>
      </c>
    </row>
    <row r="50" spans="1:14" x14ac:dyDescent="0.25">
      <c r="A50">
        <v>49</v>
      </c>
      <c r="B50" s="1">
        <v>45408</v>
      </c>
      <c r="C50" s="8" t="str">
        <f>TEXT(Table2[[#This Row],[OrderDate]],"mmm")</f>
        <v>Apr</v>
      </c>
      <c r="D50">
        <v>4</v>
      </c>
      <c r="E50">
        <v>2</v>
      </c>
      <c r="F50">
        <v>9</v>
      </c>
      <c r="G50" s="3">
        <v>154921</v>
      </c>
      <c r="H50" s="3">
        <f t="shared" si="0"/>
        <v>1394289</v>
      </c>
      <c r="I50" s="5">
        <f>Table2[[#This Row],[Total Revenue]]*0.3</f>
        <v>418286.7</v>
      </c>
      <c r="J50" s="6">
        <f t="shared" si="1"/>
        <v>0.3</v>
      </c>
      <c r="K50" t="str">
        <f>VLOOKUP(Table2[[#This Row],[ProductID]],Products!$A$1:C54,2)</f>
        <v>Printer</v>
      </c>
      <c r="L50" t="str">
        <f>VLOOKUP(D50,Products!$A$1:C54,3)</f>
        <v>Accessories</v>
      </c>
      <c r="M50" t="str">
        <f>VLOOKUP(Table2[[#This Row],[AgentID]],Sales_Agents!$A$1:C53,2)</f>
        <v>Blessing</v>
      </c>
      <c r="N50" t="str">
        <f>VLOOKUP(Table2[[#This Row],[AgentID]],Sales_Agents!$A$1:C53,3)</f>
        <v>East</v>
      </c>
    </row>
    <row r="51" spans="1:14" x14ac:dyDescent="0.25">
      <c r="A51">
        <v>50</v>
      </c>
      <c r="B51" s="1">
        <v>45620</v>
      </c>
      <c r="C51" s="8" t="str">
        <f>TEXT(Table2[[#This Row],[OrderDate]],"mmm")</f>
        <v>Nov</v>
      </c>
      <c r="D51">
        <v>3</v>
      </c>
      <c r="E51">
        <v>1</v>
      </c>
      <c r="F51">
        <v>20</v>
      </c>
      <c r="G51" s="3">
        <v>209920</v>
      </c>
      <c r="H51" s="3">
        <f t="shared" si="0"/>
        <v>4198400</v>
      </c>
      <c r="I51" s="5">
        <f>Table2[[#This Row],[Total Revenue]]*0.3</f>
        <v>1259520</v>
      </c>
      <c r="J51" s="6">
        <f t="shared" si="1"/>
        <v>0.3</v>
      </c>
      <c r="K51" t="str">
        <f>VLOOKUP(Table2[[#This Row],[ProductID]],Products!$A$1:C55,2)</f>
        <v>Tablet</v>
      </c>
      <c r="L51" t="str">
        <f>VLOOKUP(D51,Products!$A$1:C55,3)</f>
        <v>Electronics</v>
      </c>
      <c r="M51" t="str">
        <f>VLOOKUP(Table2[[#This Row],[AgentID]],Sales_Agents!$A$1:C54,2)</f>
        <v>Akin</v>
      </c>
      <c r="N51" t="str">
        <f>VLOOKUP(Table2[[#This Row],[AgentID]],Sales_Agents!$A$1:C54,3)</f>
        <v>West</v>
      </c>
    </row>
    <row r="52" spans="1:14" x14ac:dyDescent="0.25">
      <c r="A52">
        <v>51</v>
      </c>
      <c r="B52" s="1">
        <v>45546</v>
      </c>
      <c r="C52" s="8" t="str">
        <f>TEXT(Table2[[#This Row],[OrderDate]],"mmm")</f>
        <v>Sept</v>
      </c>
      <c r="D52">
        <v>3</v>
      </c>
      <c r="E52">
        <v>3</v>
      </c>
      <c r="F52">
        <v>7</v>
      </c>
      <c r="G52" s="3">
        <v>131829</v>
      </c>
      <c r="H52" s="3">
        <f t="shared" si="0"/>
        <v>922803</v>
      </c>
      <c r="I52" s="5">
        <f>Table2[[#This Row],[Total Revenue]]*0.3</f>
        <v>276840.89999999997</v>
      </c>
      <c r="J52" s="6">
        <f t="shared" si="1"/>
        <v>0.3</v>
      </c>
      <c r="K52" t="str">
        <f>VLOOKUP(Table2[[#This Row],[ProductID]],Products!$A$1:C56,2)</f>
        <v>Tablet</v>
      </c>
      <c r="L52" t="str">
        <f>VLOOKUP(D52,Products!$A$1:C56,3)</f>
        <v>Electronics</v>
      </c>
      <c r="M52" t="str">
        <f>VLOOKUP(Table2[[#This Row],[AgentID]],Sales_Agents!$A$1:C55,2)</f>
        <v>Chinedu</v>
      </c>
      <c r="N52" t="str">
        <f>VLOOKUP(Table2[[#This Row],[AgentID]],Sales_Agents!$A$1:C55,3)</f>
        <v>South</v>
      </c>
    </row>
    <row r="53" spans="1:14" x14ac:dyDescent="0.25">
      <c r="A53">
        <v>52</v>
      </c>
      <c r="B53" s="1">
        <v>45303</v>
      </c>
      <c r="C53" s="8" t="str">
        <f>TEXT(Table2[[#This Row],[OrderDate]],"mmm")</f>
        <v>Jan</v>
      </c>
      <c r="D53">
        <v>5</v>
      </c>
      <c r="E53">
        <v>3</v>
      </c>
      <c r="F53">
        <v>1</v>
      </c>
      <c r="G53" s="3">
        <v>101335</v>
      </c>
      <c r="H53" s="3">
        <f t="shared" si="0"/>
        <v>101335</v>
      </c>
      <c r="I53" s="5">
        <f>Table2[[#This Row],[Total Revenue]]*0.3</f>
        <v>30400.5</v>
      </c>
      <c r="J53" s="6">
        <f t="shared" si="1"/>
        <v>0.3</v>
      </c>
      <c r="K53" t="str">
        <f>VLOOKUP(Table2[[#This Row],[ProductID]],Products!$A$1:C57,2)</f>
        <v>Monitor</v>
      </c>
      <c r="L53" t="str">
        <f>VLOOKUP(D53,Products!$A$1:C57,3)</f>
        <v>Accessories</v>
      </c>
      <c r="M53" t="str">
        <f>VLOOKUP(Table2[[#This Row],[AgentID]],Sales_Agents!$A$1:C56,2)</f>
        <v>Chinedu</v>
      </c>
      <c r="N53" t="str">
        <f>VLOOKUP(Table2[[#This Row],[AgentID]],Sales_Agents!$A$1:C56,3)</f>
        <v>South</v>
      </c>
    </row>
    <row r="54" spans="1:14" x14ac:dyDescent="0.25">
      <c r="A54">
        <v>53</v>
      </c>
      <c r="B54" s="1">
        <v>45616</v>
      </c>
      <c r="C54" s="8" t="str">
        <f>TEXT(Table2[[#This Row],[OrderDate]],"mmm")</f>
        <v>Nov</v>
      </c>
      <c r="D54">
        <v>3</v>
      </c>
      <c r="E54">
        <v>3</v>
      </c>
      <c r="F54">
        <v>19</v>
      </c>
      <c r="G54" s="3">
        <v>76414</v>
      </c>
      <c r="H54" s="3">
        <f t="shared" si="0"/>
        <v>1451866</v>
      </c>
      <c r="I54" s="5">
        <f>Table2[[#This Row],[Total Revenue]]*0.3</f>
        <v>435559.8</v>
      </c>
      <c r="J54" s="6">
        <f t="shared" si="1"/>
        <v>0.3</v>
      </c>
      <c r="K54" t="str">
        <f>VLOOKUP(Table2[[#This Row],[ProductID]],Products!$A$1:C58,2)</f>
        <v>Tablet</v>
      </c>
      <c r="L54" t="str">
        <f>VLOOKUP(D54,Products!$A$1:C58,3)</f>
        <v>Electronics</v>
      </c>
      <c r="M54" t="str">
        <f>VLOOKUP(Table2[[#This Row],[AgentID]],Sales_Agents!$A$1:C57,2)</f>
        <v>Chinedu</v>
      </c>
      <c r="N54" t="str">
        <f>VLOOKUP(Table2[[#This Row],[AgentID]],Sales_Agents!$A$1:C57,3)</f>
        <v>South</v>
      </c>
    </row>
    <row r="55" spans="1:14" x14ac:dyDescent="0.25">
      <c r="A55">
        <v>54</v>
      </c>
      <c r="B55" s="1">
        <v>45457</v>
      </c>
      <c r="C55" s="8" t="str">
        <f>TEXT(Table2[[#This Row],[OrderDate]],"mmm")</f>
        <v>Jun</v>
      </c>
      <c r="D55">
        <v>1</v>
      </c>
      <c r="E55">
        <v>1</v>
      </c>
      <c r="F55">
        <v>16</v>
      </c>
      <c r="G55" s="3">
        <v>371674</v>
      </c>
      <c r="H55" s="3">
        <f t="shared" si="0"/>
        <v>5946784</v>
      </c>
      <c r="I55" s="5">
        <f>Table2[[#This Row],[Total Revenue]]*0.3</f>
        <v>1784035.2</v>
      </c>
      <c r="J55" s="6">
        <f t="shared" si="1"/>
        <v>0.3</v>
      </c>
      <c r="K55" t="str">
        <f>VLOOKUP(Table2[[#This Row],[ProductID]],Products!$A$1:C59,2)</f>
        <v>Laptop</v>
      </c>
      <c r="L55" t="str">
        <f>VLOOKUP(D55,Products!$A$1:C59,3)</f>
        <v>Electronics</v>
      </c>
      <c r="M55" t="str">
        <f>VLOOKUP(Table2[[#This Row],[AgentID]],Sales_Agents!$A$1:C58,2)</f>
        <v>Akin</v>
      </c>
      <c r="N55" t="str">
        <f>VLOOKUP(Table2[[#This Row],[AgentID]],Sales_Agents!$A$1:C58,3)</f>
        <v>West</v>
      </c>
    </row>
    <row r="56" spans="1:14" x14ac:dyDescent="0.25">
      <c r="A56">
        <v>55</v>
      </c>
      <c r="B56" s="1">
        <v>45639</v>
      </c>
      <c r="C56" s="8" t="str">
        <f>TEXT(Table2[[#This Row],[OrderDate]],"mmm")</f>
        <v>Dec</v>
      </c>
      <c r="D56">
        <v>3</v>
      </c>
      <c r="E56">
        <v>4</v>
      </c>
      <c r="F56">
        <v>16</v>
      </c>
      <c r="G56" s="3">
        <v>160060</v>
      </c>
      <c r="H56" s="3">
        <f t="shared" si="0"/>
        <v>2560960</v>
      </c>
      <c r="I56" s="5">
        <f>Table2[[#This Row],[Total Revenue]]*0.3</f>
        <v>768288</v>
      </c>
      <c r="J56" s="6">
        <f t="shared" si="1"/>
        <v>0.3</v>
      </c>
      <c r="K56" t="str">
        <f>VLOOKUP(Table2[[#This Row],[ProductID]],Products!$A$1:C60,2)</f>
        <v>Tablet</v>
      </c>
      <c r="L56" t="str">
        <f>VLOOKUP(D56,Products!$A$1:C60,3)</f>
        <v>Electronics</v>
      </c>
      <c r="M56" t="str">
        <f>VLOOKUP(Table2[[#This Row],[AgentID]],Sales_Agents!$A$1:C59,2)</f>
        <v>Zainab</v>
      </c>
      <c r="N56" t="str">
        <f>VLOOKUP(Table2[[#This Row],[AgentID]],Sales_Agents!$A$1:C59,3)</f>
        <v>North</v>
      </c>
    </row>
    <row r="57" spans="1:14" x14ac:dyDescent="0.25">
      <c r="A57">
        <v>56</v>
      </c>
      <c r="B57" s="1">
        <v>45534</v>
      </c>
      <c r="C57" s="8" t="str">
        <f>TEXT(Table2[[#This Row],[OrderDate]],"mmm")</f>
        <v>Aug</v>
      </c>
      <c r="D57">
        <v>3</v>
      </c>
      <c r="E57">
        <v>1</v>
      </c>
      <c r="F57">
        <v>4</v>
      </c>
      <c r="G57" s="3">
        <v>345666</v>
      </c>
      <c r="H57" s="3">
        <f t="shared" si="0"/>
        <v>1382664</v>
      </c>
      <c r="I57" s="5">
        <f>Table2[[#This Row],[Total Revenue]]*0.3</f>
        <v>414799.2</v>
      </c>
      <c r="J57" s="6">
        <f t="shared" si="1"/>
        <v>0.3</v>
      </c>
      <c r="K57" t="str">
        <f>VLOOKUP(Table2[[#This Row],[ProductID]],Products!$A$1:C61,2)</f>
        <v>Tablet</v>
      </c>
      <c r="L57" t="str">
        <f>VLOOKUP(D57,Products!$A$1:C61,3)</f>
        <v>Electronics</v>
      </c>
      <c r="M57" t="str">
        <f>VLOOKUP(Table2[[#This Row],[AgentID]],Sales_Agents!$A$1:C60,2)</f>
        <v>Akin</v>
      </c>
      <c r="N57" t="str">
        <f>VLOOKUP(Table2[[#This Row],[AgentID]],Sales_Agents!$A$1:C60,3)</f>
        <v>West</v>
      </c>
    </row>
    <row r="58" spans="1:14" x14ac:dyDescent="0.25">
      <c r="A58">
        <v>57</v>
      </c>
      <c r="B58" s="1">
        <v>45553</v>
      </c>
      <c r="C58" s="8" t="str">
        <f>TEXT(Table2[[#This Row],[OrderDate]],"mmm")</f>
        <v>Sept</v>
      </c>
      <c r="D58">
        <v>3</v>
      </c>
      <c r="E58">
        <v>4</v>
      </c>
      <c r="F58">
        <v>10</v>
      </c>
      <c r="G58" s="3">
        <v>138368</v>
      </c>
      <c r="H58" s="3">
        <f t="shared" si="0"/>
        <v>1383680</v>
      </c>
      <c r="I58" s="5">
        <f>Table2[[#This Row],[Total Revenue]]*0.3</f>
        <v>415104</v>
      </c>
      <c r="J58" s="6">
        <f t="shared" si="1"/>
        <v>0.3</v>
      </c>
      <c r="K58" t="str">
        <f>VLOOKUP(Table2[[#This Row],[ProductID]],Products!$A$1:C62,2)</f>
        <v>Tablet</v>
      </c>
      <c r="L58" t="str">
        <f>VLOOKUP(D58,Products!$A$1:C62,3)</f>
        <v>Electronics</v>
      </c>
      <c r="M58" t="str">
        <f>VLOOKUP(Table2[[#This Row],[AgentID]],Sales_Agents!$A$1:C61,2)</f>
        <v>Zainab</v>
      </c>
      <c r="N58" t="str">
        <f>VLOOKUP(Table2[[#This Row],[AgentID]],Sales_Agents!$A$1:C61,3)</f>
        <v>North</v>
      </c>
    </row>
    <row r="59" spans="1:14" x14ac:dyDescent="0.25">
      <c r="A59">
        <v>58</v>
      </c>
      <c r="B59" s="1">
        <v>45340</v>
      </c>
      <c r="C59" s="8" t="str">
        <f>TEXT(Table2[[#This Row],[OrderDate]],"mmm")</f>
        <v>Feb</v>
      </c>
      <c r="D59">
        <v>4</v>
      </c>
      <c r="E59">
        <v>2</v>
      </c>
      <c r="F59">
        <v>18</v>
      </c>
      <c r="G59" s="3">
        <v>377363</v>
      </c>
      <c r="H59" s="3">
        <f t="shared" si="0"/>
        <v>6792534</v>
      </c>
      <c r="I59" s="5">
        <f>Table2[[#This Row],[Total Revenue]]*0.3</f>
        <v>2037760.2</v>
      </c>
      <c r="J59" s="6">
        <f t="shared" si="1"/>
        <v>0.3</v>
      </c>
      <c r="K59" t="str">
        <f>VLOOKUP(Table2[[#This Row],[ProductID]],Products!$A$1:C63,2)</f>
        <v>Printer</v>
      </c>
      <c r="L59" t="str">
        <f>VLOOKUP(D59,Products!$A$1:C63,3)</f>
        <v>Accessories</v>
      </c>
      <c r="M59" t="str">
        <f>VLOOKUP(Table2[[#This Row],[AgentID]],Sales_Agents!$A$1:C62,2)</f>
        <v>Blessing</v>
      </c>
      <c r="N59" t="str">
        <f>VLOOKUP(Table2[[#This Row],[AgentID]],Sales_Agents!$A$1:C62,3)</f>
        <v>East</v>
      </c>
    </row>
    <row r="60" spans="1:14" x14ac:dyDescent="0.25">
      <c r="A60">
        <v>59</v>
      </c>
      <c r="B60" s="1">
        <v>45601</v>
      </c>
      <c r="C60" s="8" t="str">
        <f>TEXT(Table2[[#This Row],[OrderDate]],"mmm")</f>
        <v>Nov</v>
      </c>
      <c r="D60">
        <v>1</v>
      </c>
      <c r="E60">
        <v>2</v>
      </c>
      <c r="F60">
        <v>9</v>
      </c>
      <c r="G60" s="3">
        <v>140291</v>
      </c>
      <c r="H60" s="3">
        <f t="shared" si="0"/>
        <v>1262619</v>
      </c>
      <c r="I60" s="5">
        <f>Table2[[#This Row],[Total Revenue]]*0.3</f>
        <v>378785.7</v>
      </c>
      <c r="J60" s="6">
        <f t="shared" si="1"/>
        <v>0.3</v>
      </c>
      <c r="K60" t="str">
        <f>VLOOKUP(Table2[[#This Row],[ProductID]],Products!$A$1:C64,2)</f>
        <v>Laptop</v>
      </c>
      <c r="L60" t="str">
        <f>VLOOKUP(D60,Products!$A$1:C64,3)</f>
        <v>Electronics</v>
      </c>
      <c r="M60" t="str">
        <f>VLOOKUP(Table2[[#This Row],[AgentID]],Sales_Agents!$A$1:C63,2)</f>
        <v>Blessing</v>
      </c>
      <c r="N60" t="str">
        <f>VLOOKUP(Table2[[#This Row],[AgentID]],Sales_Agents!$A$1:C63,3)</f>
        <v>East</v>
      </c>
    </row>
    <row r="61" spans="1:14" x14ac:dyDescent="0.25">
      <c r="A61">
        <v>60</v>
      </c>
      <c r="B61" s="1">
        <v>45485</v>
      </c>
      <c r="C61" s="8" t="str">
        <f>TEXT(Table2[[#This Row],[OrderDate]],"mmm")</f>
        <v>Jul</v>
      </c>
      <c r="D61">
        <v>2</v>
      </c>
      <c r="E61">
        <v>1</v>
      </c>
      <c r="F61">
        <v>9</v>
      </c>
      <c r="G61" s="3">
        <v>395073</v>
      </c>
      <c r="H61" s="3">
        <f t="shared" si="0"/>
        <v>3555657</v>
      </c>
      <c r="I61" s="5">
        <f>Table2[[#This Row],[Total Revenue]]*0.3</f>
        <v>1066697.0999999999</v>
      </c>
      <c r="J61" s="6">
        <f t="shared" si="1"/>
        <v>0.29999999999999993</v>
      </c>
      <c r="K61" t="str">
        <f>VLOOKUP(Table2[[#This Row],[ProductID]],Products!$A$1:C65,2)</f>
        <v>Phone</v>
      </c>
      <c r="L61" t="str">
        <f>VLOOKUP(D61,Products!$A$1:C65,3)</f>
        <v>Electronics</v>
      </c>
      <c r="M61" t="str">
        <f>VLOOKUP(Table2[[#This Row],[AgentID]],Sales_Agents!$A$1:C64,2)</f>
        <v>Akin</v>
      </c>
      <c r="N61" t="str">
        <f>VLOOKUP(Table2[[#This Row],[AgentID]],Sales_Agents!$A$1:C64,3)</f>
        <v>West</v>
      </c>
    </row>
    <row r="62" spans="1:14" x14ac:dyDescent="0.25">
      <c r="A62">
        <v>61</v>
      </c>
      <c r="B62" s="1">
        <v>45406</v>
      </c>
      <c r="C62" s="8" t="str">
        <f>TEXT(Table2[[#This Row],[OrderDate]],"mmm")</f>
        <v>Apr</v>
      </c>
      <c r="D62">
        <v>1</v>
      </c>
      <c r="E62">
        <v>2</v>
      </c>
      <c r="F62">
        <v>19</v>
      </c>
      <c r="G62" s="3">
        <v>351370</v>
      </c>
      <c r="H62" s="3">
        <f t="shared" si="0"/>
        <v>6676030</v>
      </c>
      <c r="I62" s="5">
        <f>Table2[[#This Row],[Total Revenue]]*0.3</f>
        <v>2002809</v>
      </c>
      <c r="J62" s="6">
        <f t="shared" si="1"/>
        <v>0.3</v>
      </c>
      <c r="K62" t="str">
        <f>VLOOKUP(Table2[[#This Row],[ProductID]],Products!$A$1:C66,2)</f>
        <v>Laptop</v>
      </c>
      <c r="L62" t="str">
        <f>VLOOKUP(D62,Products!$A$1:C66,3)</f>
        <v>Electronics</v>
      </c>
      <c r="M62" t="str">
        <f>VLOOKUP(Table2[[#This Row],[AgentID]],Sales_Agents!$A$1:C65,2)</f>
        <v>Blessing</v>
      </c>
      <c r="N62" t="str">
        <f>VLOOKUP(Table2[[#This Row],[AgentID]],Sales_Agents!$A$1:C65,3)</f>
        <v>East</v>
      </c>
    </row>
    <row r="63" spans="1:14" x14ac:dyDescent="0.25">
      <c r="A63">
        <v>62</v>
      </c>
      <c r="B63" s="1">
        <v>45304</v>
      </c>
      <c r="C63" s="8" t="str">
        <f>TEXT(Table2[[#This Row],[OrderDate]],"mmm")</f>
        <v>Jan</v>
      </c>
      <c r="D63">
        <v>4</v>
      </c>
      <c r="E63">
        <v>3</v>
      </c>
      <c r="F63">
        <v>13</v>
      </c>
      <c r="G63" s="3">
        <v>132110</v>
      </c>
      <c r="H63" s="3">
        <f t="shared" si="0"/>
        <v>1717430</v>
      </c>
      <c r="I63" s="5">
        <f>Table2[[#This Row],[Total Revenue]]*0.3</f>
        <v>515229</v>
      </c>
      <c r="J63" s="6">
        <f t="shared" si="1"/>
        <v>0.3</v>
      </c>
      <c r="K63" t="str">
        <f>VLOOKUP(Table2[[#This Row],[ProductID]],Products!$A$1:C67,2)</f>
        <v>Printer</v>
      </c>
      <c r="L63" t="str">
        <f>VLOOKUP(D63,Products!$A$1:C67,3)</f>
        <v>Accessories</v>
      </c>
      <c r="M63" t="str">
        <f>VLOOKUP(Table2[[#This Row],[AgentID]],Sales_Agents!$A$1:C66,2)</f>
        <v>Chinedu</v>
      </c>
      <c r="N63" t="str">
        <f>VLOOKUP(Table2[[#This Row],[AgentID]],Sales_Agents!$A$1:C66,3)</f>
        <v>South</v>
      </c>
    </row>
    <row r="64" spans="1:14" x14ac:dyDescent="0.25">
      <c r="A64">
        <v>63</v>
      </c>
      <c r="B64" s="1">
        <v>45551</v>
      </c>
      <c r="C64" s="8" t="str">
        <f>TEXT(Table2[[#This Row],[OrderDate]],"mmm")</f>
        <v>Sept</v>
      </c>
      <c r="D64">
        <v>3</v>
      </c>
      <c r="E64">
        <v>2</v>
      </c>
      <c r="F64">
        <v>20</v>
      </c>
      <c r="G64" s="3">
        <v>286018</v>
      </c>
      <c r="H64" s="3">
        <f t="shared" si="0"/>
        <v>5720360</v>
      </c>
      <c r="I64" s="5">
        <f>Table2[[#This Row],[Total Revenue]]*0.3</f>
        <v>1716108</v>
      </c>
      <c r="J64" s="6">
        <f t="shared" si="1"/>
        <v>0.3</v>
      </c>
      <c r="K64" t="str">
        <f>VLOOKUP(Table2[[#This Row],[ProductID]],Products!$A$1:C68,2)</f>
        <v>Tablet</v>
      </c>
      <c r="L64" t="str">
        <f>VLOOKUP(D64,Products!$A$1:C68,3)</f>
        <v>Electronics</v>
      </c>
      <c r="M64" t="str">
        <f>VLOOKUP(Table2[[#This Row],[AgentID]],Sales_Agents!$A$1:C67,2)</f>
        <v>Blessing</v>
      </c>
      <c r="N64" t="str">
        <f>VLOOKUP(Table2[[#This Row],[AgentID]],Sales_Agents!$A$1:C67,3)</f>
        <v>East</v>
      </c>
    </row>
    <row r="65" spans="1:14" x14ac:dyDescent="0.25">
      <c r="A65">
        <v>64</v>
      </c>
      <c r="B65" s="1">
        <v>45491</v>
      </c>
      <c r="C65" s="8" t="str">
        <f>TEXT(Table2[[#This Row],[OrderDate]],"mmm")</f>
        <v>Jul</v>
      </c>
      <c r="D65">
        <v>4</v>
      </c>
      <c r="E65">
        <v>3</v>
      </c>
      <c r="F65">
        <v>10</v>
      </c>
      <c r="G65" s="3">
        <v>333589</v>
      </c>
      <c r="H65" s="3">
        <f t="shared" si="0"/>
        <v>3335890</v>
      </c>
      <c r="I65" s="5">
        <f>Table2[[#This Row],[Total Revenue]]*0.3</f>
        <v>1000767</v>
      </c>
      <c r="J65" s="6">
        <f t="shared" si="1"/>
        <v>0.3</v>
      </c>
      <c r="K65" t="str">
        <f>VLOOKUP(Table2[[#This Row],[ProductID]],Products!$A$1:C69,2)</f>
        <v>Printer</v>
      </c>
      <c r="L65" t="str">
        <f>VLOOKUP(D65,Products!$A$1:C69,3)</f>
        <v>Accessories</v>
      </c>
      <c r="M65" t="str">
        <f>VLOOKUP(Table2[[#This Row],[AgentID]],Sales_Agents!$A$1:C68,2)</f>
        <v>Chinedu</v>
      </c>
      <c r="N65" t="str">
        <f>VLOOKUP(Table2[[#This Row],[AgentID]],Sales_Agents!$A$1:C68,3)</f>
        <v>South</v>
      </c>
    </row>
    <row r="66" spans="1:14" x14ac:dyDescent="0.25">
      <c r="A66">
        <v>65</v>
      </c>
      <c r="B66" s="1">
        <v>45350</v>
      </c>
      <c r="C66" s="8" t="str">
        <f>TEXT(Table2[[#This Row],[OrderDate]],"mmm")</f>
        <v>Feb</v>
      </c>
      <c r="D66">
        <v>3</v>
      </c>
      <c r="E66">
        <v>2</v>
      </c>
      <c r="F66">
        <v>17</v>
      </c>
      <c r="G66" s="3">
        <v>317662</v>
      </c>
      <c r="H66" s="3">
        <f t="shared" ref="H66:H129" si="2">G66*F66</f>
        <v>5400254</v>
      </c>
      <c r="I66" s="5">
        <f>Table2[[#This Row],[Total Revenue]]*0.3</f>
        <v>1620076.2</v>
      </c>
      <c r="J66" s="6">
        <f t="shared" ref="J66:J129" si="3">I66/H66</f>
        <v>0.3</v>
      </c>
      <c r="K66" t="str">
        <f>VLOOKUP(Table2[[#This Row],[ProductID]],Products!$A$1:C70,2)</f>
        <v>Tablet</v>
      </c>
      <c r="L66" t="str">
        <f>VLOOKUP(D66,Products!$A$1:C70,3)</f>
        <v>Electronics</v>
      </c>
      <c r="M66" t="str">
        <f>VLOOKUP(Table2[[#This Row],[AgentID]],Sales_Agents!$A$1:C69,2)</f>
        <v>Blessing</v>
      </c>
      <c r="N66" t="str">
        <f>VLOOKUP(Table2[[#This Row],[AgentID]],Sales_Agents!$A$1:C69,3)</f>
        <v>East</v>
      </c>
    </row>
    <row r="67" spans="1:14" x14ac:dyDescent="0.25">
      <c r="A67">
        <v>66</v>
      </c>
      <c r="B67" s="1">
        <v>45393</v>
      </c>
      <c r="C67" s="8" t="str">
        <f>TEXT(Table2[[#This Row],[OrderDate]],"mmm")</f>
        <v>Apr</v>
      </c>
      <c r="D67">
        <v>5</v>
      </c>
      <c r="E67">
        <v>2</v>
      </c>
      <c r="F67">
        <v>8</v>
      </c>
      <c r="G67" s="3">
        <v>75841</v>
      </c>
      <c r="H67" s="3">
        <f t="shared" si="2"/>
        <v>606728</v>
      </c>
      <c r="I67" s="5">
        <f>Table2[[#This Row],[Total Revenue]]*0.3</f>
        <v>182018.4</v>
      </c>
      <c r="J67" s="6">
        <f t="shared" si="3"/>
        <v>0.3</v>
      </c>
      <c r="K67" t="str">
        <f>VLOOKUP(Table2[[#This Row],[ProductID]],Products!$A$1:C71,2)</f>
        <v>Monitor</v>
      </c>
      <c r="L67" t="str">
        <f>VLOOKUP(D67,Products!$A$1:C71,3)</f>
        <v>Accessories</v>
      </c>
      <c r="M67" t="str">
        <f>VLOOKUP(Table2[[#This Row],[AgentID]],Sales_Agents!$A$1:C70,2)</f>
        <v>Blessing</v>
      </c>
      <c r="N67" t="str">
        <f>VLOOKUP(Table2[[#This Row],[AgentID]],Sales_Agents!$A$1:C70,3)</f>
        <v>East</v>
      </c>
    </row>
    <row r="68" spans="1:14" x14ac:dyDescent="0.25">
      <c r="A68">
        <v>67</v>
      </c>
      <c r="B68" s="1">
        <v>45413</v>
      </c>
      <c r="C68" s="8" t="str">
        <f>TEXT(Table2[[#This Row],[OrderDate]],"mmm")</f>
        <v>May</v>
      </c>
      <c r="D68">
        <v>4</v>
      </c>
      <c r="E68">
        <v>4</v>
      </c>
      <c r="F68">
        <v>1</v>
      </c>
      <c r="G68" s="3">
        <v>235337</v>
      </c>
      <c r="H68" s="3">
        <f t="shared" si="2"/>
        <v>235337</v>
      </c>
      <c r="I68" s="5">
        <f>Table2[[#This Row],[Total Revenue]]*0.3</f>
        <v>70601.099999999991</v>
      </c>
      <c r="J68" s="6">
        <f t="shared" si="3"/>
        <v>0.3</v>
      </c>
      <c r="K68" t="str">
        <f>VLOOKUP(Table2[[#This Row],[ProductID]],Products!$A$1:C72,2)</f>
        <v>Printer</v>
      </c>
      <c r="L68" t="str">
        <f>VLOOKUP(D68,Products!$A$1:C72,3)</f>
        <v>Accessories</v>
      </c>
      <c r="M68" t="str">
        <f>VLOOKUP(Table2[[#This Row],[AgentID]],Sales_Agents!$A$1:C71,2)</f>
        <v>Zainab</v>
      </c>
      <c r="N68" t="str">
        <f>VLOOKUP(Table2[[#This Row],[AgentID]],Sales_Agents!$A$1:C71,3)</f>
        <v>North</v>
      </c>
    </row>
    <row r="69" spans="1:14" x14ac:dyDescent="0.25">
      <c r="A69">
        <v>68</v>
      </c>
      <c r="B69" s="1">
        <v>45602</v>
      </c>
      <c r="C69" s="8" t="str">
        <f>TEXT(Table2[[#This Row],[OrderDate]],"mmm")</f>
        <v>Nov</v>
      </c>
      <c r="D69">
        <v>3</v>
      </c>
      <c r="E69">
        <v>1</v>
      </c>
      <c r="F69">
        <v>1</v>
      </c>
      <c r="G69" s="3">
        <v>287551</v>
      </c>
      <c r="H69" s="3">
        <f t="shared" si="2"/>
        <v>287551</v>
      </c>
      <c r="I69" s="5">
        <f>Table2[[#This Row],[Total Revenue]]*0.3</f>
        <v>86265.3</v>
      </c>
      <c r="J69" s="6">
        <f t="shared" si="3"/>
        <v>0.3</v>
      </c>
      <c r="K69" t="str">
        <f>VLOOKUP(Table2[[#This Row],[ProductID]],Products!$A$1:C73,2)</f>
        <v>Tablet</v>
      </c>
      <c r="L69" t="str">
        <f>VLOOKUP(D69,Products!$A$1:C73,3)</f>
        <v>Electronics</v>
      </c>
      <c r="M69" t="str">
        <f>VLOOKUP(Table2[[#This Row],[AgentID]],Sales_Agents!$A$1:C72,2)</f>
        <v>Akin</v>
      </c>
      <c r="N69" t="str">
        <f>VLOOKUP(Table2[[#This Row],[AgentID]],Sales_Agents!$A$1:C72,3)</f>
        <v>West</v>
      </c>
    </row>
    <row r="70" spans="1:14" x14ac:dyDescent="0.25">
      <c r="A70">
        <v>69</v>
      </c>
      <c r="B70" s="1">
        <v>45546</v>
      </c>
      <c r="C70" s="8" t="str">
        <f>TEXT(Table2[[#This Row],[OrderDate]],"mmm")</f>
        <v>Sept</v>
      </c>
      <c r="D70">
        <v>1</v>
      </c>
      <c r="E70">
        <v>1</v>
      </c>
      <c r="F70">
        <v>10</v>
      </c>
      <c r="G70" s="3">
        <v>114043</v>
      </c>
      <c r="H70" s="3">
        <f t="shared" si="2"/>
        <v>1140430</v>
      </c>
      <c r="I70" s="5">
        <f>Table2[[#This Row],[Total Revenue]]*0.3</f>
        <v>342129</v>
      </c>
      <c r="J70" s="6">
        <f t="shared" si="3"/>
        <v>0.3</v>
      </c>
      <c r="K70" t="str">
        <f>VLOOKUP(Table2[[#This Row],[ProductID]],Products!$A$1:C74,2)</f>
        <v>Laptop</v>
      </c>
      <c r="L70" t="str">
        <f>VLOOKUP(D70,Products!$A$1:C74,3)</f>
        <v>Electronics</v>
      </c>
      <c r="M70" t="str">
        <f>VLOOKUP(Table2[[#This Row],[AgentID]],Sales_Agents!$A$1:C73,2)</f>
        <v>Akin</v>
      </c>
      <c r="N70" t="str">
        <f>VLOOKUP(Table2[[#This Row],[AgentID]],Sales_Agents!$A$1:C73,3)</f>
        <v>West</v>
      </c>
    </row>
    <row r="71" spans="1:14" x14ac:dyDescent="0.25">
      <c r="A71">
        <v>70</v>
      </c>
      <c r="B71" s="1">
        <v>45501</v>
      </c>
      <c r="C71" s="8" t="str">
        <f>TEXT(Table2[[#This Row],[OrderDate]],"mmm")</f>
        <v>Jul</v>
      </c>
      <c r="D71">
        <v>1</v>
      </c>
      <c r="E71">
        <v>4</v>
      </c>
      <c r="F71">
        <v>11</v>
      </c>
      <c r="G71" s="3">
        <v>58664</v>
      </c>
      <c r="H71" s="3">
        <f t="shared" si="2"/>
        <v>645304</v>
      </c>
      <c r="I71" s="5">
        <f>Table2[[#This Row],[Total Revenue]]*0.3</f>
        <v>193591.19999999998</v>
      </c>
      <c r="J71" s="6">
        <f t="shared" si="3"/>
        <v>0.3</v>
      </c>
      <c r="K71" t="str">
        <f>VLOOKUP(Table2[[#This Row],[ProductID]],Products!$A$1:C75,2)</f>
        <v>Laptop</v>
      </c>
      <c r="L71" t="str">
        <f>VLOOKUP(D71,Products!$A$1:C75,3)</f>
        <v>Electronics</v>
      </c>
      <c r="M71" t="str">
        <f>VLOOKUP(Table2[[#This Row],[AgentID]],Sales_Agents!$A$1:C74,2)</f>
        <v>Zainab</v>
      </c>
      <c r="N71" t="str">
        <f>VLOOKUP(Table2[[#This Row],[AgentID]],Sales_Agents!$A$1:C74,3)</f>
        <v>North</v>
      </c>
    </row>
    <row r="72" spans="1:14" x14ac:dyDescent="0.25">
      <c r="A72">
        <v>71</v>
      </c>
      <c r="B72" s="1">
        <v>45504</v>
      </c>
      <c r="C72" s="8" t="str">
        <f>TEXT(Table2[[#This Row],[OrderDate]],"mmm")</f>
        <v>Jul</v>
      </c>
      <c r="D72">
        <v>4</v>
      </c>
      <c r="E72">
        <v>1</v>
      </c>
      <c r="F72">
        <v>19</v>
      </c>
      <c r="G72" s="3">
        <v>160347</v>
      </c>
      <c r="H72" s="3">
        <f t="shared" si="2"/>
        <v>3046593</v>
      </c>
      <c r="I72" s="5">
        <f>Table2[[#This Row],[Total Revenue]]*0.3</f>
        <v>913977.9</v>
      </c>
      <c r="J72" s="6">
        <f t="shared" si="3"/>
        <v>0.3</v>
      </c>
      <c r="K72" t="str">
        <f>VLOOKUP(Table2[[#This Row],[ProductID]],Products!$A$1:C76,2)</f>
        <v>Printer</v>
      </c>
      <c r="L72" t="str">
        <f>VLOOKUP(D72,Products!$A$1:C76,3)</f>
        <v>Accessories</v>
      </c>
      <c r="M72" t="str">
        <f>VLOOKUP(Table2[[#This Row],[AgentID]],Sales_Agents!$A$1:C75,2)</f>
        <v>Akin</v>
      </c>
      <c r="N72" t="str">
        <f>VLOOKUP(Table2[[#This Row],[AgentID]],Sales_Agents!$A$1:C75,3)</f>
        <v>West</v>
      </c>
    </row>
    <row r="73" spans="1:14" x14ac:dyDescent="0.25">
      <c r="A73">
        <v>72</v>
      </c>
      <c r="B73" s="1">
        <v>45376</v>
      </c>
      <c r="C73" s="8" t="str">
        <f>TEXT(Table2[[#This Row],[OrderDate]],"mmm")</f>
        <v>Mar</v>
      </c>
      <c r="D73">
        <v>4</v>
      </c>
      <c r="E73">
        <v>4</v>
      </c>
      <c r="F73">
        <v>13</v>
      </c>
      <c r="G73" s="3">
        <v>242547</v>
      </c>
      <c r="H73" s="3">
        <f t="shared" si="2"/>
        <v>3153111</v>
      </c>
      <c r="I73" s="5">
        <f>Table2[[#This Row],[Total Revenue]]*0.3</f>
        <v>945933.29999999993</v>
      </c>
      <c r="J73" s="6">
        <f t="shared" si="3"/>
        <v>0.3</v>
      </c>
      <c r="K73" t="str">
        <f>VLOOKUP(Table2[[#This Row],[ProductID]],Products!$A$1:C77,2)</f>
        <v>Printer</v>
      </c>
      <c r="L73" t="str">
        <f>VLOOKUP(D73,Products!$A$1:C77,3)</f>
        <v>Accessories</v>
      </c>
      <c r="M73" t="str">
        <f>VLOOKUP(Table2[[#This Row],[AgentID]],Sales_Agents!$A$1:C76,2)</f>
        <v>Zainab</v>
      </c>
      <c r="N73" t="str">
        <f>VLOOKUP(Table2[[#This Row],[AgentID]],Sales_Agents!$A$1:C76,3)</f>
        <v>North</v>
      </c>
    </row>
    <row r="74" spans="1:14" x14ac:dyDescent="0.25">
      <c r="A74">
        <v>73</v>
      </c>
      <c r="B74" s="1">
        <v>45454</v>
      </c>
      <c r="C74" s="8" t="str">
        <f>TEXT(Table2[[#This Row],[OrderDate]],"mmm")</f>
        <v>Jun</v>
      </c>
      <c r="D74">
        <v>3</v>
      </c>
      <c r="E74">
        <v>1</v>
      </c>
      <c r="F74">
        <v>19</v>
      </c>
      <c r="G74" s="3">
        <v>119965</v>
      </c>
      <c r="H74" s="3">
        <f t="shared" si="2"/>
        <v>2279335</v>
      </c>
      <c r="I74" s="5">
        <f>Table2[[#This Row],[Total Revenue]]*0.3</f>
        <v>683800.5</v>
      </c>
      <c r="J74" s="6">
        <f t="shared" si="3"/>
        <v>0.3</v>
      </c>
      <c r="K74" t="str">
        <f>VLOOKUP(Table2[[#This Row],[ProductID]],Products!$A$1:C78,2)</f>
        <v>Tablet</v>
      </c>
      <c r="L74" t="str">
        <f>VLOOKUP(D74,Products!$A$1:C78,3)</f>
        <v>Electronics</v>
      </c>
      <c r="M74" t="str">
        <f>VLOOKUP(Table2[[#This Row],[AgentID]],Sales_Agents!$A$1:C77,2)</f>
        <v>Akin</v>
      </c>
      <c r="N74" t="str">
        <f>VLOOKUP(Table2[[#This Row],[AgentID]],Sales_Agents!$A$1:C77,3)</f>
        <v>West</v>
      </c>
    </row>
    <row r="75" spans="1:14" x14ac:dyDescent="0.25">
      <c r="A75">
        <v>74</v>
      </c>
      <c r="B75" s="1">
        <v>45388</v>
      </c>
      <c r="C75" s="8" t="str">
        <f>TEXT(Table2[[#This Row],[OrderDate]],"mmm")</f>
        <v>Apr</v>
      </c>
      <c r="D75">
        <v>5</v>
      </c>
      <c r="E75">
        <v>2</v>
      </c>
      <c r="F75">
        <v>6</v>
      </c>
      <c r="G75" s="3">
        <v>144919</v>
      </c>
      <c r="H75" s="3">
        <f t="shared" si="2"/>
        <v>869514</v>
      </c>
      <c r="I75" s="5">
        <f>Table2[[#This Row],[Total Revenue]]*0.3</f>
        <v>260854.19999999998</v>
      </c>
      <c r="J75" s="6">
        <f t="shared" si="3"/>
        <v>0.3</v>
      </c>
      <c r="K75" t="str">
        <f>VLOOKUP(Table2[[#This Row],[ProductID]],Products!$A$1:C79,2)</f>
        <v>Monitor</v>
      </c>
      <c r="L75" t="str">
        <f>VLOOKUP(D75,Products!$A$1:C79,3)</f>
        <v>Accessories</v>
      </c>
      <c r="M75" t="str">
        <f>VLOOKUP(Table2[[#This Row],[AgentID]],Sales_Agents!$A$1:C78,2)</f>
        <v>Blessing</v>
      </c>
      <c r="N75" t="str">
        <f>VLOOKUP(Table2[[#This Row],[AgentID]],Sales_Agents!$A$1:C78,3)</f>
        <v>East</v>
      </c>
    </row>
    <row r="76" spans="1:14" x14ac:dyDescent="0.25">
      <c r="A76">
        <v>75</v>
      </c>
      <c r="B76" s="1">
        <v>45437</v>
      </c>
      <c r="C76" s="8" t="str">
        <f>TEXT(Table2[[#This Row],[OrderDate]],"mmm")</f>
        <v>May</v>
      </c>
      <c r="D76">
        <v>4</v>
      </c>
      <c r="E76">
        <v>1</v>
      </c>
      <c r="F76">
        <v>13</v>
      </c>
      <c r="G76" s="3">
        <v>94519</v>
      </c>
      <c r="H76" s="3">
        <f t="shared" si="2"/>
        <v>1228747</v>
      </c>
      <c r="I76" s="5">
        <f>Table2[[#This Row],[Total Revenue]]*0.3</f>
        <v>368624.1</v>
      </c>
      <c r="J76" s="6">
        <f t="shared" si="3"/>
        <v>0.3</v>
      </c>
      <c r="K76" t="str">
        <f>VLOOKUP(Table2[[#This Row],[ProductID]],Products!$A$1:C80,2)</f>
        <v>Printer</v>
      </c>
      <c r="L76" t="str">
        <f>VLOOKUP(D76,Products!$A$1:C80,3)</f>
        <v>Accessories</v>
      </c>
      <c r="M76" t="str">
        <f>VLOOKUP(Table2[[#This Row],[AgentID]],Sales_Agents!$A$1:C79,2)</f>
        <v>Akin</v>
      </c>
      <c r="N76" t="str">
        <f>VLOOKUP(Table2[[#This Row],[AgentID]],Sales_Agents!$A$1:C79,3)</f>
        <v>West</v>
      </c>
    </row>
    <row r="77" spans="1:14" x14ac:dyDescent="0.25">
      <c r="A77">
        <v>76</v>
      </c>
      <c r="B77" s="1">
        <v>45398</v>
      </c>
      <c r="C77" s="8" t="str">
        <f>TEXT(Table2[[#This Row],[OrderDate]],"mmm")</f>
        <v>Apr</v>
      </c>
      <c r="D77">
        <v>1</v>
      </c>
      <c r="E77">
        <v>4</v>
      </c>
      <c r="F77">
        <v>2</v>
      </c>
      <c r="G77" s="3">
        <v>348188</v>
      </c>
      <c r="H77" s="3">
        <f t="shared" si="2"/>
        <v>696376</v>
      </c>
      <c r="I77" s="5">
        <f>Table2[[#This Row],[Total Revenue]]*0.3</f>
        <v>208912.8</v>
      </c>
      <c r="J77" s="6">
        <f t="shared" si="3"/>
        <v>0.3</v>
      </c>
      <c r="K77" t="str">
        <f>VLOOKUP(Table2[[#This Row],[ProductID]],Products!$A$1:C81,2)</f>
        <v>Laptop</v>
      </c>
      <c r="L77" t="str">
        <f>VLOOKUP(D77,Products!$A$1:C81,3)</f>
        <v>Electronics</v>
      </c>
      <c r="M77" t="str">
        <f>VLOOKUP(Table2[[#This Row],[AgentID]],Sales_Agents!$A$1:C80,2)</f>
        <v>Zainab</v>
      </c>
      <c r="N77" t="str">
        <f>VLOOKUP(Table2[[#This Row],[AgentID]],Sales_Agents!$A$1:C80,3)</f>
        <v>North</v>
      </c>
    </row>
    <row r="78" spans="1:14" x14ac:dyDescent="0.25">
      <c r="A78">
        <v>77</v>
      </c>
      <c r="B78" s="1">
        <v>45572</v>
      </c>
      <c r="C78" s="8" t="str">
        <f>TEXT(Table2[[#This Row],[OrderDate]],"mmm")</f>
        <v>Oct</v>
      </c>
      <c r="D78">
        <v>3</v>
      </c>
      <c r="E78">
        <v>3</v>
      </c>
      <c r="F78">
        <v>12</v>
      </c>
      <c r="G78" s="3">
        <v>217279</v>
      </c>
      <c r="H78" s="3">
        <f t="shared" si="2"/>
        <v>2607348</v>
      </c>
      <c r="I78" s="5">
        <f>Table2[[#This Row],[Total Revenue]]*0.3</f>
        <v>782204.4</v>
      </c>
      <c r="J78" s="6">
        <f t="shared" si="3"/>
        <v>0.3</v>
      </c>
      <c r="K78" t="str">
        <f>VLOOKUP(Table2[[#This Row],[ProductID]],Products!$A$1:C82,2)</f>
        <v>Tablet</v>
      </c>
      <c r="L78" t="str">
        <f>VLOOKUP(D78,Products!$A$1:C82,3)</f>
        <v>Electronics</v>
      </c>
      <c r="M78" t="str">
        <f>VLOOKUP(Table2[[#This Row],[AgentID]],Sales_Agents!$A$1:C81,2)</f>
        <v>Chinedu</v>
      </c>
      <c r="N78" t="str">
        <f>VLOOKUP(Table2[[#This Row],[AgentID]],Sales_Agents!$A$1:C81,3)</f>
        <v>South</v>
      </c>
    </row>
    <row r="79" spans="1:14" x14ac:dyDescent="0.25">
      <c r="A79">
        <v>78</v>
      </c>
      <c r="B79" s="1">
        <v>45499</v>
      </c>
      <c r="C79" s="8" t="str">
        <f>TEXT(Table2[[#This Row],[OrderDate]],"mmm")</f>
        <v>Jul</v>
      </c>
      <c r="D79">
        <v>3</v>
      </c>
      <c r="E79">
        <v>2</v>
      </c>
      <c r="F79">
        <v>10</v>
      </c>
      <c r="G79" s="3">
        <v>269031</v>
      </c>
      <c r="H79" s="3">
        <f t="shared" si="2"/>
        <v>2690310</v>
      </c>
      <c r="I79" s="5">
        <f>Table2[[#This Row],[Total Revenue]]*0.3</f>
        <v>807093</v>
      </c>
      <c r="J79" s="6">
        <f t="shared" si="3"/>
        <v>0.3</v>
      </c>
      <c r="K79" t="str">
        <f>VLOOKUP(Table2[[#This Row],[ProductID]],Products!$A$1:C83,2)</f>
        <v>Tablet</v>
      </c>
      <c r="L79" t="str">
        <f>VLOOKUP(D79,Products!$A$1:C83,3)</f>
        <v>Electronics</v>
      </c>
      <c r="M79" t="str">
        <f>VLOOKUP(Table2[[#This Row],[AgentID]],Sales_Agents!$A$1:C82,2)</f>
        <v>Blessing</v>
      </c>
      <c r="N79" t="str">
        <f>VLOOKUP(Table2[[#This Row],[AgentID]],Sales_Agents!$A$1:C82,3)</f>
        <v>East</v>
      </c>
    </row>
    <row r="80" spans="1:14" x14ac:dyDescent="0.25">
      <c r="A80">
        <v>79</v>
      </c>
      <c r="B80" s="1">
        <v>45634</v>
      </c>
      <c r="C80" s="8" t="str">
        <f>TEXT(Table2[[#This Row],[OrderDate]],"mmm")</f>
        <v>Dec</v>
      </c>
      <c r="D80">
        <v>3</v>
      </c>
      <c r="E80">
        <v>2</v>
      </c>
      <c r="F80">
        <v>15</v>
      </c>
      <c r="G80" s="3">
        <v>296028</v>
      </c>
      <c r="H80" s="3">
        <f t="shared" si="2"/>
        <v>4440420</v>
      </c>
      <c r="I80" s="5">
        <f>Table2[[#This Row],[Total Revenue]]*0.3</f>
        <v>1332126</v>
      </c>
      <c r="J80" s="6">
        <f t="shared" si="3"/>
        <v>0.3</v>
      </c>
      <c r="K80" t="str">
        <f>VLOOKUP(Table2[[#This Row],[ProductID]],Products!$A$1:C84,2)</f>
        <v>Tablet</v>
      </c>
      <c r="L80" t="str">
        <f>VLOOKUP(D80,Products!$A$1:C84,3)</f>
        <v>Electronics</v>
      </c>
      <c r="M80" t="str">
        <f>VLOOKUP(Table2[[#This Row],[AgentID]],Sales_Agents!$A$1:C83,2)</f>
        <v>Blessing</v>
      </c>
      <c r="N80" t="str">
        <f>VLOOKUP(Table2[[#This Row],[AgentID]],Sales_Agents!$A$1:C83,3)</f>
        <v>East</v>
      </c>
    </row>
    <row r="81" spans="1:14" x14ac:dyDescent="0.25">
      <c r="A81">
        <v>80</v>
      </c>
      <c r="B81" s="1">
        <v>45427</v>
      </c>
      <c r="C81" s="8" t="str">
        <f>TEXT(Table2[[#This Row],[OrderDate]],"mmm")</f>
        <v>May</v>
      </c>
      <c r="D81">
        <v>5</v>
      </c>
      <c r="E81">
        <v>4</v>
      </c>
      <c r="F81">
        <v>17</v>
      </c>
      <c r="G81" s="3">
        <v>285185</v>
      </c>
      <c r="H81" s="3">
        <f t="shared" si="2"/>
        <v>4848145</v>
      </c>
      <c r="I81" s="5">
        <f>Table2[[#This Row],[Total Revenue]]*0.3</f>
        <v>1454443.5</v>
      </c>
      <c r="J81" s="6">
        <f t="shared" si="3"/>
        <v>0.3</v>
      </c>
      <c r="K81" t="str">
        <f>VLOOKUP(Table2[[#This Row],[ProductID]],Products!$A$1:C85,2)</f>
        <v>Monitor</v>
      </c>
      <c r="L81" t="str">
        <f>VLOOKUP(D81,Products!$A$1:C85,3)</f>
        <v>Accessories</v>
      </c>
      <c r="M81" t="str">
        <f>VLOOKUP(Table2[[#This Row],[AgentID]],Sales_Agents!$A$1:C84,2)</f>
        <v>Zainab</v>
      </c>
      <c r="N81" t="str">
        <f>VLOOKUP(Table2[[#This Row],[AgentID]],Sales_Agents!$A$1:C84,3)</f>
        <v>North</v>
      </c>
    </row>
    <row r="82" spans="1:14" x14ac:dyDescent="0.25">
      <c r="A82">
        <v>81</v>
      </c>
      <c r="B82" s="1">
        <v>45408</v>
      </c>
      <c r="C82" s="8" t="str">
        <f>TEXT(Table2[[#This Row],[OrderDate]],"mmm")</f>
        <v>Apr</v>
      </c>
      <c r="D82">
        <v>2</v>
      </c>
      <c r="E82">
        <v>2</v>
      </c>
      <c r="F82">
        <v>5</v>
      </c>
      <c r="G82" s="3">
        <v>199721</v>
      </c>
      <c r="H82" s="3">
        <f t="shared" si="2"/>
        <v>998605</v>
      </c>
      <c r="I82" s="5">
        <f>Table2[[#This Row],[Total Revenue]]*0.3</f>
        <v>299581.5</v>
      </c>
      <c r="J82" s="6">
        <f t="shared" si="3"/>
        <v>0.3</v>
      </c>
      <c r="K82" t="str">
        <f>VLOOKUP(Table2[[#This Row],[ProductID]],Products!$A$1:C86,2)</f>
        <v>Phone</v>
      </c>
      <c r="L82" t="str">
        <f>VLOOKUP(D82,Products!$A$1:C86,3)</f>
        <v>Electronics</v>
      </c>
      <c r="M82" t="str">
        <f>VLOOKUP(Table2[[#This Row],[AgentID]],Sales_Agents!$A$1:C85,2)</f>
        <v>Blessing</v>
      </c>
      <c r="N82" t="str">
        <f>VLOOKUP(Table2[[#This Row],[AgentID]],Sales_Agents!$A$1:C85,3)</f>
        <v>East</v>
      </c>
    </row>
    <row r="83" spans="1:14" x14ac:dyDescent="0.25">
      <c r="A83">
        <v>82</v>
      </c>
      <c r="B83" s="1">
        <v>45462</v>
      </c>
      <c r="C83" s="8" t="str">
        <f>TEXT(Table2[[#This Row],[OrderDate]],"mmm")</f>
        <v>Jun</v>
      </c>
      <c r="D83">
        <v>2</v>
      </c>
      <c r="E83">
        <v>1</v>
      </c>
      <c r="F83">
        <v>1</v>
      </c>
      <c r="G83" s="3">
        <v>164595</v>
      </c>
      <c r="H83" s="3">
        <f t="shared" si="2"/>
        <v>164595</v>
      </c>
      <c r="I83" s="5">
        <f>Table2[[#This Row],[Total Revenue]]*0.3</f>
        <v>49378.5</v>
      </c>
      <c r="J83" s="6">
        <f t="shared" si="3"/>
        <v>0.3</v>
      </c>
      <c r="K83" t="str">
        <f>VLOOKUP(Table2[[#This Row],[ProductID]],Products!$A$1:C87,2)</f>
        <v>Phone</v>
      </c>
      <c r="L83" t="str">
        <f>VLOOKUP(D83,Products!$A$1:C87,3)</f>
        <v>Electronics</v>
      </c>
      <c r="M83" t="str">
        <f>VLOOKUP(Table2[[#This Row],[AgentID]],Sales_Agents!$A$1:C86,2)</f>
        <v>Akin</v>
      </c>
      <c r="N83" t="str">
        <f>VLOOKUP(Table2[[#This Row],[AgentID]],Sales_Agents!$A$1:C86,3)</f>
        <v>West</v>
      </c>
    </row>
    <row r="84" spans="1:14" x14ac:dyDescent="0.25">
      <c r="A84">
        <v>83</v>
      </c>
      <c r="B84" s="1">
        <v>45471</v>
      </c>
      <c r="C84" s="8" t="str">
        <f>TEXT(Table2[[#This Row],[OrderDate]],"mmm")</f>
        <v>Jun</v>
      </c>
      <c r="D84">
        <v>5</v>
      </c>
      <c r="E84">
        <v>2</v>
      </c>
      <c r="F84">
        <v>18</v>
      </c>
      <c r="G84" s="3">
        <v>78780</v>
      </c>
      <c r="H84" s="3">
        <f t="shared" si="2"/>
        <v>1418040</v>
      </c>
      <c r="I84" s="5">
        <f>Table2[[#This Row],[Total Revenue]]*0.3</f>
        <v>425412</v>
      </c>
      <c r="J84" s="6">
        <f t="shared" si="3"/>
        <v>0.3</v>
      </c>
      <c r="K84" t="str">
        <f>VLOOKUP(Table2[[#This Row],[ProductID]],Products!$A$1:C88,2)</f>
        <v>Monitor</v>
      </c>
      <c r="L84" t="str">
        <f>VLOOKUP(D84,Products!$A$1:C88,3)</f>
        <v>Accessories</v>
      </c>
      <c r="M84" t="str">
        <f>VLOOKUP(Table2[[#This Row],[AgentID]],Sales_Agents!$A$1:C87,2)</f>
        <v>Blessing</v>
      </c>
      <c r="N84" t="str">
        <f>VLOOKUP(Table2[[#This Row],[AgentID]],Sales_Agents!$A$1:C87,3)</f>
        <v>East</v>
      </c>
    </row>
    <row r="85" spans="1:14" x14ac:dyDescent="0.25">
      <c r="A85">
        <v>84</v>
      </c>
      <c r="B85" s="1">
        <v>45437</v>
      </c>
      <c r="C85" s="8" t="str">
        <f>TEXT(Table2[[#This Row],[OrderDate]],"mmm")</f>
        <v>May</v>
      </c>
      <c r="D85">
        <v>1</v>
      </c>
      <c r="E85">
        <v>1</v>
      </c>
      <c r="F85">
        <v>18</v>
      </c>
      <c r="G85" s="3">
        <v>70222</v>
      </c>
      <c r="H85" s="3">
        <f t="shared" si="2"/>
        <v>1263996</v>
      </c>
      <c r="I85" s="5">
        <f>Table2[[#This Row],[Total Revenue]]*0.3</f>
        <v>379198.8</v>
      </c>
      <c r="J85" s="6">
        <f t="shared" si="3"/>
        <v>0.3</v>
      </c>
      <c r="K85" t="str">
        <f>VLOOKUP(Table2[[#This Row],[ProductID]],Products!$A$1:C89,2)</f>
        <v>Laptop</v>
      </c>
      <c r="L85" t="str">
        <f>VLOOKUP(D85,Products!$A$1:C89,3)</f>
        <v>Electronics</v>
      </c>
      <c r="M85" t="str">
        <f>VLOOKUP(Table2[[#This Row],[AgentID]],Sales_Agents!$A$1:C88,2)</f>
        <v>Akin</v>
      </c>
      <c r="N85" t="str">
        <f>VLOOKUP(Table2[[#This Row],[AgentID]],Sales_Agents!$A$1:C88,3)</f>
        <v>West</v>
      </c>
    </row>
    <row r="86" spans="1:14" x14ac:dyDescent="0.25">
      <c r="A86">
        <v>85</v>
      </c>
      <c r="B86" s="1">
        <v>45364</v>
      </c>
      <c r="C86" s="8" t="str">
        <f>TEXT(Table2[[#This Row],[OrderDate]],"mmm")</f>
        <v>Mar</v>
      </c>
      <c r="D86">
        <v>3</v>
      </c>
      <c r="E86">
        <v>1</v>
      </c>
      <c r="F86">
        <v>12</v>
      </c>
      <c r="G86" s="3">
        <v>165559</v>
      </c>
      <c r="H86" s="3">
        <f t="shared" si="2"/>
        <v>1986708</v>
      </c>
      <c r="I86" s="5">
        <f>Table2[[#This Row],[Total Revenue]]*0.3</f>
        <v>596012.4</v>
      </c>
      <c r="J86" s="6">
        <f t="shared" si="3"/>
        <v>0.3</v>
      </c>
      <c r="K86" t="str">
        <f>VLOOKUP(Table2[[#This Row],[ProductID]],Products!$A$1:C90,2)</f>
        <v>Tablet</v>
      </c>
      <c r="L86" t="str">
        <f>VLOOKUP(D86,Products!$A$1:C90,3)</f>
        <v>Electronics</v>
      </c>
      <c r="M86" t="str">
        <f>VLOOKUP(Table2[[#This Row],[AgentID]],Sales_Agents!$A$1:C89,2)</f>
        <v>Akin</v>
      </c>
      <c r="N86" t="str">
        <f>VLOOKUP(Table2[[#This Row],[AgentID]],Sales_Agents!$A$1:C89,3)</f>
        <v>West</v>
      </c>
    </row>
    <row r="87" spans="1:14" x14ac:dyDescent="0.25">
      <c r="A87">
        <v>86</v>
      </c>
      <c r="B87" s="1">
        <v>45561</v>
      </c>
      <c r="C87" s="8" t="str">
        <f>TEXT(Table2[[#This Row],[OrderDate]],"mmm")</f>
        <v>Sept</v>
      </c>
      <c r="D87">
        <v>4</v>
      </c>
      <c r="E87">
        <v>1</v>
      </c>
      <c r="F87">
        <v>6</v>
      </c>
      <c r="G87" s="3">
        <v>258062</v>
      </c>
      <c r="H87" s="3">
        <f t="shared" si="2"/>
        <v>1548372</v>
      </c>
      <c r="I87" s="5">
        <f>Table2[[#This Row],[Total Revenue]]*0.3</f>
        <v>464511.6</v>
      </c>
      <c r="J87" s="6">
        <f t="shared" si="3"/>
        <v>0.3</v>
      </c>
      <c r="K87" t="str">
        <f>VLOOKUP(Table2[[#This Row],[ProductID]],Products!$A$1:C91,2)</f>
        <v>Printer</v>
      </c>
      <c r="L87" t="str">
        <f>VLOOKUP(D87,Products!$A$1:C91,3)</f>
        <v>Accessories</v>
      </c>
      <c r="M87" t="str">
        <f>VLOOKUP(Table2[[#This Row],[AgentID]],Sales_Agents!$A$1:C90,2)</f>
        <v>Akin</v>
      </c>
      <c r="N87" t="str">
        <f>VLOOKUP(Table2[[#This Row],[AgentID]],Sales_Agents!$A$1:C90,3)</f>
        <v>West</v>
      </c>
    </row>
    <row r="88" spans="1:14" x14ac:dyDescent="0.25">
      <c r="A88">
        <v>87</v>
      </c>
      <c r="B88" s="1">
        <v>45514</v>
      </c>
      <c r="C88" s="8" t="str">
        <f>TEXT(Table2[[#This Row],[OrderDate]],"mmm")</f>
        <v>Aug</v>
      </c>
      <c r="D88">
        <v>1</v>
      </c>
      <c r="E88">
        <v>1</v>
      </c>
      <c r="F88">
        <v>19</v>
      </c>
      <c r="G88" s="3">
        <v>181157</v>
      </c>
      <c r="H88" s="3">
        <f t="shared" si="2"/>
        <v>3441983</v>
      </c>
      <c r="I88" s="5">
        <f>Table2[[#This Row],[Total Revenue]]*0.3</f>
        <v>1032594.8999999999</v>
      </c>
      <c r="J88" s="6">
        <f t="shared" si="3"/>
        <v>0.3</v>
      </c>
      <c r="K88" t="str">
        <f>VLOOKUP(Table2[[#This Row],[ProductID]],Products!$A$1:C92,2)</f>
        <v>Laptop</v>
      </c>
      <c r="L88" t="str">
        <f>VLOOKUP(D88,Products!$A$1:C92,3)</f>
        <v>Electronics</v>
      </c>
      <c r="M88" t="str">
        <f>VLOOKUP(Table2[[#This Row],[AgentID]],Sales_Agents!$A$1:C91,2)</f>
        <v>Akin</v>
      </c>
      <c r="N88" t="str">
        <f>VLOOKUP(Table2[[#This Row],[AgentID]],Sales_Agents!$A$1:C91,3)</f>
        <v>West</v>
      </c>
    </row>
    <row r="89" spans="1:14" x14ac:dyDescent="0.25">
      <c r="A89">
        <v>88</v>
      </c>
      <c r="B89" s="1">
        <v>45444</v>
      </c>
      <c r="C89" s="8" t="str">
        <f>TEXT(Table2[[#This Row],[OrderDate]],"mmm")</f>
        <v>Jun</v>
      </c>
      <c r="D89">
        <v>1</v>
      </c>
      <c r="E89">
        <v>2</v>
      </c>
      <c r="F89">
        <v>1</v>
      </c>
      <c r="G89" s="3">
        <v>267065</v>
      </c>
      <c r="H89" s="3">
        <f t="shared" si="2"/>
        <v>267065</v>
      </c>
      <c r="I89" s="5">
        <f>Table2[[#This Row],[Total Revenue]]*0.3</f>
        <v>80119.5</v>
      </c>
      <c r="J89" s="6">
        <f t="shared" si="3"/>
        <v>0.3</v>
      </c>
      <c r="K89" t="str">
        <f>VLOOKUP(Table2[[#This Row],[ProductID]],Products!$A$1:C93,2)</f>
        <v>Laptop</v>
      </c>
      <c r="L89" t="str">
        <f>VLOOKUP(D89,Products!$A$1:C93,3)</f>
        <v>Electronics</v>
      </c>
      <c r="M89" t="str">
        <f>VLOOKUP(Table2[[#This Row],[AgentID]],Sales_Agents!$A$1:C92,2)</f>
        <v>Blessing</v>
      </c>
      <c r="N89" t="str">
        <f>VLOOKUP(Table2[[#This Row],[AgentID]],Sales_Agents!$A$1:C92,3)</f>
        <v>East</v>
      </c>
    </row>
    <row r="90" spans="1:14" x14ac:dyDescent="0.25">
      <c r="A90">
        <v>89</v>
      </c>
      <c r="B90" s="1">
        <v>45641</v>
      </c>
      <c r="C90" s="8" t="str">
        <f>TEXT(Table2[[#This Row],[OrderDate]],"mmm")</f>
        <v>Dec</v>
      </c>
      <c r="D90">
        <v>1</v>
      </c>
      <c r="E90">
        <v>4</v>
      </c>
      <c r="F90">
        <v>20</v>
      </c>
      <c r="G90" s="3">
        <v>236490</v>
      </c>
      <c r="H90" s="3">
        <f t="shared" si="2"/>
        <v>4729800</v>
      </c>
      <c r="I90" s="5">
        <f>Table2[[#This Row],[Total Revenue]]*0.3</f>
        <v>1418940</v>
      </c>
      <c r="J90" s="6">
        <f t="shared" si="3"/>
        <v>0.3</v>
      </c>
      <c r="K90" t="str">
        <f>VLOOKUP(Table2[[#This Row],[ProductID]],Products!$A$1:C94,2)</f>
        <v>Laptop</v>
      </c>
      <c r="L90" t="str">
        <f>VLOOKUP(D90,Products!$A$1:C94,3)</f>
        <v>Electronics</v>
      </c>
      <c r="M90" t="str">
        <f>VLOOKUP(Table2[[#This Row],[AgentID]],Sales_Agents!$A$1:C93,2)</f>
        <v>Zainab</v>
      </c>
      <c r="N90" t="str">
        <f>VLOOKUP(Table2[[#This Row],[AgentID]],Sales_Agents!$A$1:C93,3)</f>
        <v>North</v>
      </c>
    </row>
    <row r="91" spans="1:14" x14ac:dyDescent="0.25">
      <c r="A91">
        <v>90</v>
      </c>
      <c r="B91" s="1">
        <v>45434</v>
      </c>
      <c r="C91" s="8" t="str">
        <f>TEXT(Table2[[#This Row],[OrderDate]],"mmm")</f>
        <v>May</v>
      </c>
      <c r="D91">
        <v>2</v>
      </c>
      <c r="E91">
        <v>4</v>
      </c>
      <c r="F91">
        <v>9</v>
      </c>
      <c r="G91" s="3">
        <v>139041</v>
      </c>
      <c r="H91" s="3">
        <f t="shared" si="2"/>
        <v>1251369</v>
      </c>
      <c r="I91" s="5">
        <f>Table2[[#This Row],[Total Revenue]]*0.3</f>
        <v>375410.7</v>
      </c>
      <c r="J91" s="6">
        <f t="shared" si="3"/>
        <v>0.3</v>
      </c>
      <c r="K91" t="str">
        <f>VLOOKUP(Table2[[#This Row],[ProductID]],Products!$A$1:C95,2)</f>
        <v>Phone</v>
      </c>
      <c r="L91" t="str">
        <f>VLOOKUP(D91,Products!$A$1:C95,3)</f>
        <v>Electronics</v>
      </c>
      <c r="M91" t="str">
        <f>VLOOKUP(Table2[[#This Row],[AgentID]],Sales_Agents!$A$1:C94,2)</f>
        <v>Zainab</v>
      </c>
      <c r="N91" t="str">
        <f>VLOOKUP(Table2[[#This Row],[AgentID]],Sales_Agents!$A$1:C94,3)</f>
        <v>North</v>
      </c>
    </row>
    <row r="92" spans="1:14" x14ac:dyDescent="0.25">
      <c r="A92">
        <v>91</v>
      </c>
      <c r="B92" s="1">
        <v>45413</v>
      </c>
      <c r="C92" s="8" t="str">
        <f>TEXT(Table2[[#This Row],[OrderDate]],"mmm")</f>
        <v>May</v>
      </c>
      <c r="D92">
        <v>5</v>
      </c>
      <c r="E92">
        <v>2</v>
      </c>
      <c r="F92">
        <v>10</v>
      </c>
      <c r="G92" s="3">
        <v>176371</v>
      </c>
      <c r="H92" s="3">
        <f t="shared" si="2"/>
        <v>1763710</v>
      </c>
      <c r="I92" s="5">
        <f>Table2[[#This Row],[Total Revenue]]*0.3</f>
        <v>529113</v>
      </c>
      <c r="J92" s="6">
        <f t="shared" si="3"/>
        <v>0.3</v>
      </c>
      <c r="K92" t="str">
        <f>VLOOKUP(Table2[[#This Row],[ProductID]],Products!$A$1:C96,2)</f>
        <v>Monitor</v>
      </c>
      <c r="L92" t="str">
        <f>VLOOKUP(D92,Products!$A$1:C96,3)</f>
        <v>Accessories</v>
      </c>
      <c r="M92" t="str">
        <f>VLOOKUP(Table2[[#This Row],[AgentID]],Sales_Agents!$A$1:C95,2)</f>
        <v>Blessing</v>
      </c>
      <c r="N92" t="str">
        <f>VLOOKUP(Table2[[#This Row],[AgentID]],Sales_Agents!$A$1:C95,3)</f>
        <v>East</v>
      </c>
    </row>
    <row r="93" spans="1:14" x14ac:dyDescent="0.25">
      <c r="A93">
        <v>92</v>
      </c>
      <c r="B93" s="1">
        <v>45598</v>
      </c>
      <c r="C93" s="8" t="str">
        <f>TEXT(Table2[[#This Row],[OrderDate]],"mmm")</f>
        <v>Nov</v>
      </c>
      <c r="D93">
        <v>5</v>
      </c>
      <c r="E93">
        <v>1</v>
      </c>
      <c r="F93">
        <v>2</v>
      </c>
      <c r="G93" s="3">
        <v>335704</v>
      </c>
      <c r="H93" s="3">
        <f t="shared" si="2"/>
        <v>671408</v>
      </c>
      <c r="I93" s="5">
        <f>Table2[[#This Row],[Total Revenue]]*0.3</f>
        <v>201422.4</v>
      </c>
      <c r="J93" s="6">
        <f t="shared" si="3"/>
        <v>0.3</v>
      </c>
      <c r="K93" t="str">
        <f>VLOOKUP(Table2[[#This Row],[ProductID]],Products!$A$1:C97,2)</f>
        <v>Monitor</v>
      </c>
      <c r="L93" t="str">
        <f>VLOOKUP(D93,Products!$A$1:C97,3)</f>
        <v>Accessories</v>
      </c>
      <c r="M93" t="str">
        <f>VLOOKUP(Table2[[#This Row],[AgentID]],Sales_Agents!$A$1:C96,2)</f>
        <v>Akin</v>
      </c>
      <c r="N93" t="str">
        <f>VLOOKUP(Table2[[#This Row],[AgentID]],Sales_Agents!$A$1:C96,3)</f>
        <v>West</v>
      </c>
    </row>
    <row r="94" spans="1:14" x14ac:dyDescent="0.25">
      <c r="A94">
        <v>93</v>
      </c>
      <c r="B94" s="1">
        <v>45512</v>
      </c>
      <c r="C94" s="8" t="str">
        <f>TEXT(Table2[[#This Row],[OrderDate]],"mmm")</f>
        <v>Aug</v>
      </c>
      <c r="D94">
        <v>5</v>
      </c>
      <c r="E94">
        <v>3</v>
      </c>
      <c r="F94">
        <v>7</v>
      </c>
      <c r="G94" s="3">
        <v>328841</v>
      </c>
      <c r="H94" s="3">
        <f t="shared" si="2"/>
        <v>2301887</v>
      </c>
      <c r="I94" s="5">
        <f>Table2[[#This Row],[Total Revenue]]*0.3</f>
        <v>690566.1</v>
      </c>
      <c r="J94" s="6">
        <f t="shared" si="3"/>
        <v>0.3</v>
      </c>
      <c r="K94" t="str">
        <f>VLOOKUP(Table2[[#This Row],[ProductID]],Products!$A$1:C98,2)</f>
        <v>Monitor</v>
      </c>
      <c r="L94" t="str">
        <f>VLOOKUP(D94,Products!$A$1:C98,3)</f>
        <v>Accessories</v>
      </c>
      <c r="M94" t="str">
        <f>VLOOKUP(Table2[[#This Row],[AgentID]],Sales_Agents!$A$1:C97,2)</f>
        <v>Chinedu</v>
      </c>
      <c r="N94" t="str">
        <f>VLOOKUP(Table2[[#This Row],[AgentID]],Sales_Agents!$A$1:C97,3)</f>
        <v>South</v>
      </c>
    </row>
    <row r="95" spans="1:14" x14ac:dyDescent="0.25">
      <c r="A95">
        <v>94</v>
      </c>
      <c r="B95" s="1">
        <v>45652</v>
      </c>
      <c r="C95" s="8" t="str">
        <f>TEXT(Table2[[#This Row],[OrderDate]],"mmm")</f>
        <v>Dec</v>
      </c>
      <c r="D95">
        <v>4</v>
      </c>
      <c r="E95">
        <v>3</v>
      </c>
      <c r="F95">
        <v>4</v>
      </c>
      <c r="G95" s="3">
        <v>98785</v>
      </c>
      <c r="H95" s="3">
        <f t="shared" si="2"/>
        <v>395140</v>
      </c>
      <c r="I95" s="5">
        <f>Table2[[#This Row],[Total Revenue]]*0.3</f>
        <v>118542</v>
      </c>
      <c r="J95" s="6">
        <f t="shared" si="3"/>
        <v>0.3</v>
      </c>
      <c r="K95" t="str">
        <f>VLOOKUP(Table2[[#This Row],[ProductID]],Products!$A$1:C99,2)</f>
        <v>Printer</v>
      </c>
      <c r="L95" t="str">
        <f>VLOOKUP(D95,Products!$A$1:C99,3)</f>
        <v>Accessories</v>
      </c>
      <c r="M95" t="str">
        <f>VLOOKUP(Table2[[#This Row],[AgentID]],Sales_Agents!$A$1:C98,2)</f>
        <v>Chinedu</v>
      </c>
      <c r="N95" t="str">
        <f>VLOOKUP(Table2[[#This Row],[AgentID]],Sales_Agents!$A$1:C98,3)</f>
        <v>South</v>
      </c>
    </row>
    <row r="96" spans="1:14" x14ac:dyDescent="0.25">
      <c r="A96">
        <v>95</v>
      </c>
      <c r="B96" s="1">
        <v>45646</v>
      </c>
      <c r="C96" s="8" t="str">
        <f>TEXT(Table2[[#This Row],[OrderDate]],"mmm")</f>
        <v>Dec</v>
      </c>
      <c r="D96">
        <v>2</v>
      </c>
      <c r="E96">
        <v>3</v>
      </c>
      <c r="F96">
        <v>8</v>
      </c>
      <c r="G96" s="3">
        <v>308956</v>
      </c>
      <c r="H96" s="3">
        <f t="shared" si="2"/>
        <v>2471648</v>
      </c>
      <c r="I96" s="5">
        <f>Table2[[#This Row],[Total Revenue]]*0.3</f>
        <v>741494.4</v>
      </c>
      <c r="J96" s="6">
        <f t="shared" si="3"/>
        <v>0.3</v>
      </c>
      <c r="K96" t="str">
        <f>VLOOKUP(Table2[[#This Row],[ProductID]],Products!$A$1:C100,2)</f>
        <v>Phone</v>
      </c>
      <c r="L96" t="str">
        <f>VLOOKUP(D96,Products!$A$1:C100,3)</f>
        <v>Electronics</v>
      </c>
      <c r="M96" t="str">
        <f>VLOOKUP(Table2[[#This Row],[AgentID]],Sales_Agents!$A$1:C99,2)</f>
        <v>Chinedu</v>
      </c>
      <c r="N96" t="str">
        <f>VLOOKUP(Table2[[#This Row],[AgentID]],Sales_Agents!$A$1:C99,3)</f>
        <v>South</v>
      </c>
    </row>
    <row r="97" spans="1:14" x14ac:dyDescent="0.25">
      <c r="A97">
        <v>96</v>
      </c>
      <c r="B97" s="1">
        <v>45639</v>
      </c>
      <c r="C97" s="8" t="str">
        <f>TEXT(Table2[[#This Row],[OrderDate]],"mmm")</f>
        <v>Dec</v>
      </c>
      <c r="D97">
        <v>4</v>
      </c>
      <c r="E97">
        <v>1</v>
      </c>
      <c r="F97">
        <v>12</v>
      </c>
      <c r="G97" s="3">
        <v>125999</v>
      </c>
      <c r="H97" s="3">
        <f t="shared" si="2"/>
        <v>1511988</v>
      </c>
      <c r="I97" s="5">
        <f>Table2[[#This Row],[Total Revenue]]*0.3</f>
        <v>453596.39999999997</v>
      </c>
      <c r="J97" s="6">
        <f t="shared" si="3"/>
        <v>0.3</v>
      </c>
      <c r="K97" t="str">
        <f>VLOOKUP(Table2[[#This Row],[ProductID]],Products!$A$1:C101,2)</f>
        <v>Printer</v>
      </c>
      <c r="L97" t="str">
        <f>VLOOKUP(D97,Products!$A$1:C101,3)</f>
        <v>Accessories</v>
      </c>
      <c r="M97" t="str">
        <f>VLOOKUP(Table2[[#This Row],[AgentID]],Sales_Agents!$A$1:C100,2)</f>
        <v>Akin</v>
      </c>
      <c r="N97" t="str">
        <f>VLOOKUP(Table2[[#This Row],[AgentID]],Sales_Agents!$A$1:C100,3)</f>
        <v>West</v>
      </c>
    </row>
    <row r="98" spans="1:14" x14ac:dyDescent="0.25">
      <c r="A98">
        <v>97</v>
      </c>
      <c r="B98" s="1">
        <v>45336</v>
      </c>
      <c r="C98" s="8" t="str">
        <f>TEXT(Table2[[#This Row],[OrderDate]],"mmm")</f>
        <v>Feb</v>
      </c>
      <c r="D98">
        <v>3</v>
      </c>
      <c r="E98">
        <v>3</v>
      </c>
      <c r="F98">
        <v>12</v>
      </c>
      <c r="G98" s="3">
        <v>89398</v>
      </c>
      <c r="H98" s="3">
        <f t="shared" si="2"/>
        <v>1072776</v>
      </c>
      <c r="I98" s="5">
        <f>Table2[[#This Row],[Total Revenue]]*0.3</f>
        <v>321832.8</v>
      </c>
      <c r="J98" s="6">
        <f t="shared" si="3"/>
        <v>0.3</v>
      </c>
      <c r="K98" t="str">
        <f>VLOOKUP(Table2[[#This Row],[ProductID]],Products!$A$1:C102,2)</f>
        <v>Tablet</v>
      </c>
      <c r="L98" t="str">
        <f>VLOOKUP(D98,Products!$A$1:C102,3)</f>
        <v>Electronics</v>
      </c>
      <c r="M98" t="str">
        <f>VLOOKUP(Table2[[#This Row],[AgentID]],Sales_Agents!$A$1:C101,2)</f>
        <v>Chinedu</v>
      </c>
      <c r="N98" t="str">
        <f>VLOOKUP(Table2[[#This Row],[AgentID]],Sales_Agents!$A$1:C101,3)</f>
        <v>South</v>
      </c>
    </row>
    <row r="99" spans="1:14" x14ac:dyDescent="0.25">
      <c r="A99">
        <v>98</v>
      </c>
      <c r="B99" s="1">
        <v>45400</v>
      </c>
      <c r="C99" s="8" t="str">
        <f>TEXT(Table2[[#This Row],[OrderDate]],"mmm")</f>
        <v>Apr</v>
      </c>
      <c r="D99">
        <v>1</v>
      </c>
      <c r="E99">
        <v>1</v>
      </c>
      <c r="F99">
        <v>17</v>
      </c>
      <c r="G99" s="3">
        <v>169134</v>
      </c>
      <c r="H99" s="3">
        <f t="shared" si="2"/>
        <v>2875278</v>
      </c>
      <c r="I99" s="5">
        <f>Table2[[#This Row],[Total Revenue]]*0.3</f>
        <v>862583.4</v>
      </c>
      <c r="J99" s="6">
        <f t="shared" si="3"/>
        <v>0.3</v>
      </c>
      <c r="K99" t="str">
        <f>VLOOKUP(Table2[[#This Row],[ProductID]],Products!$A$1:C103,2)</f>
        <v>Laptop</v>
      </c>
      <c r="L99" t="str">
        <f>VLOOKUP(D99,Products!$A$1:C103,3)</f>
        <v>Electronics</v>
      </c>
      <c r="M99" t="str">
        <f>VLOOKUP(Table2[[#This Row],[AgentID]],Sales_Agents!$A$1:C102,2)</f>
        <v>Akin</v>
      </c>
      <c r="N99" t="str">
        <f>VLOOKUP(Table2[[#This Row],[AgentID]],Sales_Agents!$A$1:C102,3)</f>
        <v>West</v>
      </c>
    </row>
    <row r="100" spans="1:14" x14ac:dyDescent="0.25">
      <c r="A100">
        <v>99</v>
      </c>
      <c r="B100" s="1">
        <v>45334</v>
      </c>
      <c r="C100" s="8" t="str">
        <f>TEXT(Table2[[#This Row],[OrderDate]],"mmm")</f>
        <v>Feb</v>
      </c>
      <c r="D100">
        <v>4</v>
      </c>
      <c r="E100">
        <v>2</v>
      </c>
      <c r="F100">
        <v>18</v>
      </c>
      <c r="G100" s="3">
        <v>368954</v>
      </c>
      <c r="H100" s="3">
        <f t="shared" si="2"/>
        <v>6641172</v>
      </c>
      <c r="I100" s="5">
        <f>Table2[[#This Row],[Total Revenue]]*0.3</f>
        <v>1992351.5999999999</v>
      </c>
      <c r="J100" s="6">
        <f t="shared" si="3"/>
        <v>0.3</v>
      </c>
      <c r="K100" t="str">
        <f>VLOOKUP(Table2[[#This Row],[ProductID]],Products!$A$1:C104,2)</f>
        <v>Printer</v>
      </c>
      <c r="L100" t="str">
        <f>VLOOKUP(D100,Products!$A$1:C104,3)</f>
        <v>Accessories</v>
      </c>
      <c r="M100" t="str">
        <f>VLOOKUP(Table2[[#This Row],[AgentID]],Sales_Agents!$A$1:C103,2)</f>
        <v>Blessing</v>
      </c>
      <c r="N100" t="str">
        <f>VLOOKUP(Table2[[#This Row],[AgentID]],Sales_Agents!$A$1:C103,3)</f>
        <v>East</v>
      </c>
    </row>
    <row r="101" spans="1:14" x14ac:dyDescent="0.25">
      <c r="A101">
        <v>100</v>
      </c>
      <c r="B101" s="1">
        <v>45314</v>
      </c>
      <c r="C101" s="8" t="str">
        <f>TEXT(Table2[[#This Row],[OrderDate]],"mmm")</f>
        <v>Jan</v>
      </c>
      <c r="D101">
        <v>1</v>
      </c>
      <c r="E101">
        <v>1</v>
      </c>
      <c r="F101">
        <v>15</v>
      </c>
      <c r="G101" s="3">
        <v>126023</v>
      </c>
      <c r="H101" s="3">
        <f t="shared" si="2"/>
        <v>1890345</v>
      </c>
      <c r="I101" s="5">
        <f>Table2[[#This Row],[Total Revenue]]*0.3</f>
        <v>567103.5</v>
      </c>
      <c r="J101" s="6">
        <f t="shared" si="3"/>
        <v>0.3</v>
      </c>
      <c r="K101" t="str">
        <f>VLOOKUP(Table2[[#This Row],[ProductID]],Products!$A$1:C105,2)</f>
        <v>Laptop</v>
      </c>
      <c r="L101" t="str">
        <f>VLOOKUP(D101,Products!$A$1:C105,3)</f>
        <v>Electronics</v>
      </c>
      <c r="M101" t="str">
        <f>VLOOKUP(Table2[[#This Row],[AgentID]],Sales_Agents!$A$1:C104,2)</f>
        <v>Akin</v>
      </c>
      <c r="N101" t="str">
        <f>VLOOKUP(Table2[[#This Row],[AgentID]],Sales_Agents!$A$1:C104,3)</f>
        <v>West</v>
      </c>
    </row>
    <row r="102" spans="1:14" x14ac:dyDescent="0.25">
      <c r="A102">
        <v>101</v>
      </c>
      <c r="B102" s="1">
        <v>45292</v>
      </c>
      <c r="C102" s="8" t="str">
        <f>TEXT(Table2[[#This Row],[OrderDate]],"mmm")</f>
        <v>Jan</v>
      </c>
      <c r="D102">
        <v>4</v>
      </c>
      <c r="E102">
        <v>1</v>
      </c>
      <c r="F102">
        <v>2</v>
      </c>
      <c r="G102" s="3">
        <v>53432</v>
      </c>
      <c r="H102" s="3">
        <f t="shared" si="2"/>
        <v>106864</v>
      </c>
      <c r="I102" s="5">
        <f>Table2[[#This Row],[Total Revenue]]*0.3</f>
        <v>32059.199999999997</v>
      </c>
      <c r="J102" s="6">
        <f t="shared" si="3"/>
        <v>0.3</v>
      </c>
      <c r="K102" t="str">
        <f>VLOOKUP(Table2[[#This Row],[ProductID]],Products!$A$1:C106,2)</f>
        <v>Printer</v>
      </c>
      <c r="L102" t="str">
        <f>VLOOKUP(D102,Products!$A$1:C106,3)</f>
        <v>Accessories</v>
      </c>
      <c r="M102" t="str">
        <f>VLOOKUP(Table2[[#This Row],[AgentID]],Sales_Agents!$A$1:C105,2)</f>
        <v>Akin</v>
      </c>
      <c r="N102" t="str">
        <f>VLOOKUP(Table2[[#This Row],[AgentID]],Sales_Agents!$A$1:C105,3)</f>
        <v>West</v>
      </c>
    </row>
    <row r="103" spans="1:14" x14ac:dyDescent="0.25">
      <c r="A103">
        <v>102</v>
      </c>
      <c r="B103" s="1">
        <v>45336</v>
      </c>
      <c r="C103" s="8" t="str">
        <f>TEXT(Table2[[#This Row],[OrderDate]],"mmm")</f>
        <v>Feb</v>
      </c>
      <c r="D103">
        <v>3</v>
      </c>
      <c r="E103">
        <v>3</v>
      </c>
      <c r="F103">
        <v>17</v>
      </c>
      <c r="G103" s="3">
        <v>64258</v>
      </c>
      <c r="H103" s="3">
        <f t="shared" si="2"/>
        <v>1092386</v>
      </c>
      <c r="I103" s="5">
        <f>Table2[[#This Row],[Total Revenue]]*0.3</f>
        <v>327715.8</v>
      </c>
      <c r="J103" s="6">
        <f t="shared" si="3"/>
        <v>0.3</v>
      </c>
      <c r="K103" t="str">
        <f>VLOOKUP(Table2[[#This Row],[ProductID]],Products!$A$1:C107,2)</f>
        <v>Tablet</v>
      </c>
      <c r="L103" t="str">
        <f>VLOOKUP(D103,Products!$A$1:C107,3)</f>
        <v>Electronics</v>
      </c>
      <c r="M103" t="str">
        <f>VLOOKUP(Table2[[#This Row],[AgentID]],Sales_Agents!$A$1:C106,2)</f>
        <v>Chinedu</v>
      </c>
      <c r="N103" t="str">
        <f>VLOOKUP(Table2[[#This Row],[AgentID]],Sales_Agents!$A$1:C106,3)</f>
        <v>South</v>
      </c>
    </row>
    <row r="104" spans="1:14" x14ac:dyDescent="0.25">
      <c r="A104">
        <v>103</v>
      </c>
      <c r="B104" s="1">
        <v>45469</v>
      </c>
      <c r="C104" s="8" t="str">
        <f>TEXT(Table2[[#This Row],[OrderDate]],"mmm")</f>
        <v>Jun</v>
      </c>
      <c r="D104">
        <v>5</v>
      </c>
      <c r="E104">
        <v>4</v>
      </c>
      <c r="F104">
        <v>17</v>
      </c>
      <c r="G104" s="3">
        <v>109936</v>
      </c>
      <c r="H104" s="3">
        <f t="shared" si="2"/>
        <v>1868912</v>
      </c>
      <c r="I104" s="5">
        <f>Table2[[#This Row],[Total Revenue]]*0.3</f>
        <v>560673.6</v>
      </c>
      <c r="J104" s="6">
        <f t="shared" si="3"/>
        <v>0.3</v>
      </c>
      <c r="K104" t="str">
        <f>VLOOKUP(Table2[[#This Row],[ProductID]],Products!$A$1:C108,2)</f>
        <v>Monitor</v>
      </c>
      <c r="L104" t="str">
        <f>VLOOKUP(D104,Products!$A$1:C108,3)</f>
        <v>Accessories</v>
      </c>
      <c r="M104" t="str">
        <f>VLOOKUP(Table2[[#This Row],[AgentID]],Sales_Agents!$A$1:C107,2)</f>
        <v>Zainab</v>
      </c>
      <c r="N104" t="str">
        <f>VLOOKUP(Table2[[#This Row],[AgentID]],Sales_Agents!$A$1:C107,3)</f>
        <v>North</v>
      </c>
    </row>
    <row r="105" spans="1:14" x14ac:dyDescent="0.25">
      <c r="A105">
        <v>104</v>
      </c>
      <c r="B105" s="1">
        <v>45435</v>
      </c>
      <c r="C105" s="8" t="str">
        <f>TEXT(Table2[[#This Row],[OrderDate]],"mmm")</f>
        <v>May</v>
      </c>
      <c r="D105">
        <v>1</v>
      </c>
      <c r="E105">
        <v>1</v>
      </c>
      <c r="F105">
        <v>1</v>
      </c>
      <c r="G105" s="3">
        <v>306519</v>
      </c>
      <c r="H105" s="3">
        <f t="shared" si="2"/>
        <v>306519</v>
      </c>
      <c r="I105" s="5">
        <f>Table2[[#This Row],[Total Revenue]]*0.3</f>
        <v>91955.7</v>
      </c>
      <c r="J105" s="6">
        <f t="shared" si="3"/>
        <v>0.3</v>
      </c>
      <c r="K105" t="str">
        <f>VLOOKUP(Table2[[#This Row],[ProductID]],Products!$A$1:C109,2)</f>
        <v>Laptop</v>
      </c>
      <c r="L105" t="str">
        <f>VLOOKUP(D105,Products!$A$1:C109,3)</f>
        <v>Electronics</v>
      </c>
      <c r="M105" t="str">
        <f>VLOOKUP(Table2[[#This Row],[AgentID]],Sales_Agents!$A$1:C108,2)</f>
        <v>Akin</v>
      </c>
      <c r="N105" t="str">
        <f>VLOOKUP(Table2[[#This Row],[AgentID]],Sales_Agents!$A$1:C108,3)</f>
        <v>West</v>
      </c>
    </row>
    <row r="106" spans="1:14" x14ac:dyDescent="0.25">
      <c r="A106">
        <v>105</v>
      </c>
      <c r="B106" s="1">
        <v>45468</v>
      </c>
      <c r="C106" s="8" t="str">
        <f>TEXT(Table2[[#This Row],[OrderDate]],"mmm")</f>
        <v>Jun</v>
      </c>
      <c r="D106">
        <v>2</v>
      </c>
      <c r="E106">
        <v>4</v>
      </c>
      <c r="F106">
        <v>6</v>
      </c>
      <c r="G106" s="3">
        <v>343344</v>
      </c>
      <c r="H106" s="3">
        <f t="shared" si="2"/>
        <v>2060064</v>
      </c>
      <c r="I106" s="5">
        <f>Table2[[#This Row],[Total Revenue]]*0.3</f>
        <v>618019.19999999995</v>
      </c>
      <c r="J106" s="6">
        <f t="shared" si="3"/>
        <v>0.3</v>
      </c>
      <c r="K106" t="str">
        <f>VLOOKUP(Table2[[#This Row],[ProductID]],Products!$A$1:C110,2)</f>
        <v>Phone</v>
      </c>
      <c r="L106" t="str">
        <f>VLOOKUP(D106,Products!$A$1:C110,3)</f>
        <v>Electronics</v>
      </c>
      <c r="M106" t="str">
        <f>VLOOKUP(Table2[[#This Row],[AgentID]],Sales_Agents!$A$1:C109,2)</f>
        <v>Zainab</v>
      </c>
      <c r="N106" t="str">
        <f>VLOOKUP(Table2[[#This Row],[AgentID]],Sales_Agents!$A$1:C109,3)</f>
        <v>North</v>
      </c>
    </row>
    <row r="107" spans="1:14" x14ac:dyDescent="0.25">
      <c r="A107">
        <v>106</v>
      </c>
      <c r="B107" s="1">
        <v>45407</v>
      </c>
      <c r="C107" s="8" t="str">
        <f>TEXT(Table2[[#This Row],[OrderDate]],"mmm")</f>
        <v>Apr</v>
      </c>
      <c r="D107">
        <v>5</v>
      </c>
      <c r="E107">
        <v>4</v>
      </c>
      <c r="F107">
        <v>9</v>
      </c>
      <c r="G107" s="3">
        <v>275707</v>
      </c>
      <c r="H107" s="3">
        <f t="shared" si="2"/>
        <v>2481363</v>
      </c>
      <c r="I107" s="5">
        <f>Table2[[#This Row],[Total Revenue]]*0.3</f>
        <v>744408.9</v>
      </c>
      <c r="J107" s="6">
        <f t="shared" si="3"/>
        <v>0.3</v>
      </c>
      <c r="K107" t="str">
        <f>VLOOKUP(Table2[[#This Row],[ProductID]],Products!$A$1:C111,2)</f>
        <v>Monitor</v>
      </c>
      <c r="L107" t="str">
        <f>VLOOKUP(D107,Products!$A$1:C111,3)</f>
        <v>Accessories</v>
      </c>
      <c r="M107" t="str">
        <f>VLOOKUP(Table2[[#This Row],[AgentID]],Sales_Agents!$A$1:C110,2)</f>
        <v>Zainab</v>
      </c>
      <c r="N107" t="str">
        <f>VLOOKUP(Table2[[#This Row],[AgentID]],Sales_Agents!$A$1:C110,3)</f>
        <v>North</v>
      </c>
    </row>
    <row r="108" spans="1:14" x14ac:dyDescent="0.25">
      <c r="A108">
        <v>107</v>
      </c>
      <c r="B108" s="1">
        <v>45314</v>
      </c>
      <c r="C108" s="8" t="str">
        <f>TEXT(Table2[[#This Row],[OrderDate]],"mmm")</f>
        <v>Jan</v>
      </c>
      <c r="D108">
        <v>1</v>
      </c>
      <c r="E108">
        <v>1</v>
      </c>
      <c r="F108">
        <v>6</v>
      </c>
      <c r="G108" s="3">
        <v>61544</v>
      </c>
      <c r="H108" s="3">
        <f t="shared" si="2"/>
        <v>369264</v>
      </c>
      <c r="I108" s="5">
        <f>Table2[[#This Row],[Total Revenue]]*0.3</f>
        <v>110779.2</v>
      </c>
      <c r="J108" s="6">
        <f t="shared" si="3"/>
        <v>0.3</v>
      </c>
      <c r="K108" t="str">
        <f>VLOOKUP(Table2[[#This Row],[ProductID]],Products!$A$1:C112,2)</f>
        <v>Laptop</v>
      </c>
      <c r="L108" t="str">
        <f>VLOOKUP(D108,Products!$A$1:C112,3)</f>
        <v>Electronics</v>
      </c>
      <c r="M108" t="str">
        <f>VLOOKUP(Table2[[#This Row],[AgentID]],Sales_Agents!$A$1:C111,2)</f>
        <v>Akin</v>
      </c>
      <c r="N108" t="str">
        <f>VLOOKUP(Table2[[#This Row],[AgentID]],Sales_Agents!$A$1:C111,3)</f>
        <v>West</v>
      </c>
    </row>
    <row r="109" spans="1:14" x14ac:dyDescent="0.25">
      <c r="A109">
        <v>108</v>
      </c>
      <c r="B109" s="1">
        <v>45362</v>
      </c>
      <c r="C109" s="8" t="str">
        <f>TEXT(Table2[[#This Row],[OrderDate]],"mmm")</f>
        <v>Mar</v>
      </c>
      <c r="D109">
        <v>4</v>
      </c>
      <c r="E109">
        <v>1</v>
      </c>
      <c r="F109">
        <v>19</v>
      </c>
      <c r="G109" s="3">
        <v>144149</v>
      </c>
      <c r="H109" s="3">
        <f t="shared" si="2"/>
        <v>2738831</v>
      </c>
      <c r="I109" s="5">
        <f>Table2[[#This Row],[Total Revenue]]*0.3</f>
        <v>821649.29999999993</v>
      </c>
      <c r="J109" s="6">
        <f t="shared" si="3"/>
        <v>0.3</v>
      </c>
      <c r="K109" t="str">
        <f>VLOOKUP(Table2[[#This Row],[ProductID]],Products!$A$1:C113,2)</f>
        <v>Printer</v>
      </c>
      <c r="L109" t="str">
        <f>VLOOKUP(D109,Products!$A$1:C113,3)</f>
        <v>Accessories</v>
      </c>
      <c r="M109" t="str">
        <f>VLOOKUP(Table2[[#This Row],[AgentID]],Sales_Agents!$A$1:C112,2)</f>
        <v>Akin</v>
      </c>
      <c r="N109" t="str">
        <f>VLOOKUP(Table2[[#This Row],[AgentID]],Sales_Agents!$A$1:C112,3)</f>
        <v>West</v>
      </c>
    </row>
    <row r="110" spans="1:14" x14ac:dyDescent="0.25">
      <c r="A110">
        <v>109</v>
      </c>
      <c r="B110" s="1">
        <v>45394</v>
      </c>
      <c r="C110" s="8" t="str">
        <f>TEXT(Table2[[#This Row],[OrderDate]],"mmm")</f>
        <v>Apr</v>
      </c>
      <c r="D110">
        <v>5</v>
      </c>
      <c r="E110">
        <v>2</v>
      </c>
      <c r="F110">
        <v>20</v>
      </c>
      <c r="G110" s="3">
        <v>135307</v>
      </c>
      <c r="H110" s="3">
        <f t="shared" si="2"/>
        <v>2706140</v>
      </c>
      <c r="I110" s="5">
        <f>Table2[[#This Row],[Total Revenue]]*0.3</f>
        <v>811842</v>
      </c>
      <c r="J110" s="6">
        <f t="shared" si="3"/>
        <v>0.3</v>
      </c>
      <c r="K110" t="str">
        <f>VLOOKUP(Table2[[#This Row],[ProductID]],Products!$A$1:C114,2)</f>
        <v>Monitor</v>
      </c>
      <c r="L110" t="str">
        <f>VLOOKUP(D110,Products!$A$1:C114,3)</f>
        <v>Accessories</v>
      </c>
      <c r="M110" t="str">
        <f>VLOOKUP(Table2[[#This Row],[AgentID]],Sales_Agents!$A$1:C113,2)</f>
        <v>Blessing</v>
      </c>
      <c r="N110" t="str">
        <f>VLOOKUP(Table2[[#This Row],[AgentID]],Sales_Agents!$A$1:C113,3)</f>
        <v>East</v>
      </c>
    </row>
    <row r="111" spans="1:14" x14ac:dyDescent="0.25">
      <c r="A111">
        <v>110</v>
      </c>
      <c r="B111" s="1">
        <v>45604</v>
      </c>
      <c r="C111" s="8" t="str">
        <f>TEXT(Table2[[#This Row],[OrderDate]],"mmm")</f>
        <v>Nov</v>
      </c>
      <c r="D111">
        <v>4</v>
      </c>
      <c r="E111">
        <v>3</v>
      </c>
      <c r="F111">
        <v>13</v>
      </c>
      <c r="G111" s="3">
        <v>210559</v>
      </c>
      <c r="H111" s="3">
        <f t="shared" si="2"/>
        <v>2737267</v>
      </c>
      <c r="I111" s="5">
        <f>Table2[[#This Row],[Total Revenue]]*0.3</f>
        <v>821180.1</v>
      </c>
      <c r="J111" s="6">
        <f t="shared" si="3"/>
        <v>0.3</v>
      </c>
      <c r="K111" t="str">
        <f>VLOOKUP(Table2[[#This Row],[ProductID]],Products!$A$1:C115,2)</f>
        <v>Printer</v>
      </c>
      <c r="L111" t="str">
        <f>VLOOKUP(D111,Products!$A$1:C115,3)</f>
        <v>Accessories</v>
      </c>
      <c r="M111" t="str">
        <f>VLOOKUP(Table2[[#This Row],[AgentID]],Sales_Agents!$A$1:C114,2)</f>
        <v>Chinedu</v>
      </c>
      <c r="N111" t="str">
        <f>VLOOKUP(Table2[[#This Row],[AgentID]],Sales_Agents!$A$1:C114,3)</f>
        <v>South</v>
      </c>
    </row>
    <row r="112" spans="1:14" x14ac:dyDescent="0.25">
      <c r="A112">
        <v>111</v>
      </c>
      <c r="B112" s="1">
        <v>45428</v>
      </c>
      <c r="C112" s="8" t="str">
        <f>TEXT(Table2[[#This Row],[OrderDate]],"mmm")</f>
        <v>May</v>
      </c>
      <c r="D112">
        <v>4</v>
      </c>
      <c r="E112">
        <v>3</v>
      </c>
      <c r="F112">
        <v>11</v>
      </c>
      <c r="G112" s="3">
        <v>55352</v>
      </c>
      <c r="H112" s="3">
        <f t="shared" si="2"/>
        <v>608872</v>
      </c>
      <c r="I112" s="5">
        <f>Table2[[#This Row],[Total Revenue]]*0.3</f>
        <v>182661.6</v>
      </c>
      <c r="J112" s="6">
        <f t="shared" si="3"/>
        <v>0.3</v>
      </c>
      <c r="K112" t="str">
        <f>VLOOKUP(Table2[[#This Row],[ProductID]],Products!$A$1:C116,2)</f>
        <v>Printer</v>
      </c>
      <c r="L112" t="str">
        <f>VLOOKUP(D112,Products!$A$1:C116,3)</f>
        <v>Accessories</v>
      </c>
      <c r="M112" t="str">
        <f>VLOOKUP(Table2[[#This Row],[AgentID]],Sales_Agents!$A$1:C115,2)</f>
        <v>Chinedu</v>
      </c>
      <c r="N112" t="str">
        <f>VLOOKUP(Table2[[#This Row],[AgentID]],Sales_Agents!$A$1:C115,3)</f>
        <v>South</v>
      </c>
    </row>
    <row r="113" spans="1:14" x14ac:dyDescent="0.25">
      <c r="A113">
        <v>112</v>
      </c>
      <c r="B113" s="1">
        <v>45569</v>
      </c>
      <c r="C113" s="8" t="str">
        <f>TEXT(Table2[[#This Row],[OrderDate]],"mmm")</f>
        <v>Oct</v>
      </c>
      <c r="D113">
        <v>2</v>
      </c>
      <c r="E113">
        <v>1</v>
      </c>
      <c r="F113">
        <v>16</v>
      </c>
      <c r="G113" s="3">
        <v>255952</v>
      </c>
      <c r="H113" s="3">
        <f t="shared" si="2"/>
        <v>4095232</v>
      </c>
      <c r="I113" s="5">
        <f>Table2[[#This Row],[Total Revenue]]*0.3</f>
        <v>1228569.5999999999</v>
      </c>
      <c r="J113" s="6">
        <f t="shared" si="3"/>
        <v>0.3</v>
      </c>
      <c r="K113" t="str">
        <f>VLOOKUP(Table2[[#This Row],[ProductID]],Products!$A$1:C117,2)</f>
        <v>Phone</v>
      </c>
      <c r="L113" t="str">
        <f>VLOOKUP(D113,Products!$A$1:C117,3)</f>
        <v>Electronics</v>
      </c>
      <c r="M113" t="str">
        <f>VLOOKUP(Table2[[#This Row],[AgentID]],Sales_Agents!$A$1:C116,2)</f>
        <v>Akin</v>
      </c>
      <c r="N113" t="str">
        <f>VLOOKUP(Table2[[#This Row],[AgentID]],Sales_Agents!$A$1:C116,3)</f>
        <v>West</v>
      </c>
    </row>
    <row r="114" spans="1:14" x14ac:dyDescent="0.25">
      <c r="A114">
        <v>113</v>
      </c>
      <c r="B114" s="1">
        <v>45586</v>
      </c>
      <c r="C114" s="8" t="str">
        <f>TEXT(Table2[[#This Row],[OrderDate]],"mmm")</f>
        <v>Oct</v>
      </c>
      <c r="D114">
        <v>2</v>
      </c>
      <c r="E114">
        <v>4</v>
      </c>
      <c r="F114">
        <v>12</v>
      </c>
      <c r="G114" s="3">
        <v>154100</v>
      </c>
      <c r="H114" s="3">
        <f t="shared" si="2"/>
        <v>1849200</v>
      </c>
      <c r="I114" s="5">
        <f>Table2[[#This Row],[Total Revenue]]*0.3</f>
        <v>554760</v>
      </c>
      <c r="J114" s="6">
        <f t="shared" si="3"/>
        <v>0.3</v>
      </c>
      <c r="K114" t="str">
        <f>VLOOKUP(Table2[[#This Row],[ProductID]],Products!$A$1:C118,2)</f>
        <v>Phone</v>
      </c>
      <c r="L114" t="str">
        <f>VLOOKUP(D114,Products!$A$1:C118,3)</f>
        <v>Electronics</v>
      </c>
      <c r="M114" t="str">
        <f>VLOOKUP(Table2[[#This Row],[AgentID]],Sales_Agents!$A$1:C117,2)</f>
        <v>Zainab</v>
      </c>
      <c r="N114" t="str">
        <f>VLOOKUP(Table2[[#This Row],[AgentID]],Sales_Agents!$A$1:C117,3)</f>
        <v>North</v>
      </c>
    </row>
    <row r="115" spans="1:14" x14ac:dyDescent="0.25">
      <c r="A115">
        <v>114</v>
      </c>
      <c r="B115" s="1">
        <v>45422</v>
      </c>
      <c r="C115" s="8" t="str">
        <f>TEXT(Table2[[#This Row],[OrderDate]],"mmm")</f>
        <v>May</v>
      </c>
      <c r="D115">
        <v>4</v>
      </c>
      <c r="E115">
        <v>3</v>
      </c>
      <c r="F115">
        <v>18</v>
      </c>
      <c r="G115" s="3">
        <v>184966</v>
      </c>
      <c r="H115" s="3">
        <f t="shared" si="2"/>
        <v>3329388</v>
      </c>
      <c r="I115" s="5">
        <f>Table2[[#This Row],[Total Revenue]]*0.3</f>
        <v>998816.39999999991</v>
      </c>
      <c r="J115" s="6">
        <f t="shared" si="3"/>
        <v>0.3</v>
      </c>
      <c r="K115" t="str">
        <f>VLOOKUP(Table2[[#This Row],[ProductID]],Products!$A$1:C119,2)</f>
        <v>Printer</v>
      </c>
      <c r="L115" t="str">
        <f>VLOOKUP(D115,Products!$A$1:C119,3)</f>
        <v>Accessories</v>
      </c>
      <c r="M115" t="str">
        <f>VLOOKUP(Table2[[#This Row],[AgentID]],Sales_Agents!$A$1:C118,2)</f>
        <v>Chinedu</v>
      </c>
      <c r="N115" t="str">
        <f>VLOOKUP(Table2[[#This Row],[AgentID]],Sales_Agents!$A$1:C118,3)</f>
        <v>South</v>
      </c>
    </row>
    <row r="116" spans="1:14" x14ac:dyDescent="0.25">
      <c r="A116">
        <v>115</v>
      </c>
      <c r="B116" s="1">
        <v>45434</v>
      </c>
      <c r="C116" s="8" t="str">
        <f>TEXT(Table2[[#This Row],[OrderDate]],"mmm")</f>
        <v>May</v>
      </c>
      <c r="D116">
        <v>4</v>
      </c>
      <c r="E116">
        <v>1</v>
      </c>
      <c r="F116">
        <v>14</v>
      </c>
      <c r="G116" s="3">
        <v>120651</v>
      </c>
      <c r="H116" s="3">
        <f t="shared" si="2"/>
        <v>1689114</v>
      </c>
      <c r="I116" s="5">
        <f>Table2[[#This Row],[Total Revenue]]*0.3</f>
        <v>506734.19999999995</v>
      </c>
      <c r="J116" s="6">
        <f t="shared" si="3"/>
        <v>0.3</v>
      </c>
      <c r="K116" t="str">
        <f>VLOOKUP(Table2[[#This Row],[ProductID]],Products!$A$1:C120,2)</f>
        <v>Printer</v>
      </c>
      <c r="L116" t="str">
        <f>VLOOKUP(D116,Products!$A$1:C120,3)</f>
        <v>Accessories</v>
      </c>
      <c r="M116" t="str">
        <f>VLOOKUP(Table2[[#This Row],[AgentID]],Sales_Agents!$A$1:C119,2)</f>
        <v>Akin</v>
      </c>
      <c r="N116" t="str">
        <f>VLOOKUP(Table2[[#This Row],[AgentID]],Sales_Agents!$A$1:C119,3)</f>
        <v>West</v>
      </c>
    </row>
    <row r="117" spans="1:14" x14ac:dyDescent="0.25">
      <c r="A117">
        <v>116</v>
      </c>
      <c r="B117" s="1">
        <v>45369</v>
      </c>
      <c r="C117" s="8" t="str">
        <f>TEXT(Table2[[#This Row],[OrderDate]],"mmm")</f>
        <v>Mar</v>
      </c>
      <c r="D117">
        <v>3</v>
      </c>
      <c r="E117">
        <v>4</v>
      </c>
      <c r="F117">
        <v>9</v>
      </c>
      <c r="G117" s="3">
        <v>301635</v>
      </c>
      <c r="H117" s="3">
        <f t="shared" si="2"/>
        <v>2714715</v>
      </c>
      <c r="I117" s="5">
        <f>Table2[[#This Row],[Total Revenue]]*0.3</f>
        <v>814414.5</v>
      </c>
      <c r="J117" s="6">
        <f t="shared" si="3"/>
        <v>0.3</v>
      </c>
      <c r="K117" t="str">
        <f>VLOOKUP(Table2[[#This Row],[ProductID]],Products!$A$1:C121,2)</f>
        <v>Tablet</v>
      </c>
      <c r="L117" t="str">
        <f>VLOOKUP(D117,Products!$A$1:C121,3)</f>
        <v>Electronics</v>
      </c>
      <c r="M117" t="str">
        <f>VLOOKUP(Table2[[#This Row],[AgentID]],Sales_Agents!$A$1:C120,2)</f>
        <v>Zainab</v>
      </c>
      <c r="N117" t="str">
        <f>VLOOKUP(Table2[[#This Row],[AgentID]],Sales_Agents!$A$1:C120,3)</f>
        <v>North</v>
      </c>
    </row>
    <row r="118" spans="1:14" x14ac:dyDescent="0.25">
      <c r="A118">
        <v>117</v>
      </c>
      <c r="B118" s="1">
        <v>45540</v>
      </c>
      <c r="C118" s="8" t="str">
        <f>TEXT(Table2[[#This Row],[OrderDate]],"mmm")</f>
        <v>Sept</v>
      </c>
      <c r="D118">
        <v>1</v>
      </c>
      <c r="E118">
        <v>4</v>
      </c>
      <c r="F118">
        <v>4</v>
      </c>
      <c r="G118" s="3">
        <v>78327</v>
      </c>
      <c r="H118" s="3">
        <f t="shared" si="2"/>
        <v>313308</v>
      </c>
      <c r="I118" s="5">
        <f>Table2[[#This Row],[Total Revenue]]*0.3</f>
        <v>93992.4</v>
      </c>
      <c r="J118" s="6">
        <f t="shared" si="3"/>
        <v>0.3</v>
      </c>
      <c r="K118" t="str">
        <f>VLOOKUP(Table2[[#This Row],[ProductID]],Products!$A$1:C122,2)</f>
        <v>Laptop</v>
      </c>
      <c r="L118" t="str">
        <f>VLOOKUP(D118,Products!$A$1:C122,3)</f>
        <v>Electronics</v>
      </c>
      <c r="M118" t="str">
        <f>VLOOKUP(Table2[[#This Row],[AgentID]],Sales_Agents!$A$1:C121,2)</f>
        <v>Zainab</v>
      </c>
      <c r="N118" t="str">
        <f>VLOOKUP(Table2[[#This Row],[AgentID]],Sales_Agents!$A$1:C121,3)</f>
        <v>North</v>
      </c>
    </row>
    <row r="119" spans="1:14" x14ac:dyDescent="0.25">
      <c r="A119">
        <v>118</v>
      </c>
      <c r="B119" s="1">
        <v>45575</v>
      </c>
      <c r="C119" s="8" t="str">
        <f>TEXT(Table2[[#This Row],[OrderDate]],"mmm")</f>
        <v>Oct</v>
      </c>
      <c r="D119">
        <v>2</v>
      </c>
      <c r="E119">
        <v>2</v>
      </c>
      <c r="F119">
        <v>8</v>
      </c>
      <c r="G119" s="3">
        <v>74022</v>
      </c>
      <c r="H119" s="3">
        <f t="shared" si="2"/>
        <v>592176</v>
      </c>
      <c r="I119" s="5">
        <f>Table2[[#This Row],[Total Revenue]]*0.3</f>
        <v>177652.8</v>
      </c>
      <c r="J119" s="6">
        <f t="shared" si="3"/>
        <v>0.3</v>
      </c>
      <c r="K119" t="str">
        <f>VLOOKUP(Table2[[#This Row],[ProductID]],Products!$A$1:C123,2)</f>
        <v>Phone</v>
      </c>
      <c r="L119" t="str">
        <f>VLOOKUP(D119,Products!$A$1:C123,3)</f>
        <v>Electronics</v>
      </c>
      <c r="M119" t="str">
        <f>VLOOKUP(Table2[[#This Row],[AgentID]],Sales_Agents!$A$1:C122,2)</f>
        <v>Blessing</v>
      </c>
      <c r="N119" t="str">
        <f>VLOOKUP(Table2[[#This Row],[AgentID]],Sales_Agents!$A$1:C122,3)</f>
        <v>East</v>
      </c>
    </row>
    <row r="120" spans="1:14" x14ac:dyDescent="0.25">
      <c r="A120">
        <v>119</v>
      </c>
      <c r="B120" s="1">
        <v>45594</v>
      </c>
      <c r="C120" s="8" t="str">
        <f>TEXT(Table2[[#This Row],[OrderDate]],"mmm")</f>
        <v>Oct</v>
      </c>
      <c r="D120">
        <v>2</v>
      </c>
      <c r="E120">
        <v>2</v>
      </c>
      <c r="F120">
        <v>18</v>
      </c>
      <c r="G120" s="3">
        <v>238089</v>
      </c>
      <c r="H120" s="3">
        <f t="shared" si="2"/>
        <v>4285602</v>
      </c>
      <c r="I120" s="5">
        <f>Table2[[#This Row],[Total Revenue]]*0.3</f>
        <v>1285680.5999999999</v>
      </c>
      <c r="J120" s="6">
        <f t="shared" si="3"/>
        <v>0.3</v>
      </c>
      <c r="K120" t="str">
        <f>VLOOKUP(Table2[[#This Row],[ProductID]],Products!$A$1:C124,2)</f>
        <v>Phone</v>
      </c>
      <c r="L120" t="str">
        <f>VLOOKUP(D120,Products!$A$1:C124,3)</f>
        <v>Electronics</v>
      </c>
      <c r="M120" t="str">
        <f>VLOOKUP(Table2[[#This Row],[AgentID]],Sales_Agents!$A$1:C123,2)</f>
        <v>Blessing</v>
      </c>
      <c r="N120" t="str">
        <f>VLOOKUP(Table2[[#This Row],[AgentID]],Sales_Agents!$A$1:C123,3)</f>
        <v>East</v>
      </c>
    </row>
    <row r="121" spans="1:14" x14ac:dyDescent="0.25">
      <c r="A121">
        <v>120</v>
      </c>
      <c r="B121" s="1">
        <v>45454</v>
      </c>
      <c r="C121" s="8" t="str">
        <f>TEXT(Table2[[#This Row],[OrderDate]],"mmm")</f>
        <v>Jun</v>
      </c>
      <c r="D121">
        <v>1</v>
      </c>
      <c r="E121">
        <v>1</v>
      </c>
      <c r="F121">
        <v>16</v>
      </c>
      <c r="G121" s="3">
        <v>363780</v>
      </c>
      <c r="H121" s="3">
        <f t="shared" si="2"/>
        <v>5820480</v>
      </c>
      <c r="I121" s="5">
        <f>Table2[[#This Row],[Total Revenue]]*0.3</f>
        <v>1746144</v>
      </c>
      <c r="J121" s="6">
        <f t="shared" si="3"/>
        <v>0.3</v>
      </c>
      <c r="K121" t="str">
        <f>VLOOKUP(Table2[[#This Row],[ProductID]],Products!$A$1:C125,2)</f>
        <v>Laptop</v>
      </c>
      <c r="L121" t="str">
        <f>VLOOKUP(D121,Products!$A$1:C125,3)</f>
        <v>Electronics</v>
      </c>
      <c r="M121" t="str">
        <f>VLOOKUP(Table2[[#This Row],[AgentID]],Sales_Agents!$A$1:C124,2)</f>
        <v>Akin</v>
      </c>
      <c r="N121" t="str">
        <f>VLOOKUP(Table2[[#This Row],[AgentID]],Sales_Agents!$A$1:C124,3)</f>
        <v>West</v>
      </c>
    </row>
    <row r="122" spans="1:14" x14ac:dyDescent="0.25">
      <c r="A122">
        <v>121</v>
      </c>
      <c r="B122" s="1">
        <v>45499</v>
      </c>
      <c r="C122" s="8" t="str">
        <f>TEXT(Table2[[#This Row],[OrderDate]],"mmm")</f>
        <v>Jul</v>
      </c>
      <c r="D122">
        <v>5</v>
      </c>
      <c r="E122">
        <v>3</v>
      </c>
      <c r="F122">
        <v>11</v>
      </c>
      <c r="G122" s="3">
        <v>81370</v>
      </c>
      <c r="H122" s="3">
        <f t="shared" si="2"/>
        <v>895070</v>
      </c>
      <c r="I122" s="5">
        <f>Table2[[#This Row],[Total Revenue]]*0.3</f>
        <v>268521</v>
      </c>
      <c r="J122" s="6">
        <f t="shared" si="3"/>
        <v>0.3</v>
      </c>
      <c r="K122" t="str">
        <f>VLOOKUP(Table2[[#This Row],[ProductID]],Products!$A$1:C126,2)</f>
        <v>Monitor</v>
      </c>
      <c r="L122" t="str">
        <f>VLOOKUP(D122,Products!$A$1:C126,3)</f>
        <v>Accessories</v>
      </c>
      <c r="M122" t="str">
        <f>VLOOKUP(Table2[[#This Row],[AgentID]],Sales_Agents!$A$1:C125,2)</f>
        <v>Chinedu</v>
      </c>
      <c r="N122" t="str">
        <f>VLOOKUP(Table2[[#This Row],[AgentID]],Sales_Agents!$A$1:C125,3)</f>
        <v>South</v>
      </c>
    </row>
    <row r="123" spans="1:14" x14ac:dyDescent="0.25">
      <c r="A123">
        <v>122</v>
      </c>
      <c r="B123" s="1">
        <v>45605</v>
      </c>
      <c r="C123" s="8" t="str">
        <f>TEXT(Table2[[#This Row],[OrderDate]],"mmm")</f>
        <v>Nov</v>
      </c>
      <c r="D123">
        <v>5</v>
      </c>
      <c r="E123">
        <v>2</v>
      </c>
      <c r="F123">
        <v>13</v>
      </c>
      <c r="G123" s="3">
        <v>227745</v>
      </c>
      <c r="H123" s="3">
        <f t="shared" si="2"/>
        <v>2960685</v>
      </c>
      <c r="I123" s="5">
        <f>Table2[[#This Row],[Total Revenue]]*0.3</f>
        <v>888205.5</v>
      </c>
      <c r="J123" s="6">
        <f t="shared" si="3"/>
        <v>0.3</v>
      </c>
      <c r="K123" t="str">
        <f>VLOOKUP(Table2[[#This Row],[ProductID]],Products!$A$1:C127,2)</f>
        <v>Monitor</v>
      </c>
      <c r="L123" t="str">
        <f>VLOOKUP(D123,Products!$A$1:C127,3)</f>
        <v>Accessories</v>
      </c>
      <c r="M123" t="str">
        <f>VLOOKUP(Table2[[#This Row],[AgentID]],Sales_Agents!$A$1:C126,2)</f>
        <v>Blessing</v>
      </c>
      <c r="N123" t="str">
        <f>VLOOKUP(Table2[[#This Row],[AgentID]],Sales_Agents!$A$1:C126,3)</f>
        <v>East</v>
      </c>
    </row>
    <row r="124" spans="1:14" x14ac:dyDescent="0.25">
      <c r="A124">
        <v>123</v>
      </c>
      <c r="B124" s="1">
        <v>45543</v>
      </c>
      <c r="C124" s="8" t="str">
        <f>TEXT(Table2[[#This Row],[OrderDate]],"mmm")</f>
        <v>Sept</v>
      </c>
      <c r="D124">
        <v>3</v>
      </c>
      <c r="E124">
        <v>1</v>
      </c>
      <c r="F124">
        <v>18</v>
      </c>
      <c r="G124" s="3">
        <v>326124</v>
      </c>
      <c r="H124" s="3">
        <f t="shared" si="2"/>
        <v>5870232</v>
      </c>
      <c r="I124" s="5">
        <f>Table2[[#This Row],[Total Revenue]]*0.3</f>
        <v>1761069.5999999999</v>
      </c>
      <c r="J124" s="6">
        <f t="shared" si="3"/>
        <v>0.3</v>
      </c>
      <c r="K124" t="str">
        <f>VLOOKUP(Table2[[#This Row],[ProductID]],Products!$A$1:C128,2)</f>
        <v>Tablet</v>
      </c>
      <c r="L124" t="str">
        <f>VLOOKUP(D124,Products!$A$1:C128,3)</f>
        <v>Electronics</v>
      </c>
      <c r="M124" t="str">
        <f>VLOOKUP(Table2[[#This Row],[AgentID]],Sales_Agents!$A$1:C127,2)</f>
        <v>Akin</v>
      </c>
      <c r="N124" t="str">
        <f>VLOOKUP(Table2[[#This Row],[AgentID]],Sales_Agents!$A$1:C127,3)</f>
        <v>West</v>
      </c>
    </row>
    <row r="125" spans="1:14" x14ac:dyDescent="0.25">
      <c r="A125">
        <v>124</v>
      </c>
      <c r="B125" s="1">
        <v>45441</v>
      </c>
      <c r="C125" s="8" t="str">
        <f>TEXT(Table2[[#This Row],[OrderDate]],"mmm")</f>
        <v>May</v>
      </c>
      <c r="D125">
        <v>2</v>
      </c>
      <c r="E125">
        <v>4</v>
      </c>
      <c r="F125">
        <v>2</v>
      </c>
      <c r="G125" s="3">
        <v>98678</v>
      </c>
      <c r="H125" s="3">
        <f t="shared" si="2"/>
        <v>197356</v>
      </c>
      <c r="I125" s="5">
        <f>Table2[[#This Row],[Total Revenue]]*0.3</f>
        <v>59206.799999999996</v>
      </c>
      <c r="J125" s="6">
        <f t="shared" si="3"/>
        <v>0.3</v>
      </c>
      <c r="K125" t="str">
        <f>VLOOKUP(Table2[[#This Row],[ProductID]],Products!$A$1:C129,2)</f>
        <v>Phone</v>
      </c>
      <c r="L125" t="str">
        <f>VLOOKUP(D125,Products!$A$1:C129,3)</f>
        <v>Electronics</v>
      </c>
      <c r="M125" t="str">
        <f>VLOOKUP(Table2[[#This Row],[AgentID]],Sales_Agents!$A$1:C128,2)</f>
        <v>Zainab</v>
      </c>
      <c r="N125" t="str">
        <f>VLOOKUP(Table2[[#This Row],[AgentID]],Sales_Agents!$A$1:C128,3)</f>
        <v>North</v>
      </c>
    </row>
    <row r="126" spans="1:14" x14ac:dyDescent="0.25">
      <c r="A126">
        <v>125</v>
      </c>
      <c r="B126" s="1">
        <v>45340</v>
      </c>
      <c r="C126" s="8" t="str">
        <f>TEXT(Table2[[#This Row],[OrderDate]],"mmm")</f>
        <v>Feb</v>
      </c>
      <c r="D126">
        <v>3</v>
      </c>
      <c r="E126">
        <v>3</v>
      </c>
      <c r="F126">
        <v>14</v>
      </c>
      <c r="G126" s="3">
        <v>362387</v>
      </c>
      <c r="H126" s="3">
        <f t="shared" si="2"/>
        <v>5073418</v>
      </c>
      <c r="I126" s="5">
        <f>Table2[[#This Row],[Total Revenue]]*0.3</f>
        <v>1522025.4</v>
      </c>
      <c r="J126" s="6">
        <f t="shared" si="3"/>
        <v>0.3</v>
      </c>
      <c r="K126" t="str">
        <f>VLOOKUP(Table2[[#This Row],[ProductID]],Products!$A$1:C130,2)</f>
        <v>Tablet</v>
      </c>
      <c r="L126" t="str">
        <f>VLOOKUP(D126,Products!$A$1:C130,3)</f>
        <v>Electronics</v>
      </c>
      <c r="M126" t="str">
        <f>VLOOKUP(Table2[[#This Row],[AgentID]],Sales_Agents!$A$1:C129,2)</f>
        <v>Chinedu</v>
      </c>
      <c r="N126" t="str">
        <f>VLOOKUP(Table2[[#This Row],[AgentID]],Sales_Agents!$A$1:C129,3)</f>
        <v>South</v>
      </c>
    </row>
    <row r="127" spans="1:14" x14ac:dyDescent="0.25">
      <c r="A127">
        <v>126</v>
      </c>
      <c r="B127" s="1">
        <v>45343</v>
      </c>
      <c r="C127" s="8" t="str">
        <f>TEXT(Table2[[#This Row],[OrderDate]],"mmm")</f>
        <v>Feb</v>
      </c>
      <c r="D127">
        <v>4</v>
      </c>
      <c r="E127">
        <v>1</v>
      </c>
      <c r="F127">
        <v>12</v>
      </c>
      <c r="G127" s="3">
        <v>164989</v>
      </c>
      <c r="H127" s="3">
        <f t="shared" si="2"/>
        <v>1979868</v>
      </c>
      <c r="I127" s="5">
        <f>Table2[[#This Row],[Total Revenue]]*0.3</f>
        <v>593960.4</v>
      </c>
      <c r="J127" s="6">
        <f t="shared" si="3"/>
        <v>0.3</v>
      </c>
      <c r="K127" t="str">
        <f>VLOOKUP(Table2[[#This Row],[ProductID]],Products!$A$1:C131,2)</f>
        <v>Printer</v>
      </c>
      <c r="L127" t="str">
        <f>VLOOKUP(D127,Products!$A$1:C131,3)</f>
        <v>Accessories</v>
      </c>
      <c r="M127" t="str">
        <f>VLOOKUP(Table2[[#This Row],[AgentID]],Sales_Agents!$A$1:C130,2)</f>
        <v>Akin</v>
      </c>
      <c r="N127" t="str">
        <f>VLOOKUP(Table2[[#This Row],[AgentID]],Sales_Agents!$A$1:C130,3)</f>
        <v>West</v>
      </c>
    </row>
    <row r="128" spans="1:14" x14ac:dyDescent="0.25">
      <c r="A128">
        <v>127</v>
      </c>
      <c r="B128" s="1">
        <v>45359</v>
      </c>
      <c r="C128" s="8" t="str">
        <f>TEXT(Table2[[#This Row],[OrderDate]],"mmm")</f>
        <v>Mar</v>
      </c>
      <c r="D128">
        <v>5</v>
      </c>
      <c r="E128">
        <v>4</v>
      </c>
      <c r="F128">
        <v>20</v>
      </c>
      <c r="G128" s="3">
        <v>116024</v>
      </c>
      <c r="H128" s="3">
        <f t="shared" si="2"/>
        <v>2320480</v>
      </c>
      <c r="I128" s="5">
        <f>Table2[[#This Row],[Total Revenue]]*0.3</f>
        <v>696144</v>
      </c>
      <c r="J128" s="6">
        <f t="shared" si="3"/>
        <v>0.3</v>
      </c>
      <c r="K128" t="str">
        <f>VLOOKUP(Table2[[#This Row],[ProductID]],Products!$A$1:C132,2)</f>
        <v>Monitor</v>
      </c>
      <c r="L128" t="str">
        <f>VLOOKUP(D128,Products!$A$1:C132,3)</f>
        <v>Accessories</v>
      </c>
      <c r="M128" t="str">
        <f>VLOOKUP(Table2[[#This Row],[AgentID]],Sales_Agents!$A$1:C131,2)</f>
        <v>Zainab</v>
      </c>
      <c r="N128" t="str">
        <f>VLOOKUP(Table2[[#This Row],[AgentID]],Sales_Agents!$A$1:C131,3)</f>
        <v>North</v>
      </c>
    </row>
    <row r="129" spans="1:14" x14ac:dyDescent="0.25">
      <c r="A129">
        <v>128</v>
      </c>
      <c r="B129" s="1">
        <v>45312</v>
      </c>
      <c r="C129" s="8" t="str">
        <f>TEXT(Table2[[#This Row],[OrderDate]],"mmm")</f>
        <v>Jan</v>
      </c>
      <c r="D129">
        <v>3</v>
      </c>
      <c r="E129">
        <v>3</v>
      </c>
      <c r="F129">
        <v>5</v>
      </c>
      <c r="G129" s="3">
        <v>270339</v>
      </c>
      <c r="H129" s="3">
        <f t="shared" si="2"/>
        <v>1351695</v>
      </c>
      <c r="I129" s="5">
        <f>Table2[[#This Row],[Total Revenue]]*0.3</f>
        <v>405508.5</v>
      </c>
      <c r="J129" s="6">
        <f t="shared" si="3"/>
        <v>0.3</v>
      </c>
      <c r="K129" t="str">
        <f>VLOOKUP(Table2[[#This Row],[ProductID]],Products!$A$1:C133,2)</f>
        <v>Tablet</v>
      </c>
      <c r="L129" t="str">
        <f>VLOOKUP(D129,Products!$A$1:C133,3)</f>
        <v>Electronics</v>
      </c>
      <c r="M129" t="str">
        <f>VLOOKUP(Table2[[#This Row],[AgentID]],Sales_Agents!$A$1:C132,2)</f>
        <v>Chinedu</v>
      </c>
      <c r="N129" t="str">
        <f>VLOOKUP(Table2[[#This Row],[AgentID]],Sales_Agents!$A$1:C132,3)</f>
        <v>South</v>
      </c>
    </row>
    <row r="130" spans="1:14" x14ac:dyDescent="0.25">
      <c r="A130">
        <v>129</v>
      </c>
      <c r="B130" s="1">
        <v>45413</v>
      </c>
      <c r="C130" s="8" t="str">
        <f>TEXT(Table2[[#This Row],[OrderDate]],"mmm")</f>
        <v>May</v>
      </c>
      <c r="D130">
        <v>2</v>
      </c>
      <c r="E130">
        <v>3</v>
      </c>
      <c r="F130">
        <v>19</v>
      </c>
      <c r="G130" s="3">
        <v>378878</v>
      </c>
      <c r="H130" s="3">
        <f t="shared" ref="H130:H193" si="4">G130*F130</f>
        <v>7198682</v>
      </c>
      <c r="I130" s="5">
        <f>Table2[[#This Row],[Total Revenue]]*0.3</f>
        <v>2159604.6</v>
      </c>
      <c r="J130" s="6">
        <f t="shared" ref="J130:J193" si="5">I130/H130</f>
        <v>0.3</v>
      </c>
      <c r="K130" t="str">
        <f>VLOOKUP(Table2[[#This Row],[ProductID]],Products!$A$1:C134,2)</f>
        <v>Phone</v>
      </c>
      <c r="L130" t="str">
        <f>VLOOKUP(D130,Products!$A$1:C134,3)</f>
        <v>Electronics</v>
      </c>
      <c r="M130" t="str">
        <f>VLOOKUP(Table2[[#This Row],[AgentID]],Sales_Agents!$A$1:C133,2)</f>
        <v>Chinedu</v>
      </c>
      <c r="N130" t="str">
        <f>VLOOKUP(Table2[[#This Row],[AgentID]],Sales_Agents!$A$1:C133,3)</f>
        <v>South</v>
      </c>
    </row>
    <row r="131" spans="1:14" x14ac:dyDescent="0.25">
      <c r="A131">
        <v>130</v>
      </c>
      <c r="B131" s="1">
        <v>45520</v>
      </c>
      <c r="C131" s="8" t="str">
        <f>TEXT(Table2[[#This Row],[OrderDate]],"mmm")</f>
        <v>Aug</v>
      </c>
      <c r="D131">
        <v>2</v>
      </c>
      <c r="E131">
        <v>3</v>
      </c>
      <c r="F131">
        <v>12</v>
      </c>
      <c r="G131" s="3">
        <v>390403</v>
      </c>
      <c r="H131" s="3">
        <f t="shared" si="4"/>
        <v>4684836</v>
      </c>
      <c r="I131" s="5">
        <f>Table2[[#This Row],[Total Revenue]]*0.3</f>
        <v>1405450.8</v>
      </c>
      <c r="J131" s="6">
        <f t="shared" si="5"/>
        <v>0.3</v>
      </c>
      <c r="K131" t="str">
        <f>VLOOKUP(Table2[[#This Row],[ProductID]],Products!$A$1:C135,2)</f>
        <v>Phone</v>
      </c>
      <c r="L131" t="str">
        <f>VLOOKUP(D131,Products!$A$1:C135,3)</f>
        <v>Electronics</v>
      </c>
      <c r="M131" t="str">
        <f>VLOOKUP(Table2[[#This Row],[AgentID]],Sales_Agents!$A$1:C134,2)</f>
        <v>Chinedu</v>
      </c>
      <c r="N131" t="str">
        <f>VLOOKUP(Table2[[#This Row],[AgentID]],Sales_Agents!$A$1:C134,3)</f>
        <v>South</v>
      </c>
    </row>
    <row r="132" spans="1:14" x14ac:dyDescent="0.25">
      <c r="A132">
        <v>131</v>
      </c>
      <c r="B132" s="1">
        <v>45528</v>
      </c>
      <c r="C132" s="8" t="str">
        <f>TEXT(Table2[[#This Row],[OrderDate]],"mmm")</f>
        <v>Aug</v>
      </c>
      <c r="D132">
        <v>5</v>
      </c>
      <c r="E132">
        <v>3</v>
      </c>
      <c r="F132">
        <v>7</v>
      </c>
      <c r="G132" s="3">
        <v>243986</v>
      </c>
      <c r="H132" s="3">
        <f t="shared" si="4"/>
        <v>1707902</v>
      </c>
      <c r="I132" s="5">
        <f>Table2[[#This Row],[Total Revenue]]*0.3</f>
        <v>512370.6</v>
      </c>
      <c r="J132" s="6">
        <f t="shared" si="5"/>
        <v>0.3</v>
      </c>
      <c r="K132" t="str">
        <f>VLOOKUP(Table2[[#This Row],[ProductID]],Products!$A$1:C136,2)</f>
        <v>Monitor</v>
      </c>
      <c r="L132" t="str">
        <f>VLOOKUP(D132,Products!$A$1:C136,3)</f>
        <v>Accessories</v>
      </c>
      <c r="M132" t="str">
        <f>VLOOKUP(Table2[[#This Row],[AgentID]],Sales_Agents!$A$1:C135,2)</f>
        <v>Chinedu</v>
      </c>
      <c r="N132" t="str">
        <f>VLOOKUP(Table2[[#This Row],[AgentID]],Sales_Agents!$A$1:C135,3)</f>
        <v>South</v>
      </c>
    </row>
    <row r="133" spans="1:14" x14ac:dyDescent="0.25">
      <c r="A133">
        <v>132</v>
      </c>
      <c r="B133" s="1">
        <v>45339</v>
      </c>
      <c r="C133" s="8" t="str">
        <f>TEXT(Table2[[#This Row],[OrderDate]],"mmm")</f>
        <v>Feb</v>
      </c>
      <c r="D133">
        <v>1</v>
      </c>
      <c r="E133">
        <v>1</v>
      </c>
      <c r="F133">
        <v>1</v>
      </c>
      <c r="G133" s="3">
        <v>391577</v>
      </c>
      <c r="H133" s="3">
        <f t="shared" si="4"/>
        <v>391577</v>
      </c>
      <c r="I133" s="5">
        <f>Table2[[#This Row],[Total Revenue]]*0.3</f>
        <v>117473.09999999999</v>
      </c>
      <c r="J133" s="6">
        <f t="shared" si="5"/>
        <v>0.3</v>
      </c>
      <c r="K133" t="str">
        <f>VLOOKUP(Table2[[#This Row],[ProductID]],Products!$A$1:C137,2)</f>
        <v>Laptop</v>
      </c>
      <c r="L133" t="str">
        <f>VLOOKUP(D133,Products!$A$1:C137,3)</f>
        <v>Electronics</v>
      </c>
      <c r="M133" t="str">
        <f>VLOOKUP(Table2[[#This Row],[AgentID]],Sales_Agents!$A$1:C136,2)</f>
        <v>Akin</v>
      </c>
      <c r="N133" t="str">
        <f>VLOOKUP(Table2[[#This Row],[AgentID]],Sales_Agents!$A$1:C136,3)</f>
        <v>West</v>
      </c>
    </row>
    <row r="134" spans="1:14" x14ac:dyDescent="0.25">
      <c r="A134">
        <v>133</v>
      </c>
      <c r="B134" s="1">
        <v>45523</v>
      </c>
      <c r="C134" s="8" t="str">
        <f>TEXT(Table2[[#This Row],[OrderDate]],"mmm")</f>
        <v>Aug</v>
      </c>
      <c r="D134">
        <v>3</v>
      </c>
      <c r="E134">
        <v>3</v>
      </c>
      <c r="F134">
        <v>4</v>
      </c>
      <c r="G134" s="3">
        <v>172792</v>
      </c>
      <c r="H134" s="3">
        <f t="shared" si="4"/>
        <v>691168</v>
      </c>
      <c r="I134" s="5">
        <f>Table2[[#This Row],[Total Revenue]]*0.3</f>
        <v>207350.39999999999</v>
      </c>
      <c r="J134" s="6">
        <f t="shared" si="5"/>
        <v>0.3</v>
      </c>
      <c r="K134" t="str">
        <f>VLOOKUP(Table2[[#This Row],[ProductID]],Products!$A$1:C138,2)</f>
        <v>Tablet</v>
      </c>
      <c r="L134" t="str">
        <f>VLOOKUP(D134,Products!$A$1:C138,3)</f>
        <v>Electronics</v>
      </c>
      <c r="M134" t="str">
        <f>VLOOKUP(Table2[[#This Row],[AgentID]],Sales_Agents!$A$1:C137,2)</f>
        <v>Chinedu</v>
      </c>
      <c r="N134" t="str">
        <f>VLOOKUP(Table2[[#This Row],[AgentID]],Sales_Agents!$A$1:C137,3)</f>
        <v>South</v>
      </c>
    </row>
    <row r="135" spans="1:14" x14ac:dyDescent="0.25">
      <c r="A135">
        <v>134</v>
      </c>
      <c r="B135" s="1">
        <v>45292</v>
      </c>
      <c r="C135" s="8" t="str">
        <f>TEXT(Table2[[#This Row],[OrderDate]],"mmm")</f>
        <v>Jan</v>
      </c>
      <c r="D135">
        <v>2</v>
      </c>
      <c r="E135">
        <v>3</v>
      </c>
      <c r="F135">
        <v>19</v>
      </c>
      <c r="G135" s="3">
        <v>265225</v>
      </c>
      <c r="H135" s="3">
        <f t="shared" si="4"/>
        <v>5039275</v>
      </c>
      <c r="I135" s="5">
        <f>Table2[[#This Row],[Total Revenue]]*0.3</f>
        <v>1511782.5</v>
      </c>
      <c r="J135" s="6">
        <f t="shared" si="5"/>
        <v>0.3</v>
      </c>
      <c r="K135" t="str">
        <f>VLOOKUP(Table2[[#This Row],[ProductID]],Products!$A$1:C139,2)</f>
        <v>Phone</v>
      </c>
      <c r="L135" t="str">
        <f>VLOOKUP(D135,Products!$A$1:C139,3)</f>
        <v>Electronics</v>
      </c>
      <c r="M135" t="str">
        <f>VLOOKUP(Table2[[#This Row],[AgentID]],Sales_Agents!$A$1:C138,2)</f>
        <v>Chinedu</v>
      </c>
      <c r="N135" t="str">
        <f>VLOOKUP(Table2[[#This Row],[AgentID]],Sales_Agents!$A$1:C138,3)</f>
        <v>South</v>
      </c>
    </row>
    <row r="136" spans="1:14" x14ac:dyDescent="0.25">
      <c r="A136">
        <v>135</v>
      </c>
      <c r="B136" s="1">
        <v>45452</v>
      </c>
      <c r="C136" s="8" t="str">
        <f>TEXT(Table2[[#This Row],[OrderDate]],"mmm")</f>
        <v>Jun</v>
      </c>
      <c r="D136">
        <v>5</v>
      </c>
      <c r="E136">
        <v>3</v>
      </c>
      <c r="F136">
        <v>17</v>
      </c>
      <c r="G136" s="3">
        <v>262722</v>
      </c>
      <c r="H136" s="3">
        <f t="shared" si="4"/>
        <v>4466274</v>
      </c>
      <c r="I136" s="5">
        <f>Table2[[#This Row],[Total Revenue]]*0.3</f>
        <v>1339882.2</v>
      </c>
      <c r="J136" s="6">
        <f t="shared" si="5"/>
        <v>0.3</v>
      </c>
      <c r="K136" t="str">
        <f>VLOOKUP(Table2[[#This Row],[ProductID]],Products!$A$1:C140,2)</f>
        <v>Monitor</v>
      </c>
      <c r="L136" t="str">
        <f>VLOOKUP(D136,Products!$A$1:C140,3)</f>
        <v>Accessories</v>
      </c>
      <c r="M136" t="str">
        <f>VLOOKUP(Table2[[#This Row],[AgentID]],Sales_Agents!$A$1:C139,2)</f>
        <v>Chinedu</v>
      </c>
      <c r="N136" t="str">
        <f>VLOOKUP(Table2[[#This Row],[AgentID]],Sales_Agents!$A$1:C139,3)</f>
        <v>South</v>
      </c>
    </row>
    <row r="137" spans="1:14" x14ac:dyDescent="0.25">
      <c r="A137">
        <v>136</v>
      </c>
      <c r="B137" s="1">
        <v>45548</v>
      </c>
      <c r="C137" s="8" t="str">
        <f>TEXT(Table2[[#This Row],[OrderDate]],"mmm")</f>
        <v>Sept</v>
      </c>
      <c r="D137">
        <v>4</v>
      </c>
      <c r="E137">
        <v>4</v>
      </c>
      <c r="F137">
        <v>3</v>
      </c>
      <c r="G137" s="3">
        <v>183764</v>
      </c>
      <c r="H137" s="3">
        <f t="shared" si="4"/>
        <v>551292</v>
      </c>
      <c r="I137" s="5">
        <f>Table2[[#This Row],[Total Revenue]]*0.3</f>
        <v>165387.6</v>
      </c>
      <c r="J137" s="6">
        <f t="shared" si="5"/>
        <v>0.3</v>
      </c>
      <c r="K137" t="str">
        <f>VLOOKUP(Table2[[#This Row],[ProductID]],Products!$A$1:C141,2)</f>
        <v>Printer</v>
      </c>
      <c r="L137" t="str">
        <f>VLOOKUP(D137,Products!$A$1:C141,3)</f>
        <v>Accessories</v>
      </c>
      <c r="M137" t="str">
        <f>VLOOKUP(Table2[[#This Row],[AgentID]],Sales_Agents!$A$1:C140,2)</f>
        <v>Zainab</v>
      </c>
      <c r="N137" t="str">
        <f>VLOOKUP(Table2[[#This Row],[AgentID]],Sales_Agents!$A$1:C140,3)</f>
        <v>North</v>
      </c>
    </row>
    <row r="138" spans="1:14" x14ac:dyDescent="0.25">
      <c r="A138">
        <v>137</v>
      </c>
      <c r="B138" s="1">
        <v>45460</v>
      </c>
      <c r="C138" s="8" t="str">
        <f>TEXT(Table2[[#This Row],[OrderDate]],"mmm")</f>
        <v>Jun</v>
      </c>
      <c r="D138">
        <v>5</v>
      </c>
      <c r="E138">
        <v>3</v>
      </c>
      <c r="F138">
        <v>7</v>
      </c>
      <c r="G138" s="3">
        <v>139226</v>
      </c>
      <c r="H138" s="3">
        <f t="shared" si="4"/>
        <v>974582</v>
      </c>
      <c r="I138" s="5">
        <f>Table2[[#This Row],[Total Revenue]]*0.3</f>
        <v>292374.59999999998</v>
      </c>
      <c r="J138" s="6">
        <f t="shared" si="5"/>
        <v>0.3</v>
      </c>
      <c r="K138" t="str">
        <f>VLOOKUP(Table2[[#This Row],[ProductID]],Products!$A$1:C142,2)</f>
        <v>Monitor</v>
      </c>
      <c r="L138" t="str">
        <f>VLOOKUP(D138,Products!$A$1:C142,3)</f>
        <v>Accessories</v>
      </c>
      <c r="M138" t="str">
        <f>VLOOKUP(Table2[[#This Row],[AgentID]],Sales_Agents!$A$1:C141,2)</f>
        <v>Chinedu</v>
      </c>
      <c r="N138" t="str">
        <f>VLOOKUP(Table2[[#This Row],[AgentID]],Sales_Agents!$A$1:C141,3)</f>
        <v>South</v>
      </c>
    </row>
    <row r="139" spans="1:14" x14ac:dyDescent="0.25">
      <c r="A139">
        <v>138</v>
      </c>
      <c r="B139" s="1">
        <v>45396</v>
      </c>
      <c r="C139" s="8" t="str">
        <f>TEXT(Table2[[#This Row],[OrderDate]],"mmm")</f>
        <v>Apr</v>
      </c>
      <c r="D139">
        <v>3</v>
      </c>
      <c r="E139">
        <v>2</v>
      </c>
      <c r="F139">
        <v>12</v>
      </c>
      <c r="G139" s="3">
        <v>313885</v>
      </c>
      <c r="H139" s="3">
        <f t="shared" si="4"/>
        <v>3766620</v>
      </c>
      <c r="I139" s="5">
        <f>Table2[[#This Row],[Total Revenue]]*0.3</f>
        <v>1129986</v>
      </c>
      <c r="J139" s="6">
        <f t="shared" si="5"/>
        <v>0.3</v>
      </c>
      <c r="K139" t="str">
        <f>VLOOKUP(Table2[[#This Row],[ProductID]],Products!$A$1:C143,2)</f>
        <v>Tablet</v>
      </c>
      <c r="L139" t="str">
        <f>VLOOKUP(D139,Products!$A$1:C143,3)</f>
        <v>Electronics</v>
      </c>
      <c r="M139" t="str">
        <f>VLOOKUP(Table2[[#This Row],[AgentID]],Sales_Agents!$A$1:C142,2)</f>
        <v>Blessing</v>
      </c>
      <c r="N139" t="str">
        <f>VLOOKUP(Table2[[#This Row],[AgentID]],Sales_Agents!$A$1:C142,3)</f>
        <v>East</v>
      </c>
    </row>
    <row r="140" spans="1:14" x14ac:dyDescent="0.25">
      <c r="A140">
        <v>139</v>
      </c>
      <c r="B140" s="1">
        <v>45592</v>
      </c>
      <c r="C140" s="8" t="str">
        <f>TEXT(Table2[[#This Row],[OrderDate]],"mmm")</f>
        <v>Oct</v>
      </c>
      <c r="D140">
        <v>2</v>
      </c>
      <c r="E140">
        <v>4</v>
      </c>
      <c r="F140">
        <v>4</v>
      </c>
      <c r="G140" s="3">
        <v>229522</v>
      </c>
      <c r="H140" s="3">
        <f t="shared" si="4"/>
        <v>918088</v>
      </c>
      <c r="I140" s="5">
        <f>Table2[[#This Row],[Total Revenue]]*0.3</f>
        <v>275426.39999999997</v>
      </c>
      <c r="J140" s="6">
        <f t="shared" si="5"/>
        <v>0.3</v>
      </c>
      <c r="K140" t="str">
        <f>VLOOKUP(Table2[[#This Row],[ProductID]],Products!$A$1:C144,2)</f>
        <v>Phone</v>
      </c>
      <c r="L140" t="str">
        <f>VLOOKUP(D140,Products!$A$1:C144,3)</f>
        <v>Electronics</v>
      </c>
      <c r="M140" t="str">
        <f>VLOOKUP(Table2[[#This Row],[AgentID]],Sales_Agents!$A$1:C143,2)</f>
        <v>Zainab</v>
      </c>
      <c r="N140" t="str">
        <f>VLOOKUP(Table2[[#This Row],[AgentID]],Sales_Agents!$A$1:C143,3)</f>
        <v>North</v>
      </c>
    </row>
    <row r="141" spans="1:14" x14ac:dyDescent="0.25">
      <c r="A141">
        <v>140</v>
      </c>
      <c r="B141" s="1">
        <v>45612</v>
      </c>
      <c r="C141" s="8" t="str">
        <f>TEXT(Table2[[#This Row],[OrderDate]],"mmm")</f>
        <v>Nov</v>
      </c>
      <c r="D141">
        <v>2</v>
      </c>
      <c r="E141">
        <v>4</v>
      </c>
      <c r="F141">
        <v>16</v>
      </c>
      <c r="G141" s="3">
        <v>255972</v>
      </c>
      <c r="H141" s="3">
        <f t="shared" si="4"/>
        <v>4095552</v>
      </c>
      <c r="I141" s="5">
        <f>Table2[[#This Row],[Total Revenue]]*0.3</f>
        <v>1228665.5999999999</v>
      </c>
      <c r="J141" s="6">
        <f t="shared" si="5"/>
        <v>0.3</v>
      </c>
      <c r="K141" t="str">
        <f>VLOOKUP(Table2[[#This Row],[ProductID]],Products!$A$1:C145,2)</f>
        <v>Phone</v>
      </c>
      <c r="L141" t="str">
        <f>VLOOKUP(D141,Products!$A$1:C145,3)</f>
        <v>Electronics</v>
      </c>
      <c r="M141" t="str">
        <f>VLOOKUP(Table2[[#This Row],[AgentID]],Sales_Agents!$A$1:C144,2)</f>
        <v>Zainab</v>
      </c>
      <c r="N141" t="str">
        <f>VLOOKUP(Table2[[#This Row],[AgentID]],Sales_Agents!$A$1:C144,3)</f>
        <v>North</v>
      </c>
    </row>
    <row r="142" spans="1:14" x14ac:dyDescent="0.25">
      <c r="A142">
        <v>141</v>
      </c>
      <c r="B142" s="1">
        <v>45319</v>
      </c>
      <c r="C142" s="8" t="str">
        <f>TEXT(Table2[[#This Row],[OrderDate]],"mmm")</f>
        <v>Jan</v>
      </c>
      <c r="D142">
        <v>4</v>
      </c>
      <c r="E142">
        <v>2</v>
      </c>
      <c r="F142">
        <v>2</v>
      </c>
      <c r="G142" s="3">
        <v>319719</v>
      </c>
      <c r="H142" s="3">
        <f t="shared" si="4"/>
        <v>639438</v>
      </c>
      <c r="I142" s="5">
        <f>Table2[[#This Row],[Total Revenue]]*0.3</f>
        <v>191831.4</v>
      </c>
      <c r="J142" s="6">
        <f t="shared" si="5"/>
        <v>0.3</v>
      </c>
      <c r="K142" t="str">
        <f>VLOOKUP(Table2[[#This Row],[ProductID]],Products!$A$1:C146,2)</f>
        <v>Printer</v>
      </c>
      <c r="L142" t="str">
        <f>VLOOKUP(D142,Products!$A$1:C146,3)</f>
        <v>Accessories</v>
      </c>
      <c r="M142" t="str">
        <f>VLOOKUP(Table2[[#This Row],[AgentID]],Sales_Agents!$A$1:C145,2)</f>
        <v>Blessing</v>
      </c>
      <c r="N142" t="str">
        <f>VLOOKUP(Table2[[#This Row],[AgentID]],Sales_Agents!$A$1:C145,3)</f>
        <v>East</v>
      </c>
    </row>
    <row r="143" spans="1:14" x14ac:dyDescent="0.25">
      <c r="A143">
        <v>142</v>
      </c>
      <c r="B143" s="1">
        <v>45467</v>
      </c>
      <c r="C143" s="8" t="str">
        <f>TEXT(Table2[[#This Row],[OrderDate]],"mmm")</f>
        <v>Jun</v>
      </c>
      <c r="D143">
        <v>1</v>
      </c>
      <c r="E143">
        <v>2</v>
      </c>
      <c r="F143">
        <v>13</v>
      </c>
      <c r="G143" s="3">
        <v>296161</v>
      </c>
      <c r="H143" s="3">
        <f t="shared" si="4"/>
        <v>3850093</v>
      </c>
      <c r="I143" s="5">
        <f>Table2[[#This Row],[Total Revenue]]*0.3</f>
        <v>1155027.8999999999</v>
      </c>
      <c r="J143" s="6">
        <f t="shared" si="5"/>
        <v>0.3</v>
      </c>
      <c r="K143" t="str">
        <f>VLOOKUP(Table2[[#This Row],[ProductID]],Products!$A$1:C147,2)</f>
        <v>Laptop</v>
      </c>
      <c r="L143" t="str">
        <f>VLOOKUP(D143,Products!$A$1:C147,3)</f>
        <v>Electronics</v>
      </c>
      <c r="M143" t="str">
        <f>VLOOKUP(Table2[[#This Row],[AgentID]],Sales_Agents!$A$1:C146,2)</f>
        <v>Blessing</v>
      </c>
      <c r="N143" t="str">
        <f>VLOOKUP(Table2[[#This Row],[AgentID]],Sales_Agents!$A$1:C146,3)</f>
        <v>East</v>
      </c>
    </row>
    <row r="144" spans="1:14" x14ac:dyDescent="0.25">
      <c r="A144">
        <v>143</v>
      </c>
      <c r="B144" s="1">
        <v>45456</v>
      </c>
      <c r="C144" s="8" t="str">
        <f>TEXT(Table2[[#This Row],[OrderDate]],"mmm")</f>
        <v>Jun</v>
      </c>
      <c r="D144">
        <v>1</v>
      </c>
      <c r="E144">
        <v>2</v>
      </c>
      <c r="F144">
        <v>11</v>
      </c>
      <c r="G144" s="3">
        <v>76622</v>
      </c>
      <c r="H144" s="3">
        <f t="shared" si="4"/>
        <v>842842</v>
      </c>
      <c r="I144" s="5">
        <f>Table2[[#This Row],[Total Revenue]]*0.3</f>
        <v>252852.59999999998</v>
      </c>
      <c r="J144" s="6">
        <f t="shared" si="5"/>
        <v>0.3</v>
      </c>
      <c r="K144" t="str">
        <f>VLOOKUP(Table2[[#This Row],[ProductID]],Products!$A$1:C148,2)</f>
        <v>Laptop</v>
      </c>
      <c r="L144" t="str">
        <f>VLOOKUP(D144,Products!$A$1:C148,3)</f>
        <v>Electronics</v>
      </c>
      <c r="M144" t="str">
        <f>VLOOKUP(Table2[[#This Row],[AgentID]],Sales_Agents!$A$1:C147,2)</f>
        <v>Blessing</v>
      </c>
      <c r="N144" t="str">
        <f>VLOOKUP(Table2[[#This Row],[AgentID]],Sales_Agents!$A$1:C147,3)</f>
        <v>East</v>
      </c>
    </row>
    <row r="145" spans="1:14" x14ac:dyDescent="0.25">
      <c r="A145">
        <v>144</v>
      </c>
      <c r="B145" s="1">
        <v>45391</v>
      </c>
      <c r="C145" s="8" t="str">
        <f>TEXT(Table2[[#This Row],[OrderDate]],"mmm")</f>
        <v>Apr</v>
      </c>
      <c r="D145">
        <v>1</v>
      </c>
      <c r="E145">
        <v>2</v>
      </c>
      <c r="F145">
        <v>8</v>
      </c>
      <c r="G145" s="3">
        <v>52305</v>
      </c>
      <c r="H145" s="3">
        <f t="shared" si="4"/>
        <v>418440</v>
      </c>
      <c r="I145" s="5">
        <f>Table2[[#This Row],[Total Revenue]]*0.3</f>
        <v>125532</v>
      </c>
      <c r="J145" s="6">
        <f t="shared" si="5"/>
        <v>0.3</v>
      </c>
      <c r="K145" t="str">
        <f>VLOOKUP(Table2[[#This Row],[ProductID]],Products!$A$1:C149,2)</f>
        <v>Laptop</v>
      </c>
      <c r="L145" t="str">
        <f>VLOOKUP(D145,Products!$A$1:C149,3)</f>
        <v>Electronics</v>
      </c>
      <c r="M145" t="str">
        <f>VLOOKUP(Table2[[#This Row],[AgentID]],Sales_Agents!$A$1:C148,2)</f>
        <v>Blessing</v>
      </c>
      <c r="N145" t="str">
        <f>VLOOKUP(Table2[[#This Row],[AgentID]],Sales_Agents!$A$1:C148,3)</f>
        <v>East</v>
      </c>
    </row>
    <row r="146" spans="1:14" x14ac:dyDescent="0.25">
      <c r="A146">
        <v>145</v>
      </c>
      <c r="B146" s="1">
        <v>45507</v>
      </c>
      <c r="C146" s="8" t="str">
        <f>TEXT(Table2[[#This Row],[OrderDate]],"mmm")</f>
        <v>Aug</v>
      </c>
      <c r="D146">
        <v>1</v>
      </c>
      <c r="E146">
        <v>4</v>
      </c>
      <c r="F146">
        <v>6</v>
      </c>
      <c r="G146" s="3">
        <v>260211</v>
      </c>
      <c r="H146" s="3">
        <f t="shared" si="4"/>
        <v>1561266</v>
      </c>
      <c r="I146" s="5">
        <f>Table2[[#This Row],[Total Revenue]]*0.3</f>
        <v>468379.8</v>
      </c>
      <c r="J146" s="6">
        <f t="shared" si="5"/>
        <v>0.3</v>
      </c>
      <c r="K146" t="str">
        <f>VLOOKUP(Table2[[#This Row],[ProductID]],Products!$A$1:C150,2)</f>
        <v>Laptop</v>
      </c>
      <c r="L146" t="str">
        <f>VLOOKUP(D146,Products!$A$1:C150,3)</f>
        <v>Electronics</v>
      </c>
      <c r="M146" t="str">
        <f>VLOOKUP(Table2[[#This Row],[AgentID]],Sales_Agents!$A$1:C149,2)</f>
        <v>Zainab</v>
      </c>
      <c r="N146" t="str">
        <f>VLOOKUP(Table2[[#This Row],[AgentID]],Sales_Agents!$A$1:C149,3)</f>
        <v>North</v>
      </c>
    </row>
    <row r="147" spans="1:14" x14ac:dyDescent="0.25">
      <c r="A147">
        <v>146</v>
      </c>
      <c r="B147" s="1">
        <v>45325</v>
      </c>
      <c r="C147" s="8" t="str">
        <f>TEXT(Table2[[#This Row],[OrderDate]],"mmm")</f>
        <v>Feb</v>
      </c>
      <c r="D147">
        <v>5</v>
      </c>
      <c r="E147">
        <v>2</v>
      </c>
      <c r="F147">
        <v>1</v>
      </c>
      <c r="G147" s="3">
        <v>193718</v>
      </c>
      <c r="H147" s="3">
        <f t="shared" si="4"/>
        <v>193718</v>
      </c>
      <c r="I147" s="5">
        <f>Table2[[#This Row],[Total Revenue]]*0.3</f>
        <v>58115.4</v>
      </c>
      <c r="J147" s="6">
        <f t="shared" si="5"/>
        <v>0.3</v>
      </c>
      <c r="K147" t="str">
        <f>VLOOKUP(Table2[[#This Row],[ProductID]],Products!$A$1:C151,2)</f>
        <v>Monitor</v>
      </c>
      <c r="L147" t="str">
        <f>VLOOKUP(D147,Products!$A$1:C151,3)</f>
        <v>Accessories</v>
      </c>
      <c r="M147" t="str">
        <f>VLOOKUP(Table2[[#This Row],[AgentID]],Sales_Agents!$A$1:C150,2)</f>
        <v>Blessing</v>
      </c>
      <c r="N147" t="str">
        <f>VLOOKUP(Table2[[#This Row],[AgentID]],Sales_Agents!$A$1:C150,3)</f>
        <v>East</v>
      </c>
    </row>
    <row r="148" spans="1:14" x14ac:dyDescent="0.25">
      <c r="A148">
        <v>147</v>
      </c>
      <c r="B148" s="1">
        <v>45293</v>
      </c>
      <c r="C148" s="8" t="str">
        <f>TEXT(Table2[[#This Row],[OrderDate]],"mmm")</f>
        <v>Jan</v>
      </c>
      <c r="D148">
        <v>5</v>
      </c>
      <c r="E148">
        <v>2</v>
      </c>
      <c r="F148">
        <v>16</v>
      </c>
      <c r="G148" s="3">
        <v>291870</v>
      </c>
      <c r="H148" s="3">
        <f t="shared" si="4"/>
        <v>4669920</v>
      </c>
      <c r="I148" s="5">
        <f>Table2[[#This Row],[Total Revenue]]*0.3</f>
        <v>1400976</v>
      </c>
      <c r="J148" s="6">
        <f t="shared" si="5"/>
        <v>0.3</v>
      </c>
      <c r="K148" t="str">
        <f>VLOOKUP(Table2[[#This Row],[ProductID]],Products!$A$1:C152,2)</f>
        <v>Monitor</v>
      </c>
      <c r="L148" t="str">
        <f>VLOOKUP(D148,Products!$A$1:C152,3)</f>
        <v>Accessories</v>
      </c>
      <c r="M148" t="str">
        <f>VLOOKUP(Table2[[#This Row],[AgentID]],Sales_Agents!$A$1:C151,2)</f>
        <v>Blessing</v>
      </c>
      <c r="N148" t="str">
        <f>VLOOKUP(Table2[[#This Row],[AgentID]],Sales_Agents!$A$1:C151,3)</f>
        <v>East</v>
      </c>
    </row>
    <row r="149" spans="1:14" x14ac:dyDescent="0.25">
      <c r="A149">
        <v>148</v>
      </c>
      <c r="B149" s="1">
        <v>45351</v>
      </c>
      <c r="C149" s="8" t="str">
        <f>TEXT(Table2[[#This Row],[OrderDate]],"mmm")</f>
        <v>Feb</v>
      </c>
      <c r="D149">
        <v>3</v>
      </c>
      <c r="E149">
        <v>3</v>
      </c>
      <c r="F149">
        <v>3</v>
      </c>
      <c r="G149" s="3">
        <v>278457</v>
      </c>
      <c r="H149" s="3">
        <f t="shared" si="4"/>
        <v>835371</v>
      </c>
      <c r="I149" s="5">
        <f>Table2[[#This Row],[Total Revenue]]*0.3</f>
        <v>250611.3</v>
      </c>
      <c r="J149" s="6">
        <f t="shared" si="5"/>
        <v>0.3</v>
      </c>
      <c r="K149" t="str">
        <f>VLOOKUP(Table2[[#This Row],[ProductID]],Products!$A$1:C153,2)</f>
        <v>Tablet</v>
      </c>
      <c r="L149" t="str">
        <f>VLOOKUP(D149,Products!$A$1:C153,3)</f>
        <v>Electronics</v>
      </c>
      <c r="M149" t="str">
        <f>VLOOKUP(Table2[[#This Row],[AgentID]],Sales_Agents!$A$1:C152,2)</f>
        <v>Chinedu</v>
      </c>
      <c r="N149" t="str">
        <f>VLOOKUP(Table2[[#This Row],[AgentID]],Sales_Agents!$A$1:C152,3)</f>
        <v>South</v>
      </c>
    </row>
    <row r="150" spans="1:14" x14ac:dyDescent="0.25">
      <c r="A150">
        <v>149</v>
      </c>
      <c r="B150" s="1">
        <v>45457</v>
      </c>
      <c r="C150" s="8" t="str">
        <f>TEXT(Table2[[#This Row],[OrderDate]],"mmm")</f>
        <v>Jun</v>
      </c>
      <c r="D150">
        <v>4</v>
      </c>
      <c r="E150">
        <v>3</v>
      </c>
      <c r="F150">
        <v>12</v>
      </c>
      <c r="G150" s="3">
        <v>204702</v>
      </c>
      <c r="H150" s="3">
        <f t="shared" si="4"/>
        <v>2456424</v>
      </c>
      <c r="I150" s="5">
        <f>Table2[[#This Row],[Total Revenue]]*0.3</f>
        <v>736927.2</v>
      </c>
      <c r="J150" s="6">
        <f t="shared" si="5"/>
        <v>0.3</v>
      </c>
      <c r="K150" t="str">
        <f>VLOOKUP(Table2[[#This Row],[ProductID]],Products!$A$1:C154,2)</f>
        <v>Printer</v>
      </c>
      <c r="L150" t="str">
        <f>VLOOKUP(D150,Products!$A$1:C154,3)</f>
        <v>Accessories</v>
      </c>
      <c r="M150" t="str">
        <f>VLOOKUP(Table2[[#This Row],[AgentID]],Sales_Agents!$A$1:C153,2)</f>
        <v>Chinedu</v>
      </c>
      <c r="N150" t="str">
        <f>VLOOKUP(Table2[[#This Row],[AgentID]],Sales_Agents!$A$1:C153,3)</f>
        <v>South</v>
      </c>
    </row>
    <row r="151" spans="1:14" x14ac:dyDescent="0.25">
      <c r="A151">
        <v>150</v>
      </c>
      <c r="B151" s="1">
        <v>45441</v>
      </c>
      <c r="C151" s="8" t="str">
        <f>TEXT(Table2[[#This Row],[OrderDate]],"mmm")</f>
        <v>May</v>
      </c>
      <c r="D151">
        <v>4</v>
      </c>
      <c r="E151">
        <v>3</v>
      </c>
      <c r="F151">
        <v>16</v>
      </c>
      <c r="G151" s="3">
        <v>200956</v>
      </c>
      <c r="H151" s="3">
        <f t="shared" si="4"/>
        <v>3215296</v>
      </c>
      <c r="I151" s="5">
        <f>Table2[[#This Row],[Total Revenue]]*0.3</f>
        <v>964588.79999999993</v>
      </c>
      <c r="J151" s="6">
        <f t="shared" si="5"/>
        <v>0.3</v>
      </c>
      <c r="K151" t="str">
        <f>VLOOKUP(Table2[[#This Row],[ProductID]],Products!$A$1:C155,2)</f>
        <v>Printer</v>
      </c>
      <c r="L151" t="str">
        <f>VLOOKUP(D151,Products!$A$1:C155,3)</f>
        <v>Accessories</v>
      </c>
      <c r="M151" t="str">
        <f>VLOOKUP(Table2[[#This Row],[AgentID]],Sales_Agents!$A$1:C154,2)</f>
        <v>Chinedu</v>
      </c>
      <c r="N151" t="str">
        <f>VLOOKUP(Table2[[#This Row],[AgentID]],Sales_Agents!$A$1:C154,3)</f>
        <v>South</v>
      </c>
    </row>
    <row r="152" spans="1:14" x14ac:dyDescent="0.25">
      <c r="A152">
        <v>151</v>
      </c>
      <c r="B152" s="1">
        <v>45625</v>
      </c>
      <c r="C152" s="8" t="str">
        <f>TEXT(Table2[[#This Row],[OrderDate]],"mmm")</f>
        <v>Nov</v>
      </c>
      <c r="D152">
        <v>2</v>
      </c>
      <c r="E152">
        <v>1</v>
      </c>
      <c r="F152">
        <v>10</v>
      </c>
      <c r="G152" s="3">
        <v>93864</v>
      </c>
      <c r="H152" s="3">
        <f t="shared" si="4"/>
        <v>938640</v>
      </c>
      <c r="I152" s="5">
        <f>Table2[[#This Row],[Total Revenue]]*0.3</f>
        <v>281592</v>
      </c>
      <c r="J152" s="6">
        <f t="shared" si="5"/>
        <v>0.3</v>
      </c>
      <c r="K152" t="str">
        <f>VLOOKUP(Table2[[#This Row],[ProductID]],Products!$A$1:C156,2)</f>
        <v>Phone</v>
      </c>
      <c r="L152" t="str">
        <f>VLOOKUP(D152,Products!$A$1:C156,3)</f>
        <v>Electronics</v>
      </c>
      <c r="M152" t="str">
        <f>VLOOKUP(Table2[[#This Row],[AgentID]],Sales_Agents!$A$1:C155,2)</f>
        <v>Akin</v>
      </c>
      <c r="N152" t="str">
        <f>VLOOKUP(Table2[[#This Row],[AgentID]],Sales_Agents!$A$1:C155,3)</f>
        <v>West</v>
      </c>
    </row>
    <row r="153" spans="1:14" x14ac:dyDescent="0.25">
      <c r="A153">
        <v>152</v>
      </c>
      <c r="B153" s="1">
        <v>45567</v>
      </c>
      <c r="C153" s="8" t="str">
        <f>TEXT(Table2[[#This Row],[OrderDate]],"mmm")</f>
        <v>Oct</v>
      </c>
      <c r="D153">
        <v>4</v>
      </c>
      <c r="E153">
        <v>2</v>
      </c>
      <c r="F153">
        <v>8</v>
      </c>
      <c r="G153" s="3">
        <v>145433</v>
      </c>
      <c r="H153" s="3">
        <f t="shared" si="4"/>
        <v>1163464</v>
      </c>
      <c r="I153" s="5">
        <f>Table2[[#This Row],[Total Revenue]]*0.3</f>
        <v>349039.2</v>
      </c>
      <c r="J153" s="6">
        <f t="shared" si="5"/>
        <v>0.3</v>
      </c>
      <c r="K153" t="str">
        <f>VLOOKUP(Table2[[#This Row],[ProductID]],Products!$A$1:C157,2)</f>
        <v>Printer</v>
      </c>
      <c r="L153" t="str">
        <f>VLOOKUP(D153,Products!$A$1:C157,3)</f>
        <v>Accessories</v>
      </c>
      <c r="M153" t="str">
        <f>VLOOKUP(Table2[[#This Row],[AgentID]],Sales_Agents!$A$1:C156,2)</f>
        <v>Blessing</v>
      </c>
      <c r="N153" t="str">
        <f>VLOOKUP(Table2[[#This Row],[AgentID]],Sales_Agents!$A$1:C156,3)</f>
        <v>East</v>
      </c>
    </row>
    <row r="154" spans="1:14" x14ac:dyDescent="0.25">
      <c r="A154">
        <v>153</v>
      </c>
      <c r="B154" s="1">
        <v>45428</v>
      </c>
      <c r="C154" s="8" t="str">
        <f>TEXT(Table2[[#This Row],[OrderDate]],"mmm")</f>
        <v>May</v>
      </c>
      <c r="D154">
        <v>4</v>
      </c>
      <c r="E154">
        <v>2</v>
      </c>
      <c r="F154">
        <v>3</v>
      </c>
      <c r="G154" s="3">
        <v>258218</v>
      </c>
      <c r="H154" s="3">
        <f t="shared" si="4"/>
        <v>774654</v>
      </c>
      <c r="I154" s="5">
        <f>Table2[[#This Row],[Total Revenue]]*0.3</f>
        <v>232396.19999999998</v>
      </c>
      <c r="J154" s="6">
        <f t="shared" si="5"/>
        <v>0.3</v>
      </c>
      <c r="K154" t="str">
        <f>VLOOKUP(Table2[[#This Row],[ProductID]],Products!$A$1:C158,2)</f>
        <v>Printer</v>
      </c>
      <c r="L154" t="str">
        <f>VLOOKUP(D154,Products!$A$1:C158,3)</f>
        <v>Accessories</v>
      </c>
      <c r="M154" t="str">
        <f>VLOOKUP(Table2[[#This Row],[AgentID]],Sales_Agents!$A$1:C157,2)</f>
        <v>Blessing</v>
      </c>
      <c r="N154" t="str">
        <f>VLOOKUP(Table2[[#This Row],[AgentID]],Sales_Agents!$A$1:C157,3)</f>
        <v>East</v>
      </c>
    </row>
    <row r="155" spans="1:14" x14ac:dyDescent="0.25">
      <c r="A155">
        <v>154</v>
      </c>
      <c r="B155" s="1">
        <v>45392</v>
      </c>
      <c r="C155" s="8" t="str">
        <f>TEXT(Table2[[#This Row],[OrderDate]],"mmm")</f>
        <v>Apr</v>
      </c>
      <c r="D155">
        <v>4</v>
      </c>
      <c r="E155">
        <v>4</v>
      </c>
      <c r="F155">
        <v>9</v>
      </c>
      <c r="G155" s="3">
        <v>87286</v>
      </c>
      <c r="H155" s="3">
        <f t="shared" si="4"/>
        <v>785574</v>
      </c>
      <c r="I155" s="5">
        <f>Table2[[#This Row],[Total Revenue]]*0.3</f>
        <v>235672.19999999998</v>
      </c>
      <c r="J155" s="6">
        <f t="shared" si="5"/>
        <v>0.3</v>
      </c>
      <c r="K155" t="str">
        <f>VLOOKUP(Table2[[#This Row],[ProductID]],Products!$A$1:C159,2)</f>
        <v>Printer</v>
      </c>
      <c r="L155" t="str">
        <f>VLOOKUP(D155,Products!$A$1:C159,3)</f>
        <v>Accessories</v>
      </c>
      <c r="M155" t="str">
        <f>VLOOKUP(Table2[[#This Row],[AgentID]],Sales_Agents!$A$1:C158,2)</f>
        <v>Zainab</v>
      </c>
      <c r="N155" t="str">
        <f>VLOOKUP(Table2[[#This Row],[AgentID]],Sales_Agents!$A$1:C158,3)</f>
        <v>North</v>
      </c>
    </row>
    <row r="156" spans="1:14" x14ac:dyDescent="0.25">
      <c r="A156">
        <v>155</v>
      </c>
      <c r="B156" s="1">
        <v>45476</v>
      </c>
      <c r="C156" s="8" t="str">
        <f>TEXT(Table2[[#This Row],[OrderDate]],"mmm")</f>
        <v>Jul</v>
      </c>
      <c r="D156">
        <v>1</v>
      </c>
      <c r="E156">
        <v>1</v>
      </c>
      <c r="F156">
        <v>10</v>
      </c>
      <c r="G156" s="3">
        <v>285251</v>
      </c>
      <c r="H156" s="3">
        <f t="shared" si="4"/>
        <v>2852510</v>
      </c>
      <c r="I156" s="5">
        <f>Table2[[#This Row],[Total Revenue]]*0.3</f>
        <v>855753</v>
      </c>
      <c r="J156" s="6">
        <f t="shared" si="5"/>
        <v>0.3</v>
      </c>
      <c r="K156" t="str">
        <f>VLOOKUP(Table2[[#This Row],[ProductID]],Products!$A$1:C160,2)</f>
        <v>Laptop</v>
      </c>
      <c r="L156" t="str">
        <f>VLOOKUP(D156,Products!$A$1:C160,3)</f>
        <v>Electronics</v>
      </c>
      <c r="M156" t="str">
        <f>VLOOKUP(Table2[[#This Row],[AgentID]],Sales_Agents!$A$1:C159,2)</f>
        <v>Akin</v>
      </c>
      <c r="N156" t="str">
        <f>VLOOKUP(Table2[[#This Row],[AgentID]],Sales_Agents!$A$1:C159,3)</f>
        <v>West</v>
      </c>
    </row>
    <row r="157" spans="1:14" x14ac:dyDescent="0.25">
      <c r="A157">
        <v>156</v>
      </c>
      <c r="B157" s="1">
        <v>45360</v>
      </c>
      <c r="C157" s="8" t="str">
        <f>TEXT(Table2[[#This Row],[OrderDate]],"mmm")</f>
        <v>Mar</v>
      </c>
      <c r="D157">
        <v>2</v>
      </c>
      <c r="E157">
        <v>1</v>
      </c>
      <c r="F157">
        <v>12</v>
      </c>
      <c r="G157" s="3">
        <v>304530</v>
      </c>
      <c r="H157" s="3">
        <f t="shared" si="4"/>
        <v>3654360</v>
      </c>
      <c r="I157" s="5">
        <f>Table2[[#This Row],[Total Revenue]]*0.3</f>
        <v>1096308</v>
      </c>
      <c r="J157" s="6">
        <f t="shared" si="5"/>
        <v>0.3</v>
      </c>
      <c r="K157" t="str">
        <f>VLOOKUP(Table2[[#This Row],[ProductID]],Products!$A$1:C161,2)</f>
        <v>Phone</v>
      </c>
      <c r="L157" t="str">
        <f>VLOOKUP(D157,Products!$A$1:C161,3)</f>
        <v>Electronics</v>
      </c>
      <c r="M157" t="str">
        <f>VLOOKUP(Table2[[#This Row],[AgentID]],Sales_Agents!$A$1:C160,2)</f>
        <v>Akin</v>
      </c>
      <c r="N157" t="str">
        <f>VLOOKUP(Table2[[#This Row],[AgentID]],Sales_Agents!$A$1:C160,3)</f>
        <v>West</v>
      </c>
    </row>
    <row r="158" spans="1:14" x14ac:dyDescent="0.25">
      <c r="A158">
        <v>157</v>
      </c>
      <c r="B158" s="1">
        <v>45297</v>
      </c>
      <c r="C158" s="8" t="str">
        <f>TEXT(Table2[[#This Row],[OrderDate]],"mmm")</f>
        <v>Jan</v>
      </c>
      <c r="D158">
        <v>4</v>
      </c>
      <c r="E158">
        <v>4</v>
      </c>
      <c r="F158">
        <v>1</v>
      </c>
      <c r="G158" s="3">
        <v>372395</v>
      </c>
      <c r="H158" s="3">
        <f t="shared" si="4"/>
        <v>372395</v>
      </c>
      <c r="I158" s="5">
        <f>Table2[[#This Row],[Total Revenue]]*0.3</f>
        <v>111718.5</v>
      </c>
      <c r="J158" s="6">
        <f t="shared" si="5"/>
        <v>0.3</v>
      </c>
      <c r="K158" t="str">
        <f>VLOOKUP(Table2[[#This Row],[ProductID]],Products!$A$1:C162,2)</f>
        <v>Printer</v>
      </c>
      <c r="L158" t="str">
        <f>VLOOKUP(D158,Products!$A$1:C162,3)</f>
        <v>Accessories</v>
      </c>
      <c r="M158" t="str">
        <f>VLOOKUP(Table2[[#This Row],[AgentID]],Sales_Agents!$A$1:C161,2)</f>
        <v>Zainab</v>
      </c>
      <c r="N158" t="str">
        <f>VLOOKUP(Table2[[#This Row],[AgentID]],Sales_Agents!$A$1:C161,3)</f>
        <v>North</v>
      </c>
    </row>
    <row r="159" spans="1:14" x14ac:dyDescent="0.25">
      <c r="A159">
        <v>158</v>
      </c>
      <c r="B159" s="1">
        <v>45412</v>
      </c>
      <c r="C159" s="8" t="str">
        <f>TEXT(Table2[[#This Row],[OrderDate]],"mmm")</f>
        <v>Apr</v>
      </c>
      <c r="D159">
        <v>4</v>
      </c>
      <c r="E159">
        <v>1</v>
      </c>
      <c r="F159">
        <v>17</v>
      </c>
      <c r="G159" s="3">
        <v>216262</v>
      </c>
      <c r="H159" s="3">
        <f t="shared" si="4"/>
        <v>3676454</v>
      </c>
      <c r="I159" s="5">
        <f>Table2[[#This Row],[Total Revenue]]*0.3</f>
        <v>1102936.2</v>
      </c>
      <c r="J159" s="6">
        <f t="shared" si="5"/>
        <v>0.3</v>
      </c>
      <c r="K159" t="str">
        <f>VLOOKUP(Table2[[#This Row],[ProductID]],Products!$A$1:C163,2)</f>
        <v>Printer</v>
      </c>
      <c r="L159" t="str">
        <f>VLOOKUP(D159,Products!$A$1:C163,3)</f>
        <v>Accessories</v>
      </c>
      <c r="M159" t="str">
        <f>VLOOKUP(Table2[[#This Row],[AgentID]],Sales_Agents!$A$1:C162,2)</f>
        <v>Akin</v>
      </c>
      <c r="N159" t="str">
        <f>VLOOKUP(Table2[[#This Row],[AgentID]],Sales_Agents!$A$1:C162,3)</f>
        <v>West</v>
      </c>
    </row>
    <row r="160" spans="1:14" x14ac:dyDescent="0.25">
      <c r="A160">
        <v>159</v>
      </c>
      <c r="B160" s="1">
        <v>45298</v>
      </c>
      <c r="C160" s="8" t="str">
        <f>TEXT(Table2[[#This Row],[OrderDate]],"mmm")</f>
        <v>Jan</v>
      </c>
      <c r="D160">
        <v>3</v>
      </c>
      <c r="E160">
        <v>4</v>
      </c>
      <c r="F160">
        <v>11</v>
      </c>
      <c r="G160" s="3">
        <v>104775</v>
      </c>
      <c r="H160" s="3">
        <f t="shared" si="4"/>
        <v>1152525</v>
      </c>
      <c r="I160" s="5">
        <f>Table2[[#This Row],[Total Revenue]]*0.3</f>
        <v>345757.5</v>
      </c>
      <c r="J160" s="6">
        <f t="shared" si="5"/>
        <v>0.3</v>
      </c>
      <c r="K160" t="str">
        <f>VLOOKUP(Table2[[#This Row],[ProductID]],Products!$A$1:C164,2)</f>
        <v>Tablet</v>
      </c>
      <c r="L160" t="str">
        <f>VLOOKUP(D160,Products!$A$1:C164,3)</f>
        <v>Electronics</v>
      </c>
      <c r="M160" t="str">
        <f>VLOOKUP(Table2[[#This Row],[AgentID]],Sales_Agents!$A$1:C163,2)</f>
        <v>Zainab</v>
      </c>
      <c r="N160" t="str">
        <f>VLOOKUP(Table2[[#This Row],[AgentID]],Sales_Agents!$A$1:C163,3)</f>
        <v>North</v>
      </c>
    </row>
    <row r="161" spans="1:14" x14ac:dyDescent="0.25">
      <c r="A161">
        <v>160</v>
      </c>
      <c r="B161" s="1">
        <v>45553</v>
      </c>
      <c r="C161" s="8" t="str">
        <f>TEXT(Table2[[#This Row],[OrderDate]],"mmm")</f>
        <v>Sept</v>
      </c>
      <c r="D161">
        <v>1</v>
      </c>
      <c r="E161">
        <v>1</v>
      </c>
      <c r="F161">
        <v>13</v>
      </c>
      <c r="G161" s="3">
        <v>76118</v>
      </c>
      <c r="H161" s="3">
        <f t="shared" si="4"/>
        <v>989534</v>
      </c>
      <c r="I161" s="5">
        <f>Table2[[#This Row],[Total Revenue]]*0.3</f>
        <v>296860.2</v>
      </c>
      <c r="J161" s="6">
        <f t="shared" si="5"/>
        <v>0.3</v>
      </c>
      <c r="K161" t="str">
        <f>VLOOKUP(Table2[[#This Row],[ProductID]],Products!$A$1:C165,2)</f>
        <v>Laptop</v>
      </c>
      <c r="L161" t="str">
        <f>VLOOKUP(D161,Products!$A$1:C165,3)</f>
        <v>Electronics</v>
      </c>
      <c r="M161" t="str">
        <f>VLOOKUP(Table2[[#This Row],[AgentID]],Sales_Agents!$A$1:C164,2)</f>
        <v>Akin</v>
      </c>
      <c r="N161" t="str">
        <f>VLOOKUP(Table2[[#This Row],[AgentID]],Sales_Agents!$A$1:C164,3)</f>
        <v>West</v>
      </c>
    </row>
    <row r="162" spans="1:14" x14ac:dyDescent="0.25">
      <c r="A162">
        <v>161</v>
      </c>
      <c r="B162" s="1">
        <v>45292</v>
      </c>
      <c r="C162" s="8" t="str">
        <f>TEXT(Table2[[#This Row],[OrderDate]],"mmm")</f>
        <v>Jan</v>
      </c>
      <c r="D162">
        <v>1</v>
      </c>
      <c r="E162">
        <v>1</v>
      </c>
      <c r="F162">
        <v>20</v>
      </c>
      <c r="G162" s="3">
        <v>323509</v>
      </c>
      <c r="H162" s="3">
        <f t="shared" si="4"/>
        <v>6470180</v>
      </c>
      <c r="I162" s="5">
        <f>Table2[[#This Row],[Total Revenue]]*0.3</f>
        <v>1941054</v>
      </c>
      <c r="J162" s="6">
        <f t="shared" si="5"/>
        <v>0.3</v>
      </c>
      <c r="K162" t="str">
        <f>VLOOKUP(Table2[[#This Row],[ProductID]],Products!$A$1:C166,2)</f>
        <v>Laptop</v>
      </c>
      <c r="L162" t="str">
        <f>VLOOKUP(D162,Products!$A$1:C166,3)</f>
        <v>Electronics</v>
      </c>
      <c r="M162" t="str">
        <f>VLOOKUP(Table2[[#This Row],[AgentID]],Sales_Agents!$A$1:C165,2)</f>
        <v>Akin</v>
      </c>
      <c r="N162" t="str">
        <f>VLOOKUP(Table2[[#This Row],[AgentID]],Sales_Agents!$A$1:C165,3)</f>
        <v>West</v>
      </c>
    </row>
    <row r="163" spans="1:14" x14ac:dyDescent="0.25">
      <c r="A163">
        <v>162</v>
      </c>
      <c r="B163" s="1">
        <v>45641</v>
      </c>
      <c r="C163" s="8" t="str">
        <f>TEXT(Table2[[#This Row],[OrderDate]],"mmm")</f>
        <v>Dec</v>
      </c>
      <c r="D163">
        <v>1</v>
      </c>
      <c r="E163">
        <v>1</v>
      </c>
      <c r="F163">
        <v>13</v>
      </c>
      <c r="G163" s="3">
        <v>198375</v>
      </c>
      <c r="H163" s="3">
        <f t="shared" si="4"/>
        <v>2578875</v>
      </c>
      <c r="I163" s="5">
        <f>Table2[[#This Row],[Total Revenue]]*0.3</f>
        <v>773662.5</v>
      </c>
      <c r="J163" s="6">
        <f t="shared" si="5"/>
        <v>0.3</v>
      </c>
      <c r="K163" t="str">
        <f>VLOOKUP(Table2[[#This Row],[ProductID]],Products!$A$1:C167,2)</f>
        <v>Laptop</v>
      </c>
      <c r="L163" t="str">
        <f>VLOOKUP(D163,Products!$A$1:C167,3)</f>
        <v>Electronics</v>
      </c>
      <c r="M163" t="str">
        <f>VLOOKUP(Table2[[#This Row],[AgentID]],Sales_Agents!$A$1:C166,2)</f>
        <v>Akin</v>
      </c>
      <c r="N163" t="str">
        <f>VLOOKUP(Table2[[#This Row],[AgentID]],Sales_Agents!$A$1:C166,3)</f>
        <v>West</v>
      </c>
    </row>
    <row r="164" spans="1:14" x14ac:dyDescent="0.25">
      <c r="A164">
        <v>163</v>
      </c>
      <c r="B164" s="1">
        <v>45346</v>
      </c>
      <c r="C164" s="8" t="str">
        <f>TEXT(Table2[[#This Row],[OrderDate]],"mmm")</f>
        <v>Feb</v>
      </c>
      <c r="D164">
        <v>3</v>
      </c>
      <c r="E164">
        <v>4</v>
      </c>
      <c r="F164">
        <v>12</v>
      </c>
      <c r="G164" s="3">
        <v>221142</v>
      </c>
      <c r="H164" s="3">
        <f t="shared" si="4"/>
        <v>2653704</v>
      </c>
      <c r="I164" s="5">
        <f>Table2[[#This Row],[Total Revenue]]*0.3</f>
        <v>796111.2</v>
      </c>
      <c r="J164" s="6">
        <f t="shared" si="5"/>
        <v>0.3</v>
      </c>
      <c r="K164" t="str">
        <f>VLOOKUP(Table2[[#This Row],[ProductID]],Products!$A$1:C168,2)</f>
        <v>Tablet</v>
      </c>
      <c r="L164" t="str">
        <f>VLOOKUP(D164,Products!$A$1:C168,3)</f>
        <v>Electronics</v>
      </c>
      <c r="M164" t="str">
        <f>VLOOKUP(Table2[[#This Row],[AgentID]],Sales_Agents!$A$1:C167,2)</f>
        <v>Zainab</v>
      </c>
      <c r="N164" t="str">
        <f>VLOOKUP(Table2[[#This Row],[AgentID]],Sales_Agents!$A$1:C167,3)</f>
        <v>North</v>
      </c>
    </row>
    <row r="165" spans="1:14" x14ac:dyDescent="0.25">
      <c r="A165">
        <v>164</v>
      </c>
      <c r="B165" s="1">
        <v>45569</v>
      </c>
      <c r="C165" s="8" t="str">
        <f>TEXT(Table2[[#This Row],[OrderDate]],"mmm")</f>
        <v>Oct</v>
      </c>
      <c r="D165">
        <v>1</v>
      </c>
      <c r="E165">
        <v>3</v>
      </c>
      <c r="F165">
        <v>11</v>
      </c>
      <c r="G165" s="3">
        <v>336630</v>
      </c>
      <c r="H165" s="3">
        <f t="shared" si="4"/>
        <v>3702930</v>
      </c>
      <c r="I165" s="5">
        <f>Table2[[#This Row],[Total Revenue]]*0.3</f>
        <v>1110879</v>
      </c>
      <c r="J165" s="6">
        <f t="shared" si="5"/>
        <v>0.3</v>
      </c>
      <c r="K165" t="str">
        <f>VLOOKUP(Table2[[#This Row],[ProductID]],Products!$A$1:C169,2)</f>
        <v>Laptop</v>
      </c>
      <c r="L165" t="str">
        <f>VLOOKUP(D165,Products!$A$1:C169,3)</f>
        <v>Electronics</v>
      </c>
      <c r="M165" t="str">
        <f>VLOOKUP(Table2[[#This Row],[AgentID]],Sales_Agents!$A$1:C168,2)</f>
        <v>Chinedu</v>
      </c>
      <c r="N165" t="str">
        <f>VLOOKUP(Table2[[#This Row],[AgentID]],Sales_Agents!$A$1:C168,3)</f>
        <v>South</v>
      </c>
    </row>
    <row r="166" spans="1:14" x14ac:dyDescent="0.25">
      <c r="A166">
        <v>165</v>
      </c>
      <c r="B166" s="1">
        <v>45627</v>
      </c>
      <c r="C166" s="8" t="str">
        <f>TEXT(Table2[[#This Row],[OrderDate]],"mmm")</f>
        <v>Dec</v>
      </c>
      <c r="D166">
        <v>2</v>
      </c>
      <c r="E166">
        <v>2</v>
      </c>
      <c r="F166">
        <v>8</v>
      </c>
      <c r="G166" s="3">
        <v>71988</v>
      </c>
      <c r="H166" s="3">
        <f t="shared" si="4"/>
        <v>575904</v>
      </c>
      <c r="I166" s="5">
        <f>Table2[[#This Row],[Total Revenue]]*0.3</f>
        <v>172771.19999999998</v>
      </c>
      <c r="J166" s="6">
        <f t="shared" si="5"/>
        <v>0.3</v>
      </c>
      <c r="K166" t="str">
        <f>VLOOKUP(Table2[[#This Row],[ProductID]],Products!$A$1:C170,2)</f>
        <v>Phone</v>
      </c>
      <c r="L166" t="str">
        <f>VLOOKUP(D166,Products!$A$1:C170,3)</f>
        <v>Electronics</v>
      </c>
      <c r="M166" t="str">
        <f>VLOOKUP(Table2[[#This Row],[AgentID]],Sales_Agents!$A$1:C169,2)</f>
        <v>Blessing</v>
      </c>
      <c r="N166" t="str">
        <f>VLOOKUP(Table2[[#This Row],[AgentID]],Sales_Agents!$A$1:C169,3)</f>
        <v>East</v>
      </c>
    </row>
    <row r="167" spans="1:14" x14ac:dyDescent="0.25">
      <c r="A167">
        <v>166</v>
      </c>
      <c r="B167" s="1">
        <v>45556</v>
      </c>
      <c r="C167" s="8" t="str">
        <f>TEXT(Table2[[#This Row],[OrderDate]],"mmm")</f>
        <v>Sept</v>
      </c>
      <c r="D167">
        <v>5</v>
      </c>
      <c r="E167">
        <v>1</v>
      </c>
      <c r="F167">
        <v>4</v>
      </c>
      <c r="G167" s="3">
        <v>396875</v>
      </c>
      <c r="H167" s="3">
        <f t="shared" si="4"/>
        <v>1587500</v>
      </c>
      <c r="I167" s="5">
        <f>Table2[[#This Row],[Total Revenue]]*0.3</f>
        <v>476250</v>
      </c>
      <c r="J167" s="6">
        <f t="shared" si="5"/>
        <v>0.3</v>
      </c>
      <c r="K167" t="str">
        <f>VLOOKUP(Table2[[#This Row],[ProductID]],Products!$A$1:C171,2)</f>
        <v>Monitor</v>
      </c>
      <c r="L167" t="str">
        <f>VLOOKUP(D167,Products!$A$1:C171,3)</f>
        <v>Accessories</v>
      </c>
      <c r="M167" t="str">
        <f>VLOOKUP(Table2[[#This Row],[AgentID]],Sales_Agents!$A$1:C170,2)</f>
        <v>Akin</v>
      </c>
      <c r="N167" t="str">
        <f>VLOOKUP(Table2[[#This Row],[AgentID]],Sales_Agents!$A$1:C170,3)</f>
        <v>West</v>
      </c>
    </row>
    <row r="168" spans="1:14" x14ac:dyDescent="0.25">
      <c r="A168">
        <v>167</v>
      </c>
      <c r="B168" s="1">
        <v>45490</v>
      </c>
      <c r="C168" s="8" t="str">
        <f>TEXT(Table2[[#This Row],[OrderDate]],"mmm")</f>
        <v>Jul</v>
      </c>
      <c r="D168">
        <v>4</v>
      </c>
      <c r="E168">
        <v>4</v>
      </c>
      <c r="F168">
        <v>15</v>
      </c>
      <c r="G168" s="3">
        <v>302599</v>
      </c>
      <c r="H168" s="3">
        <f t="shared" si="4"/>
        <v>4538985</v>
      </c>
      <c r="I168" s="5">
        <f>Table2[[#This Row],[Total Revenue]]*0.3</f>
        <v>1361695.5</v>
      </c>
      <c r="J168" s="6">
        <f t="shared" si="5"/>
        <v>0.3</v>
      </c>
      <c r="K168" t="str">
        <f>VLOOKUP(Table2[[#This Row],[ProductID]],Products!$A$1:C172,2)</f>
        <v>Printer</v>
      </c>
      <c r="L168" t="str">
        <f>VLOOKUP(D168,Products!$A$1:C172,3)</f>
        <v>Accessories</v>
      </c>
      <c r="M168" t="str">
        <f>VLOOKUP(Table2[[#This Row],[AgentID]],Sales_Agents!$A$1:C171,2)</f>
        <v>Zainab</v>
      </c>
      <c r="N168" t="str">
        <f>VLOOKUP(Table2[[#This Row],[AgentID]],Sales_Agents!$A$1:C171,3)</f>
        <v>North</v>
      </c>
    </row>
    <row r="169" spans="1:14" x14ac:dyDescent="0.25">
      <c r="A169">
        <v>168</v>
      </c>
      <c r="B169" s="1">
        <v>45560</v>
      </c>
      <c r="C169" s="8" t="str">
        <f>TEXT(Table2[[#This Row],[OrderDate]],"mmm")</f>
        <v>Sept</v>
      </c>
      <c r="D169">
        <v>4</v>
      </c>
      <c r="E169">
        <v>1</v>
      </c>
      <c r="F169">
        <v>15</v>
      </c>
      <c r="G169" s="3">
        <v>393985</v>
      </c>
      <c r="H169" s="3">
        <f t="shared" si="4"/>
        <v>5909775</v>
      </c>
      <c r="I169" s="5">
        <f>Table2[[#This Row],[Total Revenue]]*0.3</f>
        <v>1772932.5</v>
      </c>
      <c r="J169" s="6">
        <f t="shared" si="5"/>
        <v>0.3</v>
      </c>
      <c r="K169" t="str">
        <f>VLOOKUP(Table2[[#This Row],[ProductID]],Products!$A$1:C173,2)</f>
        <v>Printer</v>
      </c>
      <c r="L169" t="str">
        <f>VLOOKUP(D169,Products!$A$1:C173,3)</f>
        <v>Accessories</v>
      </c>
      <c r="M169" t="str">
        <f>VLOOKUP(Table2[[#This Row],[AgentID]],Sales_Agents!$A$1:C172,2)</f>
        <v>Akin</v>
      </c>
      <c r="N169" t="str">
        <f>VLOOKUP(Table2[[#This Row],[AgentID]],Sales_Agents!$A$1:C172,3)</f>
        <v>West</v>
      </c>
    </row>
    <row r="170" spans="1:14" x14ac:dyDescent="0.25">
      <c r="A170">
        <v>169</v>
      </c>
      <c r="B170" s="1">
        <v>45411</v>
      </c>
      <c r="C170" s="8" t="str">
        <f>TEXT(Table2[[#This Row],[OrderDate]],"mmm")</f>
        <v>Apr</v>
      </c>
      <c r="D170">
        <v>2</v>
      </c>
      <c r="E170">
        <v>4</v>
      </c>
      <c r="F170">
        <v>14</v>
      </c>
      <c r="G170" s="3">
        <v>302330</v>
      </c>
      <c r="H170" s="3">
        <f t="shared" si="4"/>
        <v>4232620</v>
      </c>
      <c r="I170" s="5">
        <f>Table2[[#This Row],[Total Revenue]]*0.3</f>
        <v>1269786</v>
      </c>
      <c r="J170" s="6">
        <f t="shared" si="5"/>
        <v>0.3</v>
      </c>
      <c r="K170" t="str">
        <f>VLOOKUP(Table2[[#This Row],[ProductID]],Products!$A$1:C174,2)</f>
        <v>Phone</v>
      </c>
      <c r="L170" t="str">
        <f>VLOOKUP(D170,Products!$A$1:C174,3)</f>
        <v>Electronics</v>
      </c>
      <c r="M170" t="str">
        <f>VLOOKUP(Table2[[#This Row],[AgentID]],Sales_Agents!$A$1:C173,2)</f>
        <v>Zainab</v>
      </c>
      <c r="N170" t="str">
        <f>VLOOKUP(Table2[[#This Row],[AgentID]],Sales_Agents!$A$1:C173,3)</f>
        <v>North</v>
      </c>
    </row>
    <row r="171" spans="1:14" x14ac:dyDescent="0.25">
      <c r="A171">
        <v>170</v>
      </c>
      <c r="B171" s="1">
        <v>45453</v>
      </c>
      <c r="C171" s="8" t="str">
        <f>TEXT(Table2[[#This Row],[OrderDate]],"mmm")</f>
        <v>Jun</v>
      </c>
      <c r="D171">
        <v>1</v>
      </c>
      <c r="E171">
        <v>1</v>
      </c>
      <c r="F171">
        <v>9</v>
      </c>
      <c r="G171" s="3">
        <v>347450</v>
      </c>
      <c r="H171" s="3">
        <f t="shared" si="4"/>
        <v>3127050</v>
      </c>
      <c r="I171" s="5">
        <f>Table2[[#This Row],[Total Revenue]]*0.3</f>
        <v>938115</v>
      </c>
      <c r="J171" s="6">
        <f t="shared" si="5"/>
        <v>0.3</v>
      </c>
      <c r="K171" t="str">
        <f>VLOOKUP(Table2[[#This Row],[ProductID]],Products!$A$1:C175,2)</f>
        <v>Laptop</v>
      </c>
      <c r="L171" t="str">
        <f>VLOOKUP(D171,Products!$A$1:C175,3)</f>
        <v>Electronics</v>
      </c>
      <c r="M171" t="str">
        <f>VLOOKUP(Table2[[#This Row],[AgentID]],Sales_Agents!$A$1:C174,2)</f>
        <v>Akin</v>
      </c>
      <c r="N171" t="str">
        <f>VLOOKUP(Table2[[#This Row],[AgentID]],Sales_Agents!$A$1:C174,3)</f>
        <v>West</v>
      </c>
    </row>
    <row r="172" spans="1:14" x14ac:dyDescent="0.25">
      <c r="A172">
        <v>171</v>
      </c>
      <c r="B172" s="1">
        <v>45436</v>
      </c>
      <c r="C172" s="8" t="str">
        <f>TEXT(Table2[[#This Row],[OrderDate]],"mmm")</f>
        <v>May</v>
      </c>
      <c r="D172">
        <v>2</v>
      </c>
      <c r="E172">
        <v>4</v>
      </c>
      <c r="F172">
        <v>13</v>
      </c>
      <c r="G172" s="3">
        <v>102667</v>
      </c>
      <c r="H172" s="3">
        <f t="shared" si="4"/>
        <v>1334671</v>
      </c>
      <c r="I172" s="5">
        <f>Table2[[#This Row],[Total Revenue]]*0.3</f>
        <v>400401.3</v>
      </c>
      <c r="J172" s="6">
        <f t="shared" si="5"/>
        <v>0.3</v>
      </c>
      <c r="K172" t="str">
        <f>VLOOKUP(Table2[[#This Row],[ProductID]],Products!$A$1:C176,2)</f>
        <v>Phone</v>
      </c>
      <c r="L172" t="str">
        <f>VLOOKUP(D172,Products!$A$1:C176,3)</f>
        <v>Electronics</v>
      </c>
      <c r="M172" t="str">
        <f>VLOOKUP(Table2[[#This Row],[AgentID]],Sales_Agents!$A$1:C175,2)</f>
        <v>Zainab</v>
      </c>
      <c r="N172" t="str">
        <f>VLOOKUP(Table2[[#This Row],[AgentID]],Sales_Agents!$A$1:C175,3)</f>
        <v>North</v>
      </c>
    </row>
    <row r="173" spans="1:14" x14ac:dyDescent="0.25">
      <c r="A173">
        <v>172</v>
      </c>
      <c r="B173" s="1">
        <v>45408</v>
      </c>
      <c r="C173" s="8" t="str">
        <f>TEXT(Table2[[#This Row],[OrderDate]],"mmm")</f>
        <v>Apr</v>
      </c>
      <c r="D173">
        <v>1</v>
      </c>
      <c r="E173">
        <v>3</v>
      </c>
      <c r="F173">
        <v>1</v>
      </c>
      <c r="G173" s="3">
        <v>379325</v>
      </c>
      <c r="H173" s="3">
        <f t="shared" si="4"/>
        <v>379325</v>
      </c>
      <c r="I173" s="5">
        <f>Table2[[#This Row],[Total Revenue]]*0.3</f>
        <v>113797.5</v>
      </c>
      <c r="J173" s="6">
        <f t="shared" si="5"/>
        <v>0.3</v>
      </c>
      <c r="K173" t="str">
        <f>VLOOKUP(Table2[[#This Row],[ProductID]],Products!$A$1:C177,2)</f>
        <v>Laptop</v>
      </c>
      <c r="L173" t="str">
        <f>VLOOKUP(D173,Products!$A$1:C177,3)</f>
        <v>Electronics</v>
      </c>
      <c r="M173" t="str">
        <f>VLOOKUP(Table2[[#This Row],[AgentID]],Sales_Agents!$A$1:C176,2)</f>
        <v>Chinedu</v>
      </c>
      <c r="N173" t="str">
        <f>VLOOKUP(Table2[[#This Row],[AgentID]],Sales_Agents!$A$1:C176,3)</f>
        <v>South</v>
      </c>
    </row>
    <row r="174" spans="1:14" x14ac:dyDescent="0.25">
      <c r="A174">
        <v>173</v>
      </c>
      <c r="B174" s="1">
        <v>45365</v>
      </c>
      <c r="C174" s="8" t="str">
        <f>TEXT(Table2[[#This Row],[OrderDate]],"mmm")</f>
        <v>Mar</v>
      </c>
      <c r="D174">
        <v>5</v>
      </c>
      <c r="E174">
        <v>2</v>
      </c>
      <c r="F174">
        <v>6</v>
      </c>
      <c r="G174" s="3">
        <v>376075</v>
      </c>
      <c r="H174" s="3">
        <f t="shared" si="4"/>
        <v>2256450</v>
      </c>
      <c r="I174" s="5">
        <f>Table2[[#This Row],[Total Revenue]]*0.3</f>
        <v>676935</v>
      </c>
      <c r="J174" s="6">
        <f t="shared" si="5"/>
        <v>0.3</v>
      </c>
      <c r="K174" t="str">
        <f>VLOOKUP(Table2[[#This Row],[ProductID]],Products!$A$1:C178,2)</f>
        <v>Monitor</v>
      </c>
      <c r="L174" t="str">
        <f>VLOOKUP(D174,Products!$A$1:C178,3)</f>
        <v>Accessories</v>
      </c>
      <c r="M174" t="str">
        <f>VLOOKUP(Table2[[#This Row],[AgentID]],Sales_Agents!$A$1:C177,2)</f>
        <v>Blessing</v>
      </c>
      <c r="N174" t="str">
        <f>VLOOKUP(Table2[[#This Row],[AgentID]],Sales_Agents!$A$1:C177,3)</f>
        <v>East</v>
      </c>
    </row>
    <row r="175" spans="1:14" x14ac:dyDescent="0.25">
      <c r="A175">
        <v>174</v>
      </c>
      <c r="B175" s="1">
        <v>45386</v>
      </c>
      <c r="C175" s="8" t="str">
        <f>TEXT(Table2[[#This Row],[OrderDate]],"mmm")</f>
        <v>Apr</v>
      </c>
      <c r="D175">
        <v>2</v>
      </c>
      <c r="E175">
        <v>1</v>
      </c>
      <c r="F175">
        <v>2</v>
      </c>
      <c r="G175" s="3">
        <v>393951</v>
      </c>
      <c r="H175" s="3">
        <f t="shared" si="4"/>
        <v>787902</v>
      </c>
      <c r="I175" s="5">
        <f>Table2[[#This Row],[Total Revenue]]*0.3</f>
        <v>236370.59999999998</v>
      </c>
      <c r="J175" s="6">
        <f t="shared" si="5"/>
        <v>0.3</v>
      </c>
      <c r="K175" t="str">
        <f>VLOOKUP(Table2[[#This Row],[ProductID]],Products!$A$1:C179,2)</f>
        <v>Phone</v>
      </c>
      <c r="L175" t="str">
        <f>VLOOKUP(D175,Products!$A$1:C179,3)</f>
        <v>Electronics</v>
      </c>
      <c r="M175" t="str">
        <f>VLOOKUP(Table2[[#This Row],[AgentID]],Sales_Agents!$A$1:C178,2)</f>
        <v>Akin</v>
      </c>
      <c r="N175" t="str">
        <f>VLOOKUP(Table2[[#This Row],[AgentID]],Sales_Agents!$A$1:C178,3)</f>
        <v>West</v>
      </c>
    </row>
    <row r="176" spans="1:14" x14ac:dyDescent="0.25">
      <c r="A176">
        <v>175</v>
      </c>
      <c r="B176" s="1">
        <v>45524</v>
      </c>
      <c r="C176" s="8" t="str">
        <f>TEXT(Table2[[#This Row],[OrderDate]],"mmm")</f>
        <v>Aug</v>
      </c>
      <c r="D176">
        <v>1</v>
      </c>
      <c r="E176">
        <v>2</v>
      </c>
      <c r="F176">
        <v>7</v>
      </c>
      <c r="G176" s="3">
        <v>341047</v>
      </c>
      <c r="H176" s="3">
        <f t="shared" si="4"/>
        <v>2387329</v>
      </c>
      <c r="I176" s="5">
        <f>Table2[[#This Row],[Total Revenue]]*0.3</f>
        <v>716198.7</v>
      </c>
      <c r="J176" s="6">
        <f t="shared" si="5"/>
        <v>0.3</v>
      </c>
      <c r="K176" t="str">
        <f>VLOOKUP(Table2[[#This Row],[ProductID]],Products!$A$1:C180,2)</f>
        <v>Laptop</v>
      </c>
      <c r="L176" t="str">
        <f>VLOOKUP(D176,Products!$A$1:C180,3)</f>
        <v>Electronics</v>
      </c>
      <c r="M176" t="str">
        <f>VLOOKUP(Table2[[#This Row],[AgentID]],Sales_Agents!$A$1:C179,2)</f>
        <v>Blessing</v>
      </c>
      <c r="N176" t="str">
        <f>VLOOKUP(Table2[[#This Row],[AgentID]],Sales_Agents!$A$1:C179,3)</f>
        <v>East</v>
      </c>
    </row>
    <row r="177" spans="1:14" x14ac:dyDescent="0.25">
      <c r="A177">
        <v>176</v>
      </c>
      <c r="B177" s="1">
        <v>45435</v>
      </c>
      <c r="C177" s="8" t="str">
        <f>TEXT(Table2[[#This Row],[OrderDate]],"mmm")</f>
        <v>May</v>
      </c>
      <c r="D177">
        <v>4</v>
      </c>
      <c r="E177">
        <v>3</v>
      </c>
      <c r="F177">
        <v>20</v>
      </c>
      <c r="G177" s="3">
        <v>350291</v>
      </c>
      <c r="H177" s="3">
        <f t="shared" si="4"/>
        <v>7005820</v>
      </c>
      <c r="I177" s="5">
        <f>Table2[[#This Row],[Total Revenue]]*0.3</f>
        <v>2101746</v>
      </c>
      <c r="J177" s="6">
        <f t="shared" si="5"/>
        <v>0.3</v>
      </c>
      <c r="K177" t="str">
        <f>VLOOKUP(Table2[[#This Row],[ProductID]],Products!$A$1:C181,2)</f>
        <v>Printer</v>
      </c>
      <c r="L177" t="str">
        <f>VLOOKUP(D177,Products!$A$1:C181,3)</f>
        <v>Accessories</v>
      </c>
      <c r="M177" t="str">
        <f>VLOOKUP(Table2[[#This Row],[AgentID]],Sales_Agents!$A$1:C180,2)</f>
        <v>Chinedu</v>
      </c>
      <c r="N177" t="str">
        <f>VLOOKUP(Table2[[#This Row],[AgentID]],Sales_Agents!$A$1:C180,3)</f>
        <v>South</v>
      </c>
    </row>
    <row r="178" spans="1:14" x14ac:dyDescent="0.25">
      <c r="A178">
        <v>177</v>
      </c>
      <c r="B178" s="1">
        <v>45565</v>
      </c>
      <c r="C178" s="8" t="str">
        <f>TEXT(Table2[[#This Row],[OrderDate]],"mmm")</f>
        <v>Sept</v>
      </c>
      <c r="D178">
        <v>3</v>
      </c>
      <c r="E178">
        <v>3</v>
      </c>
      <c r="F178">
        <v>10</v>
      </c>
      <c r="G178" s="3">
        <v>234646</v>
      </c>
      <c r="H178" s="3">
        <f t="shared" si="4"/>
        <v>2346460</v>
      </c>
      <c r="I178" s="5">
        <f>Table2[[#This Row],[Total Revenue]]*0.3</f>
        <v>703938</v>
      </c>
      <c r="J178" s="6">
        <f t="shared" si="5"/>
        <v>0.3</v>
      </c>
      <c r="K178" t="str">
        <f>VLOOKUP(Table2[[#This Row],[ProductID]],Products!$A$1:C182,2)</f>
        <v>Tablet</v>
      </c>
      <c r="L178" t="str">
        <f>VLOOKUP(D178,Products!$A$1:C182,3)</f>
        <v>Electronics</v>
      </c>
      <c r="M178" t="str">
        <f>VLOOKUP(Table2[[#This Row],[AgentID]],Sales_Agents!$A$1:C181,2)</f>
        <v>Chinedu</v>
      </c>
      <c r="N178" t="str">
        <f>VLOOKUP(Table2[[#This Row],[AgentID]],Sales_Agents!$A$1:C181,3)</f>
        <v>South</v>
      </c>
    </row>
    <row r="179" spans="1:14" x14ac:dyDescent="0.25">
      <c r="A179">
        <v>178</v>
      </c>
      <c r="B179" s="1">
        <v>45535</v>
      </c>
      <c r="C179" s="8" t="str">
        <f>TEXT(Table2[[#This Row],[OrderDate]],"mmm")</f>
        <v>Aug</v>
      </c>
      <c r="D179">
        <v>4</v>
      </c>
      <c r="E179">
        <v>2</v>
      </c>
      <c r="F179">
        <v>5</v>
      </c>
      <c r="G179" s="3">
        <v>175089</v>
      </c>
      <c r="H179" s="3">
        <f t="shared" si="4"/>
        <v>875445</v>
      </c>
      <c r="I179" s="5">
        <f>Table2[[#This Row],[Total Revenue]]*0.3</f>
        <v>262633.5</v>
      </c>
      <c r="J179" s="6">
        <f t="shared" si="5"/>
        <v>0.3</v>
      </c>
      <c r="K179" t="str">
        <f>VLOOKUP(Table2[[#This Row],[ProductID]],Products!$A$1:C183,2)</f>
        <v>Printer</v>
      </c>
      <c r="L179" t="str">
        <f>VLOOKUP(D179,Products!$A$1:C183,3)</f>
        <v>Accessories</v>
      </c>
      <c r="M179" t="str">
        <f>VLOOKUP(Table2[[#This Row],[AgentID]],Sales_Agents!$A$1:C182,2)</f>
        <v>Blessing</v>
      </c>
      <c r="N179" t="str">
        <f>VLOOKUP(Table2[[#This Row],[AgentID]],Sales_Agents!$A$1:C182,3)</f>
        <v>East</v>
      </c>
    </row>
    <row r="180" spans="1:14" x14ac:dyDescent="0.25">
      <c r="A180">
        <v>179</v>
      </c>
      <c r="B180" s="1">
        <v>45358</v>
      </c>
      <c r="C180" s="8" t="str">
        <f>TEXT(Table2[[#This Row],[OrderDate]],"mmm")</f>
        <v>Mar</v>
      </c>
      <c r="D180">
        <v>3</v>
      </c>
      <c r="E180">
        <v>4</v>
      </c>
      <c r="F180">
        <v>13</v>
      </c>
      <c r="G180" s="3">
        <v>80569</v>
      </c>
      <c r="H180" s="3">
        <f t="shared" si="4"/>
        <v>1047397</v>
      </c>
      <c r="I180" s="5">
        <f>Table2[[#This Row],[Total Revenue]]*0.3</f>
        <v>314219.09999999998</v>
      </c>
      <c r="J180" s="6">
        <f t="shared" si="5"/>
        <v>0.3</v>
      </c>
      <c r="K180" t="str">
        <f>VLOOKUP(Table2[[#This Row],[ProductID]],Products!$A$1:C184,2)</f>
        <v>Tablet</v>
      </c>
      <c r="L180" t="str">
        <f>VLOOKUP(D180,Products!$A$1:C184,3)</f>
        <v>Electronics</v>
      </c>
      <c r="M180" t="str">
        <f>VLOOKUP(Table2[[#This Row],[AgentID]],Sales_Agents!$A$1:C183,2)</f>
        <v>Zainab</v>
      </c>
      <c r="N180" t="str">
        <f>VLOOKUP(Table2[[#This Row],[AgentID]],Sales_Agents!$A$1:C183,3)</f>
        <v>North</v>
      </c>
    </row>
    <row r="181" spans="1:14" x14ac:dyDescent="0.25">
      <c r="A181">
        <v>180</v>
      </c>
      <c r="B181" s="1">
        <v>45461</v>
      </c>
      <c r="C181" s="8" t="str">
        <f>TEXT(Table2[[#This Row],[OrderDate]],"mmm")</f>
        <v>Jun</v>
      </c>
      <c r="D181">
        <v>1</v>
      </c>
      <c r="E181">
        <v>1</v>
      </c>
      <c r="F181">
        <v>3</v>
      </c>
      <c r="G181" s="3">
        <v>58676</v>
      </c>
      <c r="H181" s="3">
        <f t="shared" si="4"/>
        <v>176028</v>
      </c>
      <c r="I181" s="5">
        <f>Table2[[#This Row],[Total Revenue]]*0.3</f>
        <v>52808.4</v>
      </c>
      <c r="J181" s="6">
        <f t="shared" si="5"/>
        <v>0.3</v>
      </c>
      <c r="K181" t="str">
        <f>VLOOKUP(Table2[[#This Row],[ProductID]],Products!$A$1:C185,2)</f>
        <v>Laptop</v>
      </c>
      <c r="L181" t="str">
        <f>VLOOKUP(D181,Products!$A$1:C185,3)</f>
        <v>Electronics</v>
      </c>
      <c r="M181" t="str">
        <f>VLOOKUP(Table2[[#This Row],[AgentID]],Sales_Agents!$A$1:C184,2)</f>
        <v>Akin</v>
      </c>
      <c r="N181" t="str">
        <f>VLOOKUP(Table2[[#This Row],[AgentID]],Sales_Agents!$A$1:C184,3)</f>
        <v>West</v>
      </c>
    </row>
    <row r="182" spans="1:14" x14ac:dyDescent="0.25">
      <c r="A182">
        <v>181</v>
      </c>
      <c r="B182" s="1">
        <v>45572</v>
      </c>
      <c r="C182" s="8" t="str">
        <f>TEXT(Table2[[#This Row],[OrderDate]],"mmm")</f>
        <v>Oct</v>
      </c>
      <c r="D182">
        <v>3</v>
      </c>
      <c r="E182">
        <v>2</v>
      </c>
      <c r="F182">
        <v>8</v>
      </c>
      <c r="G182" s="3">
        <v>237840</v>
      </c>
      <c r="H182" s="3">
        <f t="shared" si="4"/>
        <v>1902720</v>
      </c>
      <c r="I182" s="5">
        <f>Table2[[#This Row],[Total Revenue]]*0.3</f>
        <v>570816</v>
      </c>
      <c r="J182" s="6">
        <f t="shared" si="5"/>
        <v>0.3</v>
      </c>
      <c r="K182" t="str">
        <f>VLOOKUP(Table2[[#This Row],[ProductID]],Products!$A$1:C186,2)</f>
        <v>Tablet</v>
      </c>
      <c r="L182" t="str">
        <f>VLOOKUP(D182,Products!$A$1:C186,3)</f>
        <v>Electronics</v>
      </c>
      <c r="M182" t="str">
        <f>VLOOKUP(Table2[[#This Row],[AgentID]],Sales_Agents!$A$1:C185,2)</f>
        <v>Blessing</v>
      </c>
      <c r="N182" t="str">
        <f>VLOOKUP(Table2[[#This Row],[AgentID]],Sales_Agents!$A$1:C185,3)</f>
        <v>East</v>
      </c>
    </row>
    <row r="183" spans="1:14" x14ac:dyDescent="0.25">
      <c r="A183">
        <v>182</v>
      </c>
      <c r="B183" s="1">
        <v>45376</v>
      </c>
      <c r="C183" s="8" t="str">
        <f>TEXT(Table2[[#This Row],[OrderDate]],"mmm")</f>
        <v>Mar</v>
      </c>
      <c r="D183">
        <v>4</v>
      </c>
      <c r="E183">
        <v>1</v>
      </c>
      <c r="F183">
        <v>3</v>
      </c>
      <c r="G183" s="3">
        <v>293186</v>
      </c>
      <c r="H183" s="3">
        <f t="shared" si="4"/>
        <v>879558</v>
      </c>
      <c r="I183" s="5">
        <f>Table2[[#This Row],[Total Revenue]]*0.3</f>
        <v>263867.39999999997</v>
      </c>
      <c r="J183" s="6">
        <f t="shared" si="5"/>
        <v>0.29999999999999993</v>
      </c>
      <c r="K183" t="str">
        <f>VLOOKUP(Table2[[#This Row],[ProductID]],Products!$A$1:C187,2)</f>
        <v>Printer</v>
      </c>
      <c r="L183" t="str">
        <f>VLOOKUP(D183,Products!$A$1:C187,3)</f>
        <v>Accessories</v>
      </c>
      <c r="M183" t="str">
        <f>VLOOKUP(Table2[[#This Row],[AgentID]],Sales_Agents!$A$1:C186,2)</f>
        <v>Akin</v>
      </c>
      <c r="N183" t="str">
        <f>VLOOKUP(Table2[[#This Row],[AgentID]],Sales_Agents!$A$1:C186,3)</f>
        <v>West</v>
      </c>
    </row>
    <row r="184" spans="1:14" x14ac:dyDescent="0.25">
      <c r="A184">
        <v>183</v>
      </c>
      <c r="B184" s="1">
        <v>45299</v>
      </c>
      <c r="C184" s="8" t="str">
        <f>TEXT(Table2[[#This Row],[OrderDate]],"mmm")</f>
        <v>Jan</v>
      </c>
      <c r="D184">
        <v>3</v>
      </c>
      <c r="E184">
        <v>3</v>
      </c>
      <c r="F184">
        <v>18</v>
      </c>
      <c r="G184" s="3">
        <v>264371</v>
      </c>
      <c r="H184" s="3">
        <f t="shared" si="4"/>
        <v>4758678</v>
      </c>
      <c r="I184" s="5">
        <f>Table2[[#This Row],[Total Revenue]]*0.3</f>
        <v>1427603.4</v>
      </c>
      <c r="J184" s="6">
        <f t="shared" si="5"/>
        <v>0.3</v>
      </c>
      <c r="K184" t="str">
        <f>VLOOKUP(Table2[[#This Row],[ProductID]],Products!$A$1:C188,2)</f>
        <v>Tablet</v>
      </c>
      <c r="L184" t="str">
        <f>VLOOKUP(D184,Products!$A$1:C188,3)</f>
        <v>Electronics</v>
      </c>
      <c r="M184" t="str">
        <f>VLOOKUP(Table2[[#This Row],[AgentID]],Sales_Agents!$A$1:C187,2)</f>
        <v>Chinedu</v>
      </c>
      <c r="N184" t="str">
        <f>VLOOKUP(Table2[[#This Row],[AgentID]],Sales_Agents!$A$1:C187,3)</f>
        <v>South</v>
      </c>
    </row>
    <row r="185" spans="1:14" x14ac:dyDescent="0.25">
      <c r="A185">
        <v>184</v>
      </c>
      <c r="B185" s="1">
        <v>45323</v>
      </c>
      <c r="C185" s="8" t="str">
        <f>TEXT(Table2[[#This Row],[OrderDate]],"mmm")</f>
        <v>Feb</v>
      </c>
      <c r="D185">
        <v>1</v>
      </c>
      <c r="E185">
        <v>3</v>
      </c>
      <c r="F185">
        <v>19</v>
      </c>
      <c r="G185" s="3">
        <v>85585</v>
      </c>
      <c r="H185" s="3">
        <f t="shared" si="4"/>
        <v>1626115</v>
      </c>
      <c r="I185" s="5">
        <f>Table2[[#This Row],[Total Revenue]]*0.3</f>
        <v>487834.5</v>
      </c>
      <c r="J185" s="6">
        <f t="shared" si="5"/>
        <v>0.3</v>
      </c>
      <c r="K185" t="str">
        <f>VLOOKUP(Table2[[#This Row],[ProductID]],Products!$A$1:C189,2)</f>
        <v>Laptop</v>
      </c>
      <c r="L185" t="str">
        <f>VLOOKUP(D185,Products!$A$1:C189,3)</f>
        <v>Electronics</v>
      </c>
      <c r="M185" t="str">
        <f>VLOOKUP(Table2[[#This Row],[AgentID]],Sales_Agents!$A$1:C188,2)</f>
        <v>Chinedu</v>
      </c>
      <c r="N185" t="str">
        <f>VLOOKUP(Table2[[#This Row],[AgentID]],Sales_Agents!$A$1:C188,3)</f>
        <v>South</v>
      </c>
    </row>
    <row r="186" spans="1:14" x14ac:dyDescent="0.25">
      <c r="A186">
        <v>185</v>
      </c>
      <c r="B186" s="1">
        <v>45455</v>
      </c>
      <c r="C186" s="8" t="str">
        <f>TEXT(Table2[[#This Row],[OrderDate]],"mmm")</f>
        <v>Jun</v>
      </c>
      <c r="D186">
        <v>1</v>
      </c>
      <c r="E186">
        <v>1</v>
      </c>
      <c r="F186">
        <v>3</v>
      </c>
      <c r="G186" s="3">
        <v>114816</v>
      </c>
      <c r="H186" s="3">
        <f t="shared" si="4"/>
        <v>344448</v>
      </c>
      <c r="I186" s="5">
        <f>Table2[[#This Row],[Total Revenue]]*0.3</f>
        <v>103334.39999999999</v>
      </c>
      <c r="J186" s="6">
        <f t="shared" si="5"/>
        <v>0.3</v>
      </c>
      <c r="K186" t="str">
        <f>VLOOKUP(Table2[[#This Row],[ProductID]],Products!$A$1:C190,2)</f>
        <v>Laptop</v>
      </c>
      <c r="L186" t="str">
        <f>VLOOKUP(D186,Products!$A$1:C190,3)</f>
        <v>Electronics</v>
      </c>
      <c r="M186" t="str">
        <f>VLOOKUP(Table2[[#This Row],[AgentID]],Sales_Agents!$A$1:C189,2)</f>
        <v>Akin</v>
      </c>
      <c r="N186" t="str">
        <f>VLOOKUP(Table2[[#This Row],[AgentID]],Sales_Agents!$A$1:C189,3)</f>
        <v>West</v>
      </c>
    </row>
    <row r="187" spans="1:14" x14ac:dyDescent="0.25">
      <c r="A187">
        <v>186</v>
      </c>
      <c r="B187" s="1">
        <v>45519</v>
      </c>
      <c r="C187" s="8" t="str">
        <f>TEXT(Table2[[#This Row],[OrderDate]],"mmm")</f>
        <v>Aug</v>
      </c>
      <c r="D187">
        <v>5</v>
      </c>
      <c r="E187">
        <v>4</v>
      </c>
      <c r="F187">
        <v>8</v>
      </c>
      <c r="G187" s="3">
        <v>162177</v>
      </c>
      <c r="H187" s="3">
        <f t="shared" si="4"/>
        <v>1297416</v>
      </c>
      <c r="I187" s="5">
        <f>Table2[[#This Row],[Total Revenue]]*0.3</f>
        <v>389224.8</v>
      </c>
      <c r="J187" s="6">
        <f t="shared" si="5"/>
        <v>0.3</v>
      </c>
      <c r="K187" t="str">
        <f>VLOOKUP(Table2[[#This Row],[ProductID]],Products!$A$1:C191,2)</f>
        <v>Monitor</v>
      </c>
      <c r="L187" t="str">
        <f>VLOOKUP(D187,Products!$A$1:C191,3)</f>
        <v>Accessories</v>
      </c>
      <c r="M187" t="str">
        <f>VLOOKUP(Table2[[#This Row],[AgentID]],Sales_Agents!$A$1:C190,2)</f>
        <v>Zainab</v>
      </c>
      <c r="N187" t="str">
        <f>VLOOKUP(Table2[[#This Row],[AgentID]],Sales_Agents!$A$1:C190,3)</f>
        <v>North</v>
      </c>
    </row>
    <row r="188" spans="1:14" x14ac:dyDescent="0.25">
      <c r="A188">
        <v>187</v>
      </c>
      <c r="B188" s="1">
        <v>45355</v>
      </c>
      <c r="C188" s="8" t="str">
        <f>TEXT(Table2[[#This Row],[OrderDate]],"mmm")</f>
        <v>Mar</v>
      </c>
      <c r="D188">
        <v>4</v>
      </c>
      <c r="E188">
        <v>3</v>
      </c>
      <c r="F188">
        <v>20</v>
      </c>
      <c r="G188" s="3">
        <v>382154</v>
      </c>
      <c r="H188" s="3">
        <f t="shared" si="4"/>
        <v>7643080</v>
      </c>
      <c r="I188" s="5">
        <f>Table2[[#This Row],[Total Revenue]]*0.3</f>
        <v>2292924</v>
      </c>
      <c r="J188" s="6">
        <f t="shared" si="5"/>
        <v>0.3</v>
      </c>
      <c r="K188" t="str">
        <f>VLOOKUP(Table2[[#This Row],[ProductID]],Products!$A$1:C192,2)</f>
        <v>Printer</v>
      </c>
      <c r="L188" t="str">
        <f>VLOOKUP(D188,Products!$A$1:C192,3)</f>
        <v>Accessories</v>
      </c>
      <c r="M188" t="str">
        <f>VLOOKUP(Table2[[#This Row],[AgentID]],Sales_Agents!$A$1:C191,2)</f>
        <v>Chinedu</v>
      </c>
      <c r="N188" t="str">
        <f>VLOOKUP(Table2[[#This Row],[AgentID]],Sales_Agents!$A$1:C191,3)</f>
        <v>South</v>
      </c>
    </row>
    <row r="189" spans="1:14" x14ac:dyDescent="0.25">
      <c r="A189">
        <v>188</v>
      </c>
      <c r="B189" s="1">
        <v>45404</v>
      </c>
      <c r="C189" s="8" t="str">
        <f>TEXT(Table2[[#This Row],[OrderDate]],"mmm")</f>
        <v>Apr</v>
      </c>
      <c r="D189">
        <v>4</v>
      </c>
      <c r="E189">
        <v>2</v>
      </c>
      <c r="F189">
        <v>8</v>
      </c>
      <c r="G189" s="3">
        <v>244547</v>
      </c>
      <c r="H189" s="3">
        <f t="shared" si="4"/>
        <v>1956376</v>
      </c>
      <c r="I189" s="5">
        <f>Table2[[#This Row],[Total Revenue]]*0.3</f>
        <v>586912.79999999993</v>
      </c>
      <c r="J189" s="6">
        <f t="shared" si="5"/>
        <v>0.3</v>
      </c>
      <c r="K189" t="str">
        <f>VLOOKUP(Table2[[#This Row],[ProductID]],Products!$A$1:C193,2)</f>
        <v>Printer</v>
      </c>
      <c r="L189" t="str">
        <f>VLOOKUP(D189,Products!$A$1:C193,3)</f>
        <v>Accessories</v>
      </c>
      <c r="M189" t="str">
        <f>VLOOKUP(Table2[[#This Row],[AgentID]],Sales_Agents!$A$1:C192,2)</f>
        <v>Blessing</v>
      </c>
      <c r="N189" t="str">
        <f>VLOOKUP(Table2[[#This Row],[AgentID]],Sales_Agents!$A$1:C192,3)</f>
        <v>East</v>
      </c>
    </row>
    <row r="190" spans="1:14" x14ac:dyDescent="0.25">
      <c r="A190">
        <v>189</v>
      </c>
      <c r="B190" s="1">
        <v>45450</v>
      </c>
      <c r="C190" s="8" t="str">
        <f>TEXT(Table2[[#This Row],[OrderDate]],"mmm")</f>
        <v>Jun</v>
      </c>
      <c r="D190">
        <v>1</v>
      </c>
      <c r="E190">
        <v>1</v>
      </c>
      <c r="F190">
        <v>14</v>
      </c>
      <c r="G190" s="3">
        <v>311212</v>
      </c>
      <c r="H190" s="3">
        <f t="shared" si="4"/>
        <v>4356968</v>
      </c>
      <c r="I190" s="5">
        <f>Table2[[#This Row],[Total Revenue]]*0.3</f>
        <v>1307090.3999999999</v>
      </c>
      <c r="J190" s="6">
        <f t="shared" si="5"/>
        <v>0.3</v>
      </c>
      <c r="K190" t="str">
        <f>VLOOKUP(Table2[[#This Row],[ProductID]],Products!$A$1:C194,2)</f>
        <v>Laptop</v>
      </c>
      <c r="L190" t="str">
        <f>VLOOKUP(D190,Products!$A$1:C194,3)</f>
        <v>Electronics</v>
      </c>
      <c r="M190" t="str">
        <f>VLOOKUP(Table2[[#This Row],[AgentID]],Sales_Agents!$A$1:C193,2)</f>
        <v>Akin</v>
      </c>
      <c r="N190" t="str">
        <f>VLOOKUP(Table2[[#This Row],[AgentID]],Sales_Agents!$A$1:C193,3)</f>
        <v>West</v>
      </c>
    </row>
    <row r="191" spans="1:14" x14ac:dyDescent="0.25">
      <c r="A191">
        <v>190</v>
      </c>
      <c r="B191" s="1">
        <v>45593</v>
      </c>
      <c r="C191" s="8" t="str">
        <f>TEXT(Table2[[#This Row],[OrderDate]],"mmm")</f>
        <v>Oct</v>
      </c>
      <c r="D191">
        <v>2</v>
      </c>
      <c r="E191">
        <v>4</v>
      </c>
      <c r="F191">
        <v>9</v>
      </c>
      <c r="G191" s="3">
        <v>333366</v>
      </c>
      <c r="H191" s="3">
        <f t="shared" si="4"/>
        <v>3000294</v>
      </c>
      <c r="I191" s="5">
        <f>Table2[[#This Row],[Total Revenue]]*0.3</f>
        <v>900088.2</v>
      </c>
      <c r="J191" s="6">
        <f t="shared" si="5"/>
        <v>0.3</v>
      </c>
      <c r="K191" t="str">
        <f>VLOOKUP(Table2[[#This Row],[ProductID]],Products!$A$1:C195,2)</f>
        <v>Phone</v>
      </c>
      <c r="L191" t="str">
        <f>VLOOKUP(D191,Products!$A$1:C195,3)</f>
        <v>Electronics</v>
      </c>
      <c r="M191" t="str">
        <f>VLOOKUP(Table2[[#This Row],[AgentID]],Sales_Agents!$A$1:C194,2)</f>
        <v>Zainab</v>
      </c>
      <c r="N191" t="str">
        <f>VLOOKUP(Table2[[#This Row],[AgentID]],Sales_Agents!$A$1:C194,3)</f>
        <v>North</v>
      </c>
    </row>
    <row r="192" spans="1:14" x14ac:dyDescent="0.25">
      <c r="A192">
        <v>191</v>
      </c>
      <c r="B192" s="1">
        <v>45328</v>
      </c>
      <c r="C192" s="8" t="str">
        <f>TEXT(Table2[[#This Row],[OrderDate]],"mmm")</f>
        <v>Feb</v>
      </c>
      <c r="D192">
        <v>1</v>
      </c>
      <c r="E192">
        <v>4</v>
      </c>
      <c r="F192">
        <v>8</v>
      </c>
      <c r="G192" s="3">
        <v>241507</v>
      </c>
      <c r="H192" s="3">
        <f t="shared" si="4"/>
        <v>1932056</v>
      </c>
      <c r="I192" s="5">
        <f>Table2[[#This Row],[Total Revenue]]*0.3</f>
        <v>579616.79999999993</v>
      </c>
      <c r="J192" s="6">
        <f t="shared" si="5"/>
        <v>0.3</v>
      </c>
      <c r="K192" t="str">
        <f>VLOOKUP(Table2[[#This Row],[ProductID]],Products!$A$1:C196,2)</f>
        <v>Laptop</v>
      </c>
      <c r="L192" t="str">
        <f>VLOOKUP(D192,Products!$A$1:C196,3)</f>
        <v>Electronics</v>
      </c>
      <c r="M192" t="str">
        <f>VLOOKUP(Table2[[#This Row],[AgentID]],Sales_Agents!$A$1:C195,2)</f>
        <v>Zainab</v>
      </c>
      <c r="N192" t="str">
        <f>VLOOKUP(Table2[[#This Row],[AgentID]],Sales_Agents!$A$1:C195,3)</f>
        <v>North</v>
      </c>
    </row>
    <row r="193" spans="1:14" x14ac:dyDescent="0.25">
      <c r="A193">
        <v>192</v>
      </c>
      <c r="B193" s="1">
        <v>45639</v>
      </c>
      <c r="C193" s="8" t="str">
        <f>TEXT(Table2[[#This Row],[OrderDate]],"mmm")</f>
        <v>Dec</v>
      </c>
      <c r="D193">
        <v>1</v>
      </c>
      <c r="E193">
        <v>4</v>
      </c>
      <c r="F193">
        <v>15</v>
      </c>
      <c r="G193" s="3">
        <v>175563</v>
      </c>
      <c r="H193" s="3">
        <f t="shared" si="4"/>
        <v>2633445</v>
      </c>
      <c r="I193" s="5">
        <f>Table2[[#This Row],[Total Revenue]]*0.3</f>
        <v>790033.5</v>
      </c>
      <c r="J193" s="6">
        <f t="shared" si="5"/>
        <v>0.3</v>
      </c>
      <c r="K193" t="str">
        <f>VLOOKUP(Table2[[#This Row],[ProductID]],Products!$A$1:C197,2)</f>
        <v>Laptop</v>
      </c>
      <c r="L193" t="str">
        <f>VLOOKUP(D193,Products!$A$1:C197,3)</f>
        <v>Electronics</v>
      </c>
      <c r="M193" t="str">
        <f>VLOOKUP(Table2[[#This Row],[AgentID]],Sales_Agents!$A$1:C196,2)</f>
        <v>Zainab</v>
      </c>
      <c r="N193" t="str">
        <f>VLOOKUP(Table2[[#This Row],[AgentID]],Sales_Agents!$A$1:C196,3)</f>
        <v>North</v>
      </c>
    </row>
    <row r="194" spans="1:14" x14ac:dyDescent="0.25">
      <c r="A194">
        <v>193</v>
      </c>
      <c r="B194" s="1">
        <v>45476</v>
      </c>
      <c r="C194" s="8" t="str">
        <f>TEXT(Table2[[#This Row],[OrderDate]],"mmm")</f>
        <v>Jul</v>
      </c>
      <c r="D194">
        <v>3</v>
      </c>
      <c r="E194">
        <v>1</v>
      </c>
      <c r="F194">
        <v>19</v>
      </c>
      <c r="G194" s="3">
        <v>213008</v>
      </c>
      <c r="H194" s="3">
        <f t="shared" ref="H194:H257" si="6">G194*F194</f>
        <v>4047152</v>
      </c>
      <c r="I194" s="5">
        <f>Table2[[#This Row],[Total Revenue]]*0.3</f>
        <v>1214145.5999999999</v>
      </c>
      <c r="J194" s="6">
        <f t="shared" ref="J194:J257" si="7">I194/H194</f>
        <v>0.3</v>
      </c>
      <c r="K194" t="str">
        <f>VLOOKUP(Table2[[#This Row],[ProductID]],Products!$A$1:C198,2)</f>
        <v>Tablet</v>
      </c>
      <c r="L194" t="str">
        <f>VLOOKUP(D194,Products!$A$1:C198,3)</f>
        <v>Electronics</v>
      </c>
      <c r="M194" t="str">
        <f>VLOOKUP(Table2[[#This Row],[AgentID]],Sales_Agents!$A$1:C197,2)</f>
        <v>Akin</v>
      </c>
      <c r="N194" t="str">
        <f>VLOOKUP(Table2[[#This Row],[AgentID]],Sales_Agents!$A$1:C197,3)</f>
        <v>West</v>
      </c>
    </row>
    <row r="195" spans="1:14" x14ac:dyDescent="0.25">
      <c r="A195">
        <v>194</v>
      </c>
      <c r="B195" s="1">
        <v>45361</v>
      </c>
      <c r="C195" s="8" t="str">
        <f>TEXT(Table2[[#This Row],[OrderDate]],"mmm")</f>
        <v>Mar</v>
      </c>
      <c r="D195">
        <v>3</v>
      </c>
      <c r="E195">
        <v>2</v>
      </c>
      <c r="F195">
        <v>11</v>
      </c>
      <c r="G195" s="3">
        <v>89606</v>
      </c>
      <c r="H195" s="3">
        <f t="shared" si="6"/>
        <v>985666</v>
      </c>
      <c r="I195" s="5">
        <f>Table2[[#This Row],[Total Revenue]]*0.3</f>
        <v>295699.8</v>
      </c>
      <c r="J195" s="6">
        <f t="shared" si="7"/>
        <v>0.3</v>
      </c>
      <c r="K195" t="str">
        <f>VLOOKUP(Table2[[#This Row],[ProductID]],Products!$A$1:C199,2)</f>
        <v>Tablet</v>
      </c>
      <c r="L195" t="str">
        <f>VLOOKUP(D195,Products!$A$1:C199,3)</f>
        <v>Electronics</v>
      </c>
      <c r="M195" t="str">
        <f>VLOOKUP(Table2[[#This Row],[AgentID]],Sales_Agents!$A$1:C198,2)</f>
        <v>Blessing</v>
      </c>
      <c r="N195" t="str">
        <f>VLOOKUP(Table2[[#This Row],[AgentID]],Sales_Agents!$A$1:C198,3)</f>
        <v>East</v>
      </c>
    </row>
    <row r="196" spans="1:14" x14ac:dyDescent="0.25">
      <c r="A196">
        <v>195</v>
      </c>
      <c r="B196" s="1">
        <v>45543</v>
      </c>
      <c r="C196" s="8" t="str">
        <f>TEXT(Table2[[#This Row],[OrderDate]],"mmm")</f>
        <v>Sept</v>
      </c>
      <c r="D196">
        <v>2</v>
      </c>
      <c r="E196">
        <v>3</v>
      </c>
      <c r="F196">
        <v>9</v>
      </c>
      <c r="G196" s="3">
        <v>68443</v>
      </c>
      <c r="H196" s="3">
        <f t="shared" si="6"/>
        <v>615987</v>
      </c>
      <c r="I196" s="5">
        <f>Table2[[#This Row],[Total Revenue]]*0.3</f>
        <v>184796.1</v>
      </c>
      <c r="J196" s="6">
        <f t="shared" si="7"/>
        <v>0.3</v>
      </c>
      <c r="K196" t="str">
        <f>VLOOKUP(Table2[[#This Row],[ProductID]],Products!$A$1:C200,2)</f>
        <v>Phone</v>
      </c>
      <c r="L196" t="str">
        <f>VLOOKUP(D196,Products!$A$1:C200,3)</f>
        <v>Electronics</v>
      </c>
      <c r="M196" t="str">
        <f>VLOOKUP(Table2[[#This Row],[AgentID]],Sales_Agents!$A$1:C199,2)</f>
        <v>Chinedu</v>
      </c>
      <c r="N196" t="str">
        <f>VLOOKUP(Table2[[#This Row],[AgentID]],Sales_Agents!$A$1:C199,3)</f>
        <v>South</v>
      </c>
    </row>
    <row r="197" spans="1:14" x14ac:dyDescent="0.25">
      <c r="A197">
        <v>196</v>
      </c>
      <c r="B197" s="1">
        <v>45468</v>
      </c>
      <c r="C197" s="8" t="str">
        <f>TEXT(Table2[[#This Row],[OrderDate]],"mmm")</f>
        <v>Jun</v>
      </c>
      <c r="D197">
        <v>1</v>
      </c>
      <c r="E197">
        <v>1</v>
      </c>
      <c r="F197">
        <v>13</v>
      </c>
      <c r="G197" s="3">
        <v>288505</v>
      </c>
      <c r="H197" s="3">
        <f t="shared" si="6"/>
        <v>3750565</v>
      </c>
      <c r="I197" s="5">
        <f>Table2[[#This Row],[Total Revenue]]*0.3</f>
        <v>1125169.5</v>
      </c>
      <c r="J197" s="6">
        <f t="shared" si="7"/>
        <v>0.3</v>
      </c>
      <c r="K197" t="str">
        <f>VLOOKUP(Table2[[#This Row],[ProductID]],Products!$A$1:C201,2)</f>
        <v>Laptop</v>
      </c>
      <c r="L197" t="str">
        <f>VLOOKUP(D197,Products!$A$1:C201,3)</f>
        <v>Electronics</v>
      </c>
      <c r="M197" t="str">
        <f>VLOOKUP(Table2[[#This Row],[AgentID]],Sales_Agents!$A$1:C200,2)</f>
        <v>Akin</v>
      </c>
      <c r="N197" t="str">
        <f>VLOOKUP(Table2[[#This Row],[AgentID]],Sales_Agents!$A$1:C200,3)</f>
        <v>West</v>
      </c>
    </row>
    <row r="198" spans="1:14" x14ac:dyDescent="0.25">
      <c r="A198">
        <v>197</v>
      </c>
      <c r="B198" s="1">
        <v>45534</v>
      </c>
      <c r="C198" s="8" t="str">
        <f>TEXT(Table2[[#This Row],[OrderDate]],"mmm")</f>
        <v>Aug</v>
      </c>
      <c r="D198">
        <v>4</v>
      </c>
      <c r="E198">
        <v>3</v>
      </c>
      <c r="F198">
        <v>16</v>
      </c>
      <c r="G198" s="3">
        <v>384297</v>
      </c>
      <c r="H198" s="3">
        <f t="shared" si="6"/>
        <v>6148752</v>
      </c>
      <c r="I198" s="5">
        <f>Table2[[#This Row],[Total Revenue]]*0.3</f>
        <v>1844625.5999999999</v>
      </c>
      <c r="J198" s="6">
        <f t="shared" si="7"/>
        <v>0.3</v>
      </c>
      <c r="K198" t="str">
        <f>VLOOKUP(Table2[[#This Row],[ProductID]],Products!$A$1:C202,2)</f>
        <v>Printer</v>
      </c>
      <c r="L198" t="str">
        <f>VLOOKUP(D198,Products!$A$1:C202,3)</f>
        <v>Accessories</v>
      </c>
      <c r="M198" t="str">
        <f>VLOOKUP(Table2[[#This Row],[AgentID]],Sales_Agents!$A$1:C201,2)</f>
        <v>Chinedu</v>
      </c>
      <c r="N198" t="str">
        <f>VLOOKUP(Table2[[#This Row],[AgentID]],Sales_Agents!$A$1:C201,3)</f>
        <v>South</v>
      </c>
    </row>
    <row r="199" spans="1:14" x14ac:dyDescent="0.25">
      <c r="A199">
        <v>198</v>
      </c>
      <c r="B199" s="1">
        <v>45346</v>
      </c>
      <c r="C199" s="8" t="str">
        <f>TEXT(Table2[[#This Row],[OrderDate]],"mmm")</f>
        <v>Feb</v>
      </c>
      <c r="D199">
        <v>3</v>
      </c>
      <c r="E199">
        <v>2</v>
      </c>
      <c r="F199">
        <v>1</v>
      </c>
      <c r="G199" s="3">
        <v>295919</v>
      </c>
      <c r="H199" s="3">
        <f t="shared" si="6"/>
        <v>295919</v>
      </c>
      <c r="I199" s="5">
        <f>Table2[[#This Row],[Total Revenue]]*0.3</f>
        <v>88775.7</v>
      </c>
      <c r="J199" s="6">
        <f t="shared" si="7"/>
        <v>0.3</v>
      </c>
      <c r="K199" t="str">
        <f>VLOOKUP(Table2[[#This Row],[ProductID]],Products!$A$1:C203,2)</f>
        <v>Tablet</v>
      </c>
      <c r="L199" t="str">
        <f>VLOOKUP(D199,Products!$A$1:C203,3)</f>
        <v>Electronics</v>
      </c>
      <c r="M199" t="str">
        <f>VLOOKUP(Table2[[#This Row],[AgentID]],Sales_Agents!$A$1:C202,2)</f>
        <v>Blessing</v>
      </c>
      <c r="N199" t="str">
        <f>VLOOKUP(Table2[[#This Row],[AgentID]],Sales_Agents!$A$1:C202,3)</f>
        <v>East</v>
      </c>
    </row>
    <row r="200" spans="1:14" x14ac:dyDescent="0.25">
      <c r="A200">
        <v>199</v>
      </c>
      <c r="B200" s="1">
        <v>45429</v>
      </c>
      <c r="C200" s="8" t="str">
        <f>TEXT(Table2[[#This Row],[OrderDate]],"mmm")</f>
        <v>May</v>
      </c>
      <c r="D200">
        <v>5</v>
      </c>
      <c r="E200">
        <v>1</v>
      </c>
      <c r="F200">
        <v>8</v>
      </c>
      <c r="G200" s="3">
        <v>128613</v>
      </c>
      <c r="H200" s="3">
        <f t="shared" si="6"/>
        <v>1028904</v>
      </c>
      <c r="I200" s="5">
        <f>Table2[[#This Row],[Total Revenue]]*0.3</f>
        <v>308671.2</v>
      </c>
      <c r="J200" s="6">
        <f t="shared" si="7"/>
        <v>0.3</v>
      </c>
      <c r="K200" t="str">
        <f>VLOOKUP(Table2[[#This Row],[ProductID]],Products!$A$1:C204,2)</f>
        <v>Monitor</v>
      </c>
      <c r="L200" t="str">
        <f>VLOOKUP(D200,Products!$A$1:C204,3)</f>
        <v>Accessories</v>
      </c>
      <c r="M200" t="str">
        <f>VLOOKUP(Table2[[#This Row],[AgentID]],Sales_Agents!$A$1:C203,2)</f>
        <v>Akin</v>
      </c>
      <c r="N200" t="str">
        <f>VLOOKUP(Table2[[#This Row],[AgentID]],Sales_Agents!$A$1:C203,3)</f>
        <v>West</v>
      </c>
    </row>
    <row r="201" spans="1:14" x14ac:dyDescent="0.25">
      <c r="A201">
        <v>200</v>
      </c>
      <c r="B201" s="1">
        <v>45360</v>
      </c>
      <c r="C201" s="8" t="str">
        <f>TEXT(Table2[[#This Row],[OrderDate]],"mmm")</f>
        <v>Mar</v>
      </c>
      <c r="D201">
        <v>4</v>
      </c>
      <c r="E201">
        <v>4</v>
      </c>
      <c r="F201">
        <v>2</v>
      </c>
      <c r="G201" s="3">
        <v>388682</v>
      </c>
      <c r="H201" s="3">
        <f t="shared" si="6"/>
        <v>777364</v>
      </c>
      <c r="I201" s="5">
        <f>Table2[[#This Row],[Total Revenue]]*0.3</f>
        <v>233209.19999999998</v>
      </c>
      <c r="J201" s="6">
        <f t="shared" si="7"/>
        <v>0.3</v>
      </c>
      <c r="K201" t="str">
        <f>VLOOKUP(Table2[[#This Row],[ProductID]],Products!$A$1:C205,2)</f>
        <v>Printer</v>
      </c>
      <c r="L201" t="str">
        <f>VLOOKUP(D201,Products!$A$1:C205,3)</f>
        <v>Accessories</v>
      </c>
      <c r="M201" t="str">
        <f>VLOOKUP(Table2[[#This Row],[AgentID]],Sales_Agents!$A$1:C204,2)</f>
        <v>Zainab</v>
      </c>
      <c r="N201" t="str">
        <f>VLOOKUP(Table2[[#This Row],[AgentID]],Sales_Agents!$A$1:C204,3)</f>
        <v>North</v>
      </c>
    </row>
    <row r="202" spans="1:14" x14ac:dyDescent="0.25">
      <c r="A202">
        <v>201</v>
      </c>
      <c r="B202" s="1">
        <v>45542</v>
      </c>
      <c r="C202" s="8" t="str">
        <f>TEXT(Table2[[#This Row],[OrderDate]],"mmm")</f>
        <v>Sept</v>
      </c>
      <c r="D202">
        <v>1</v>
      </c>
      <c r="E202">
        <v>4</v>
      </c>
      <c r="F202">
        <v>9</v>
      </c>
      <c r="G202" s="3">
        <v>365556</v>
      </c>
      <c r="H202" s="3">
        <f t="shared" si="6"/>
        <v>3290004</v>
      </c>
      <c r="I202" s="5">
        <f>Table2[[#This Row],[Total Revenue]]*0.3</f>
        <v>987001.2</v>
      </c>
      <c r="J202" s="6">
        <f t="shared" si="7"/>
        <v>0.3</v>
      </c>
      <c r="K202" t="str">
        <f>VLOOKUP(Table2[[#This Row],[ProductID]],Products!$A$1:C206,2)</f>
        <v>Laptop</v>
      </c>
      <c r="L202" t="str">
        <f>VLOOKUP(D202,Products!$A$1:C206,3)</f>
        <v>Electronics</v>
      </c>
      <c r="M202" t="str">
        <f>VLOOKUP(Table2[[#This Row],[AgentID]],Sales_Agents!$A$1:C205,2)</f>
        <v>Zainab</v>
      </c>
      <c r="N202" t="str">
        <f>VLOOKUP(Table2[[#This Row],[AgentID]],Sales_Agents!$A$1:C205,3)</f>
        <v>North</v>
      </c>
    </row>
    <row r="203" spans="1:14" x14ac:dyDescent="0.25">
      <c r="A203">
        <v>202</v>
      </c>
      <c r="B203" s="1">
        <v>45479</v>
      </c>
      <c r="C203" s="8" t="str">
        <f>TEXT(Table2[[#This Row],[OrderDate]],"mmm")</f>
        <v>Jul</v>
      </c>
      <c r="D203">
        <v>5</v>
      </c>
      <c r="E203">
        <v>2</v>
      </c>
      <c r="F203">
        <v>13</v>
      </c>
      <c r="G203" s="3">
        <v>377017</v>
      </c>
      <c r="H203" s="3">
        <f t="shared" si="6"/>
        <v>4901221</v>
      </c>
      <c r="I203" s="5">
        <f>Table2[[#This Row],[Total Revenue]]*0.3</f>
        <v>1470366.3</v>
      </c>
      <c r="J203" s="6">
        <f t="shared" si="7"/>
        <v>0.3</v>
      </c>
      <c r="K203" t="str">
        <f>VLOOKUP(Table2[[#This Row],[ProductID]],Products!$A$1:C207,2)</f>
        <v>Monitor</v>
      </c>
      <c r="L203" t="str">
        <f>VLOOKUP(D203,Products!$A$1:C207,3)</f>
        <v>Accessories</v>
      </c>
      <c r="M203" t="str">
        <f>VLOOKUP(Table2[[#This Row],[AgentID]],Sales_Agents!$A$1:C206,2)</f>
        <v>Blessing</v>
      </c>
      <c r="N203" t="str">
        <f>VLOOKUP(Table2[[#This Row],[AgentID]],Sales_Agents!$A$1:C206,3)</f>
        <v>East</v>
      </c>
    </row>
    <row r="204" spans="1:14" x14ac:dyDescent="0.25">
      <c r="A204">
        <v>203</v>
      </c>
      <c r="B204" s="1">
        <v>45559</v>
      </c>
      <c r="C204" s="8" t="str">
        <f>TEXT(Table2[[#This Row],[OrderDate]],"mmm")</f>
        <v>Sept</v>
      </c>
      <c r="D204">
        <v>1</v>
      </c>
      <c r="E204">
        <v>3</v>
      </c>
      <c r="F204">
        <v>17</v>
      </c>
      <c r="G204" s="3">
        <v>116131</v>
      </c>
      <c r="H204" s="3">
        <f t="shared" si="6"/>
        <v>1974227</v>
      </c>
      <c r="I204" s="5">
        <f>Table2[[#This Row],[Total Revenue]]*0.3</f>
        <v>592268.1</v>
      </c>
      <c r="J204" s="6">
        <f t="shared" si="7"/>
        <v>0.3</v>
      </c>
      <c r="K204" t="str">
        <f>VLOOKUP(Table2[[#This Row],[ProductID]],Products!$A$1:C208,2)</f>
        <v>Laptop</v>
      </c>
      <c r="L204" t="str">
        <f>VLOOKUP(D204,Products!$A$1:C208,3)</f>
        <v>Electronics</v>
      </c>
      <c r="M204" t="str">
        <f>VLOOKUP(Table2[[#This Row],[AgentID]],Sales_Agents!$A$1:C207,2)</f>
        <v>Chinedu</v>
      </c>
      <c r="N204" t="str">
        <f>VLOOKUP(Table2[[#This Row],[AgentID]],Sales_Agents!$A$1:C207,3)</f>
        <v>South</v>
      </c>
    </row>
    <row r="205" spans="1:14" x14ac:dyDescent="0.25">
      <c r="A205">
        <v>204</v>
      </c>
      <c r="B205" s="1">
        <v>45393</v>
      </c>
      <c r="C205" s="8" t="str">
        <f>TEXT(Table2[[#This Row],[OrderDate]],"mmm")</f>
        <v>Apr</v>
      </c>
      <c r="D205">
        <v>2</v>
      </c>
      <c r="E205">
        <v>4</v>
      </c>
      <c r="F205">
        <v>18</v>
      </c>
      <c r="G205" s="3">
        <v>132072</v>
      </c>
      <c r="H205" s="3">
        <f t="shared" si="6"/>
        <v>2377296</v>
      </c>
      <c r="I205" s="5">
        <f>Table2[[#This Row],[Total Revenue]]*0.3</f>
        <v>713188.79999999993</v>
      </c>
      <c r="J205" s="6">
        <f t="shared" si="7"/>
        <v>0.3</v>
      </c>
      <c r="K205" t="str">
        <f>VLOOKUP(Table2[[#This Row],[ProductID]],Products!$A$1:C209,2)</f>
        <v>Phone</v>
      </c>
      <c r="L205" t="str">
        <f>VLOOKUP(D205,Products!$A$1:C209,3)</f>
        <v>Electronics</v>
      </c>
      <c r="M205" t="str">
        <f>VLOOKUP(Table2[[#This Row],[AgentID]],Sales_Agents!$A$1:C208,2)</f>
        <v>Zainab</v>
      </c>
      <c r="N205" t="str">
        <f>VLOOKUP(Table2[[#This Row],[AgentID]],Sales_Agents!$A$1:C208,3)</f>
        <v>North</v>
      </c>
    </row>
    <row r="206" spans="1:14" x14ac:dyDescent="0.25">
      <c r="A206">
        <v>205</v>
      </c>
      <c r="B206" s="1">
        <v>45513</v>
      </c>
      <c r="C206" s="8" t="str">
        <f>TEXT(Table2[[#This Row],[OrderDate]],"mmm")</f>
        <v>Aug</v>
      </c>
      <c r="D206">
        <v>1</v>
      </c>
      <c r="E206">
        <v>1</v>
      </c>
      <c r="F206">
        <v>20</v>
      </c>
      <c r="G206" s="3">
        <v>271896</v>
      </c>
      <c r="H206" s="3">
        <f t="shared" si="6"/>
        <v>5437920</v>
      </c>
      <c r="I206" s="5">
        <f>Table2[[#This Row],[Total Revenue]]*0.3</f>
        <v>1631376</v>
      </c>
      <c r="J206" s="6">
        <f t="shared" si="7"/>
        <v>0.3</v>
      </c>
      <c r="K206" t="str">
        <f>VLOOKUP(Table2[[#This Row],[ProductID]],Products!$A$1:C210,2)</f>
        <v>Laptop</v>
      </c>
      <c r="L206" t="str">
        <f>VLOOKUP(D206,Products!$A$1:C210,3)</f>
        <v>Electronics</v>
      </c>
      <c r="M206" t="str">
        <f>VLOOKUP(Table2[[#This Row],[AgentID]],Sales_Agents!$A$1:C209,2)</f>
        <v>Akin</v>
      </c>
      <c r="N206" t="str">
        <f>VLOOKUP(Table2[[#This Row],[AgentID]],Sales_Agents!$A$1:C209,3)</f>
        <v>West</v>
      </c>
    </row>
    <row r="207" spans="1:14" x14ac:dyDescent="0.25">
      <c r="A207">
        <v>206</v>
      </c>
      <c r="B207" s="1">
        <v>45368</v>
      </c>
      <c r="C207" s="8" t="str">
        <f>TEXT(Table2[[#This Row],[OrderDate]],"mmm")</f>
        <v>Mar</v>
      </c>
      <c r="D207">
        <v>3</v>
      </c>
      <c r="E207">
        <v>1</v>
      </c>
      <c r="F207">
        <v>2</v>
      </c>
      <c r="G207" s="3">
        <v>372910</v>
      </c>
      <c r="H207" s="3">
        <f t="shared" si="6"/>
        <v>745820</v>
      </c>
      <c r="I207" s="5">
        <f>Table2[[#This Row],[Total Revenue]]*0.3</f>
        <v>223746</v>
      </c>
      <c r="J207" s="6">
        <f t="shared" si="7"/>
        <v>0.3</v>
      </c>
      <c r="K207" t="str">
        <f>VLOOKUP(Table2[[#This Row],[ProductID]],Products!$A$1:C211,2)</f>
        <v>Tablet</v>
      </c>
      <c r="L207" t="str">
        <f>VLOOKUP(D207,Products!$A$1:C211,3)</f>
        <v>Electronics</v>
      </c>
      <c r="M207" t="str">
        <f>VLOOKUP(Table2[[#This Row],[AgentID]],Sales_Agents!$A$1:C210,2)</f>
        <v>Akin</v>
      </c>
      <c r="N207" t="str">
        <f>VLOOKUP(Table2[[#This Row],[AgentID]],Sales_Agents!$A$1:C210,3)</f>
        <v>West</v>
      </c>
    </row>
    <row r="208" spans="1:14" x14ac:dyDescent="0.25">
      <c r="A208">
        <v>207</v>
      </c>
      <c r="B208" s="1">
        <v>45651</v>
      </c>
      <c r="C208" s="8" t="str">
        <f>TEXT(Table2[[#This Row],[OrderDate]],"mmm")</f>
        <v>Dec</v>
      </c>
      <c r="D208">
        <v>3</v>
      </c>
      <c r="E208">
        <v>1</v>
      </c>
      <c r="F208">
        <v>19</v>
      </c>
      <c r="G208" s="3">
        <v>387137</v>
      </c>
      <c r="H208" s="3">
        <f t="shared" si="6"/>
        <v>7355603</v>
      </c>
      <c r="I208" s="5">
        <f>Table2[[#This Row],[Total Revenue]]*0.3</f>
        <v>2206680.9</v>
      </c>
      <c r="J208" s="6">
        <f t="shared" si="7"/>
        <v>0.3</v>
      </c>
      <c r="K208" t="str">
        <f>VLOOKUP(Table2[[#This Row],[ProductID]],Products!$A$1:C212,2)</f>
        <v>Tablet</v>
      </c>
      <c r="L208" t="str">
        <f>VLOOKUP(D208,Products!$A$1:C212,3)</f>
        <v>Electronics</v>
      </c>
      <c r="M208" t="str">
        <f>VLOOKUP(Table2[[#This Row],[AgentID]],Sales_Agents!$A$1:C211,2)</f>
        <v>Akin</v>
      </c>
      <c r="N208" t="str">
        <f>VLOOKUP(Table2[[#This Row],[AgentID]],Sales_Agents!$A$1:C211,3)</f>
        <v>West</v>
      </c>
    </row>
    <row r="209" spans="1:14" x14ac:dyDescent="0.25">
      <c r="A209">
        <v>208</v>
      </c>
      <c r="B209" s="1">
        <v>45607</v>
      </c>
      <c r="C209" s="8" t="str">
        <f>TEXT(Table2[[#This Row],[OrderDate]],"mmm")</f>
        <v>Nov</v>
      </c>
      <c r="D209">
        <v>2</v>
      </c>
      <c r="E209">
        <v>2</v>
      </c>
      <c r="F209">
        <v>4</v>
      </c>
      <c r="G209" s="3">
        <v>135847</v>
      </c>
      <c r="H209" s="3">
        <f t="shared" si="6"/>
        <v>543388</v>
      </c>
      <c r="I209" s="5">
        <f>Table2[[#This Row],[Total Revenue]]*0.3</f>
        <v>163016.4</v>
      </c>
      <c r="J209" s="6">
        <f t="shared" si="7"/>
        <v>0.3</v>
      </c>
      <c r="K209" t="str">
        <f>VLOOKUP(Table2[[#This Row],[ProductID]],Products!$A$1:C213,2)</f>
        <v>Phone</v>
      </c>
      <c r="L209" t="str">
        <f>VLOOKUP(D209,Products!$A$1:C213,3)</f>
        <v>Electronics</v>
      </c>
      <c r="M209" t="str">
        <f>VLOOKUP(Table2[[#This Row],[AgentID]],Sales_Agents!$A$1:C212,2)</f>
        <v>Blessing</v>
      </c>
      <c r="N209" t="str">
        <f>VLOOKUP(Table2[[#This Row],[AgentID]],Sales_Agents!$A$1:C212,3)</f>
        <v>East</v>
      </c>
    </row>
    <row r="210" spans="1:14" x14ac:dyDescent="0.25">
      <c r="A210">
        <v>209</v>
      </c>
      <c r="B210" s="1">
        <v>45478</v>
      </c>
      <c r="C210" s="8" t="str">
        <f>TEXT(Table2[[#This Row],[OrderDate]],"mmm")</f>
        <v>Jul</v>
      </c>
      <c r="D210">
        <v>3</v>
      </c>
      <c r="E210">
        <v>1</v>
      </c>
      <c r="F210">
        <v>20</v>
      </c>
      <c r="G210" s="3">
        <v>191411</v>
      </c>
      <c r="H210" s="3">
        <f t="shared" si="6"/>
        <v>3828220</v>
      </c>
      <c r="I210" s="5">
        <f>Table2[[#This Row],[Total Revenue]]*0.3</f>
        <v>1148466</v>
      </c>
      <c r="J210" s="6">
        <f t="shared" si="7"/>
        <v>0.3</v>
      </c>
      <c r="K210" t="str">
        <f>VLOOKUP(Table2[[#This Row],[ProductID]],Products!$A$1:C214,2)</f>
        <v>Tablet</v>
      </c>
      <c r="L210" t="str">
        <f>VLOOKUP(D210,Products!$A$1:C214,3)</f>
        <v>Electronics</v>
      </c>
      <c r="M210" t="str">
        <f>VLOOKUP(Table2[[#This Row],[AgentID]],Sales_Agents!$A$1:C213,2)</f>
        <v>Akin</v>
      </c>
      <c r="N210" t="str">
        <f>VLOOKUP(Table2[[#This Row],[AgentID]],Sales_Agents!$A$1:C213,3)</f>
        <v>West</v>
      </c>
    </row>
    <row r="211" spans="1:14" x14ac:dyDescent="0.25">
      <c r="A211">
        <v>210</v>
      </c>
      <c r="B211" s="1">
        <v>45384</v>
      </c>
      <c r="C211" s="8" t="str">
        <f>TEXT(Table2[[#This Row],[OrderDate]],"mmm")</f>
        <v>Apr</v>
      </c>
      <c r="D211">
        <v>3</v>
      </c>
      <c r="E211">
        <v>4</v>
      </c>
      <c r="F211">
        <v>16</v>
      </c>
      <c r="G211" s="3">
        <v>260508</v>
      </c>
      <c r="H211" s="3">
        <f t="shared" si="6"/>
        <v>4168128</v>
      </c>
      <c r="I211" s="5">
        <f>Table2[[#This Row],[Total Revenue]]*0.3</f>
        <v>1250438.3999999999</v>
      </c>
      <c r="J211" s="6">
        <f t="shared" si="7"/>
        <v>0.3</v>
      </c>
      <c r="K211" t="str">
        <f>VLOOKUP(Table2[[#This Row],[ProductID]],Products!$A$1:C215,2)</f>
        <v>Tablet</v>
      </c>
      <c r="L211" t="str">
        <f>VLOOKUP(D211,Products!$A$1:C215,3)</f>
        <v>Electronics</v>
      </c>
      <c r="M211" t="str">
        <f>VLOOKUP(Table2[[#This Row],[AgentID]],Sales_Agents!$A$1:C214,2)</f>
        <v>Zainab</v>
      </c>
      <c r="N211" t="str">
        <f>VLOOKUP(Table2[[#This Row],[AgentID]],Sales_Agents!$A$1:C214,3)</f>
        <v>North</v>
      </c>
    </row>
    <row r="212" spans="1:14" x14ac:dyDescent="0.25">
      <c r="A212">
        <v>211</v>
      </c>
      <c r="B212" s="1">
        <v>45417</v>
      </c>
      <c r="C212" s="8" t="str">
        <f>TEXT(Table2[[#This Row],[OrderDate]],"mmm")</f>
        <v>May</v>
      </c>
      <c r="D212">
        <v>2</v>
      </c>
      <c r="E212">
        <v>2</v>
      </c>
      <c r="F212">
        <v>4</v>
      </c>
      <c r="G212" s="3">
        <v>221069</v>
      </c>
      <c r="H212" s="3">
        <f t="shared" si="6"/>
        <v>884276</v>
      </c>
      <c r="I212" s="5">
        <f>Table2[[#This Row],[Total Revenue]]*0.3</f>
        <v>265282.8</v>
      </c>
      <c r="J212" s="6">
        <f t="shared" si="7"/>
        <v>0.3</v>
      </c>
      <c r="K212" t="str">
        <f>VLOOKUP(Table2[[#This Row],[ProductID]],Products!$A$1:C216,2)</f>
        <v>Phone</v>
      </c>
      <c r="L212" t="str">
        <f>VLOOKUP(D212,Products!$A$1:C216,3)</f>
        <v>Electronics</v>
      </c>
      <c r="M212" t="str">
        <f>VLOOKUP(Table2[[#This Row],[AgentID]],Sales_Agents!$A$1:C215,2)</f>
        <v>Blessing</v>
      </c>
      <c r="N212" t="str">
        <f>VLOOKUP(Table2[[#This Row],[AgentID]],Sales_Agents!$A$1:C215,3)</f>
        <v>East</v>
      </c>
    </row>
    <row r="213" spans="1:14" x14ac:dyDescent="0.25">
      <c r="A213">
        <v>212</v>
      </c>
      <c r="B213" s="1">
        <v>45655</v>
      </c>
      <c r="C213" s="8" t="str">
        <f>TEXT(Table2[[#This Row],[OrderDate]],"mmm")</f>
        <v>Dec</v>
      </c>
      <c r="D213">
        <v>3</v>
      </c>
      <c r="E213">
        <v>1</v>
      </c>
      <c r="F213">
        <v>2</v>
      </c>
      <c r="G213" s="3">
        <v>357296</v>
      </c>
      <c r="H213" s="3">
        <f t="shared" si="6"/>
        <v>714592</v>
      </c>
      <c r="I213" s="5">
        <f>Table2[[#This Row],[Total Revenue]]*0.3</f>
        <v>214377.60000000001</v>
      </c>
      <c r="J213" s="6">
        <f t="shared" si="7"/>
        <v>0.3</v>
      </c>
      <c r="K213" t="str">
        <f>VLOOKUP(Table2[[#This Row],[ProductID]],Products!$A$1:C217,2)</f>
        <v>Tablet</v>
      </c>
      <c r="L213" t="str">
        <f>VLOOKUP(D213,Products!$A$1:C217,3)</f>
        <v>Electronics</v>
      </c>
      <c r="M213" t="str">
        <f>VLOOKUP(Table2[[#This Row],[AgentID]],Sales_Agents!$A$1:C216,2)</f>
        <v>Akin</v>
      </c>
      <c r="N213" t="str">
        <f>VLOOKUP(Table2[[#This Row],[AgentID]],Sales_Agents!$A$1:C216,3)</f>
        <v>West</v>
      </c>
    </row>
    <row r="214" spans="1:14" x14ac:dyDescent="0.25">
      <c r="A214">
        <v>213</v>
      </c>
      <c r="B214" s="1">
        <v>45600</v>
      </c>
      <c r="C214" s="8" t="str">
        <f>TEXT(Table2[[#This Row],[OrderDate]],"mmm")</f>
        <v>Nov</v>
      </c>
      <c r="D214">
        <v>4</v>
      </c>
      <c r="E214">
        <v>1</v>
      </c>
      <c r="F214">
        <v>19</v>
      </c>
      <c r="G214" s="3">
        <v>327007</v>
      </c>
      <c r="H214" s="3">
        <f t="shared" si="6"/>
        <v>6213133</v>
      </c>
      <c r="I214" s="5">
        <f>Table2[[#This Row],[Total Revenue]]*0.3</f>
        <v>1863939.9</v>
      </c>
      <c r="J214" s="6">
        <f t="shared" si="7"/>
        <v>0.3</v>
      </c>
      <c r="K214" t="str">
        <f>VLOOKUP(Table2[[#This Row],[ProductID]],Products!$A$1:C218,2)</f>
        <v>Printer</v>
      </c>
      <c r="L214" t="str">
        <f>VLOOKUP(D214,Products!$A$1:C218,3)</f>
        <v>Accessories</v>
      </c>
      <c r="M214" t="str">
        <f>VLOOKUP(Table2[[#This Row],[AgentID]],Sales_Agents!$A$1:C217,2)</f>
        <v>Akin</v>
      </c>
      <c r="N214" t="str">
        <f>VLOOKUP(Table2[[#This Row],[AgentID]],Sales_Agents!$A$1:C217,3)</f>
        <v>West</v>
      </c>
    </row>
    <row r="215" spans="1:14" x14ac:dyDescent="0.25">
      <c r="A215">
        <v>214</v>
      </c>
      <c r="B215" s="1">
        <v>45448</v>
      </c>
      <c r="C215" s="8" t="str">
        <f>TEXT(Table2[[#This Row],[OrderDate]],"mmm")</f>
        <v>Jun</v>
      </c>
      <c r="D215">
        <v>1</v>
      </c>
      <c r="E215">
        <v>1</v>
      </c>
      <c r="F215">
        <v>8</v>
      </c>
      <c r="G215" s="3">
        <v>211167</v>
      </c>
      <c r="H215" s="3">
        <f t="shared" si="6"/>
        <v>1689336</v>
      </c>
      <c r="I215" s="5">
        <f>Table2[[#This Row],[Total Revenue]]*0.3</f>
        <v>506800.8</v>
      </c>
      <c r="J215" s="6">
        <f t="shared" si="7"/>
        <v>0.3</v>
      </c>
      <c r="K215" t="str">
        <f>VLOOKUP(Table2[[#This Row],[ProductID]],Products!$A$1:C219,2)</f>
        <v>Laptop</v>
      </c>
      <c r="L215" t="str">
        <f>VLOOKUP(D215,Products!$A$1:C219,3)</f>
        <v>Electronics</v>
      </c>
      <c r="M215" t="str">
        <f>VLOOKUP(Table2[[#This Row],[AgentID]],Sales_Agents!$A$1:C218,2)</f>
        <v>Akin</v>
      </c>
      <c r="N215" t="str">
        <f>VLOOKUP(Table2[[#This Row],[AgentID]],Sales_Agents!$A$1:C218,3)</f>
        <v>West</v>
      </c>
    </row>
    <row r="216" spans="1:14" x14ac:dyDescent="0.25">
      <c r="A216">
        <v>215</v>
      </c>
      <c r="B216" s="1">
        <v>45384</v>
      </c>
      <c r="C216" s="8" t="str">
        <f>TEXT(Table2[[#This Row],[OrderDate]],"mmm")</f>
        <v>Apr</v>
      </c>
      <c r="D216">
        <v>2</v>
      </c>
      <c r="E216">
        <v>1</v>
      </c>
      <c r="F216">
        <v>17</v>
      </c>
      <c r="G216" s="3">
        <v>89696</v>
      </c>
      <c r="H216" s="3">
        <f t="shared" si="6"/>
        <v>1524832</v>
      </c>
      <c r="I216" s="5">
        <f>Table2[[#This Row],[Total Revenue]]*0.3</f>
        <v>457449.6</v>
      </c>
      <c r="J216" s="6">
        <f t="shared" si="7"/>
        <v>0.3</v>
      </c>
      <c r="K216" t="str">
        <f>VLOOKUP(Table2[[#This Row],[ProductID]],Products!$A$1:C220,2)</f>
        <v>Phone</v>
      </c>
      <c r="L216" t="str">
        <f>VLOOKUP(D216,Products!$A$1:C220,3)</f>
        <v>Electronics</v>
      </c>
      <c r="M216" t="str">
        <f>VLOOKUP(Table2[[#This Row],[AgentID]],Sales_Agents!$A$1:C219,2)</f>
        <v>Akin</v>
      </c>
      <c r="N216" t="str">
        <f>VLOOKUP(Table2[[#This Row],[AgentID]],Sales_Agents!$A$1:C219,3)</f>
        <v>West</v>
      </c>
    </row>
    <row r="217" spans="1:14" x14ac:dyDescent="0.25">
      <c r="A217">
        <v>216</v>
      </c>
      <c r="B217" s="1">
        <v>45519</v>
      </c>
      <c r="C217" s="8" t="str">
        <f>TEXT(Table2[[#This Row],[OrderDate]],"mmm")</f>
        <v>Aug</v>
      </c>
      <c r="D217">
        <v>4</v>
      </c>
      <c r="E217">
        <v>4</v>
      </c>
      <c r="F217">
        <v>12</v>
      </c>
      <c r="G217" s="3">
        <v>170363</v>
      </c>
      <c r="H217" s="3">
        <f t="shared" si="6"/>
        <v>2044356</v>
      </c>
      <c r="I217" s="5">
        <f>Table2[[#This Row],[Total Revenue]]*0.3</f>
        <v>613306.79999999993</v>
      </c>
      <c r="J217" s="6">
        <f t="shared" si="7"/>
        <v>0.3</v>
      </c>
      <c r="K217" t="str">
        <f>VLOOKUP(Table2[[#This Row],[ProductID]],Products!$A$1:C221,2)</f>
        <v>Printer</v>
      </c>
      <c r="L217" t="str">
        <f>VLOOKUP(D217,Products!$A$1:C221,3)</f>
        <v>Accessories</v>
      </c>
      <c r="M217" t="str">
        <f>VLOOKUP(Table2[[#This Row],[AgentID]],Sales_Agents!$A$1:C220,2)</f>
        <v>Zainab</v>
      </c>
      <c r="N217" t="str">
        <f>VLOOKUP(Table2[[#This Row],[AgentID]],Sales_Agents!$A$1:C220,3)</f>
        <v>North</v>
      </c>
    </row>
    <row r="218" spans="1:14" x14ac:dyDescent="0.25">
      <c r="A218">
        <v>217</v>
      </c>
      <c r="B218" s="1">
        <v>45623</v>
      </c>
      <c r="C218" s="8" t="str">
        <f>TEXT(Table2[[#This Row],[OrderDate]],"mmm")</f>
        <v>Nov</v>
      </c>
      <c r="D218">
        <v>1</v>
      </c>
      <c r="E218">
        <v>1</v>
      </c>
      <c r="F218">
        <v>8</v>
      </c>
      <c r="G218" s="3">
        <v>311371</v>
      </c>
      <c r="H218" s="3">
        <f t="shared" si="6"/>
        <v>2490968</v>
      </c>
      <c r="I218" s="5">
        <f>Table2[[#This Row],[Total Revenue]]*0.3</f>
        <v>747290.4</v>
      </c>
      <c r="J218" s="6">
        <f t="shared" si="7"/>
        <v>0.3</v>
      </c>
      <c r="K218" t="str">
        <f>VLOOKUP(Table2[[#This Row],[ProductID]],Products!$A$1:C222,2)</f>
        <v>Laptop</v>
      </c>
      <c r="L218" t="str">
        <f>VLOOKUP(D218,Products!$A$1:C222,3)</f>
        <v>Electronics</v>
      </c>
      <c r="M218" t="str">
        <f>VLOOKUP(Table2[[#This Row],[AgentID]],Sales_Agents!$A$1:C221,2)</f>
        <v>Akin</v>
      </c>
      <c r="N218" t="str">
        <f>VLOOKUP(Table2[[#This Row],[AgentID]],Sales_Agents!$A$1:C221,3)</f>
        <v>West</v>
      </c>
    </row>
    <row r="219" spans="1:14" x14ac:dyDescent="0.25">
      <c r="A219">
        <v>218</v>
      </c>
      <c r="B219" s="1">
        <v>45351</v>
      </c>
      <c r="C219" s="8" t="str">
        <f>TEXT(Table2[[#This Row],[OrderDate]],"mmm")</f>
        <v>Feb</v>
      </c>
      <c r="D219">
        <v>4</v>
      </c>
      <c r="E219">
        <v>4</v>
      </c>
      <c r="F219">
        <v>13</v>
      </c>
      <c r="G219" s="3">
        <v>307465</v>
      </c>
      <c r="H219" s="3">
        <f t="shared" si="6"/>
        <v>3997045</v>
      </c>
      <c r="I219" s="5">
        <f>Table2[[#This Row],[Total Revenue]]*0.3</f>
        <v>1199113.5</v>
      </c>
      <c r="J219" s="6">
        <f t="shared" si="7"/>
        <v>0.3</v>
      </c>
      <c r="K219" t="str">
        <f>VLOOKUP(Table2[[#This Row],[ProductID]],Products!$A$1:C223,2)</f>
        <v>Printer</v>
      </c>
      <c r="L219" t="str">
        <f>VLOOKUP(D219,Products!$A$1:C223,3)</f>
        <v>Accessories</v>
      </c>
      <c r="M219" t="str">
        <f>VLOOKUP(Table2[[#This Row],[AgentID]],Sales_Agents!$A$1:C222,2)</f>
        <v>Zainab</v>
      </c>
      <c r="N219" t="str">
        <f>VLOOKUP(Table2[[#This Row],[AgentID]],Sales_Agents!$A$1:C222,3)</f>
        <v>North</v>
      </c>
    </row>
    <row r="220" spans="1:14" x14ac:dyDescent="0.25">
      <c r="A220">
        <v>219</v>
      </c>
      <c r="B220" s="1">
        <v>45549</v>
      </c>
      <c r="C220" s="8" t="str">
        <f>TEXT(Table2[[#This Row],[OrderDate]],"mmm")</f>
        <v>Sept</v>
      </c>
      <c r="D220">
        <v>3</v>
      </c>
      <c r="E220">
        <v>2</v>
      </c>
      <c r="F220">
        <v>4</v>
      </c>
      <c r="G220" s="3">
        <v>181745</v>
      </c>
      <c r="H220" s="3">
        <f t="shared" si="6"/>
        <v>726980</v>
      </c>
      <c r="I220" s="5">
        <f>Table2[[#This Row],[Total Revenue]]*0.3</f>
        <v>218094</v>
      </c>
      <c r="J220" s="6">
        <f t="shared" si="7"/>
        <v>0.3</v>
      </c>
      <c r="K220" t="str">
        <f>VLOOKUP(Table2[[#This Row],[ProductID]],Products!$A$1:C224,2)</f>
        <v>Tablet</v>
      </c>
      <c r="L220" t="str">
        <f>VLOOKUP(D220,Products!$A$1:C224,3)</f>
        <v>Electronics</v>
      </c>
      <c r="M220" t="str">
        <f>VLOOKUP(Table2[[#This Row],[AgentID]],Sales_Agents!$A$1:C223,2)</f>
        <v>Blessing</v>
      </c>
      <c r="N220" t="str">
        <f>VLOOKUP(Table2[[#This Row],[AgentID]],Sales_Agents!$A$1:C223,3)</f>
        <v>East</v>
      </c>
    </row>
    <row r="221" spans="1:14" x14ac:dyDescent="0.25">
      <c r="A221">
        <v>220</v>
      </c>
      <c r="B221" s="1">
        <v>45628</v>
      </c>
      <c r="C221" s="8" t="str">
        <f>TEXT(Table2[[#This Row],[OrderDate]],"mmm")</f>
        <v>Dec</v>
      </c>
      <c r="D221">
        <v>2</v>
      </c>
      <c r="E221">
        <v>2</v>
      </c>
      <c r="F221">
        <v>13</v>
      </c>
      <c r="G221" s="3">
        <v>286854</v>
      </c>
      <c r="H221" s="3">
        <f t="shared" si="6"/>
        <v>3729102</v>
      </c>
      <c r="I221" s="5">
        <f>Table2[[#This Row],[Total Revenue]]*0.3</f>
        <v>1118730.5999999999</v>
      </c>
      <c r="J221" s="6">
        <f t="shared" si="7"/>
        <v>0.3</v>
      </c>
      <c r="K221" t="str">
        <f>VLOOKUP(Table2[[#This Row],[ProductID]],Products!$A$1:C225,2)</f>
        <v>Phone</v>
      </c>
      <c r="L221" t="str">
        <f>VLOOKUP(D221,Products!$A$1:C225,3)</f>
        <v>Electronics</v>
      </c>
      <c r="M221" t="str">
        <f>VLOOKUP(Table2[[#This Row],[AgentID]],Sales_Agents!$A$1:C224,2)</f>
        <v>Blessing</v>
      </c>
      <c r="N221" t="str">
        <f>VLOOKUP(Table2[[#This Row],[AgentID]],Sales_Agents!$A$1:C224,3)</f>
        <v>East</v>
      </c>
    </row>
    <row r="222" spans="1:14" x14ac:dyDescent="0.25">
      <c r="A222">
        <v>221</v>
      </c>
      <c r="B222" s="1">
        <v>45310</v>
      </c>
      <c r="C222" s="8" t="str">
        <f>TEXT(Table2[[#This Row],[OrderDate]],"mmm")</f>
        <v>Jan</v>
      </c>
      <c r="D222">
        <v>3</v>
      </c>
      <c r="E222">
        <v>4</v>
      </c>
      <c r="F222">
        <v>11</v>
      </c>
      <c r="G222" s="3">
        <v>59463</v>
      </c>
      <c r="H222" s="3">
        <f t="shared" si="6"/>
        <v>654093</v>
      </c>
      <c r="I222" s="5">
        <f>Table2[[#This Row],[Total Revenue]]*0.3</f>
        <v>196227.9</v>
      </c>
      <c r="J222" s="6">
        <f t="shared" si="7"/>
        <v>0.3</v>
      </c>
      <c r="K222" t="str">
        <f>VLOOKUP(Table2[[#This Row],[ProductID]],Products!$A$1:C226,2)</f>
        <v>Tablet</v>
      </c>
      <c r="L222" t="str">
        <f>VLOOKUP(D222,Products!$A$1:C226,3)</f>
        <v>Electronics</v>
      </c>
      <c r="M222" t="str">
        <f>VLOOKUP(Table2[[#This Row],[AgentID]],Sales_Agents!$A$1:C225,2)</f>
        <v>Zainab</v>
      </c>
      <c r="N222" t="str">
        <f>VLOOKUP(Table2[[#This Row],[AgentID]],Sales_Agents!$A$1:C225,3)</f>
        <v>North</v>
      </c>
    </row>
    <row r="223" spans="1:14" x14ac:dyDescent="0.25">
      <c r="A223">
        <v>222</v>
      </c>
      <c r="B223" s="1">
        <v>45583</v>
      </c>
      <c r="C223" s="8" t="str">
        <f>TEXT(Table2[[#This Row],[OrderDate]],"mmm")</f>
        <v>Oct</v>
      </c>
      <c r="D223">
        <v>2</v>
      </c>
      <c r="E223">
        <v>4</v>
      </c>
      <c r="F223">
        <v>18</v>
      </c>
      <c r="G223" s="3">
        <v>397973</v>
      </c>
      <c r="H223" s="3">
        <f t="shared" si="6"/>
        <v>7163514</v>
      </c>
      <c r="I223" s="5">
        <f>Table2[[#This Row],[Total Revenue]]*0.3</f>
        <v>2149054.1999999997</v>
      </c>
      <c r="J223" s="6">
        <f t="shared" si="7"/>
        <v>0.29999999999999993</v>
      </c>
      <c r="K223" t="str">
        <f>VLOOKUP(Table2[[#This Row],[ProductID]],Products!$A$1:C227,2)</f>
        <v>Phone</v>
      </c>
      <c r="L223" t="str">
        <f>VLOOKUP(D223,Products!$A$1:C227,3)</f>
        <v>Electronics</v>
      </c>
      <c r="M223" t="str">
        <f>VLOOKUP(Table2[[#This Row],[AgentID]],Sales_Agents!$A$1:C226,2)</f>
        <v>Zainab</v>
      </c>
      <c r="N223" t="str">
        <f>VLOOKUP(Table2[[#This Row],[AgentID]],Sales_Agents!$A$1:C226,3)</f>
        <v>North</v>
      </c>
    </row>
    <row r="224" spans="1:14" x14ac:dyDescent="0.25">
      <c r="A224">
        <v>223</v>
      </c>
      <c r="B224" s="1">
        <v>45574</v>
      </c>
      <c r="C224" s="8" t="str">
        <f>TEXT(Table2[[#This Row],[OrderDate]],"mmm")</f>
        <v>Oct</v>
      </c>
      <c r="D224">
        <v>1</v>
      </c>
      <c r="E224">
        <v>4</v>
      </c>
      <c r="F224">
        <v>18</v>
      </c>
      <c r="G224" s="3">
        <v>208546</v>
      </c>
      <c r="H224" s="3">
        <f t="shared" si="6"/>
        <v>3753828</v>
      </c>
      <c r="I224" s="5">
        <f>Table2[[#This Row],[Total Revenue]]*0.3</f>
        <v>1126148.3999999999</v>
      </c>
      <c r="J224" s="6">
        <f t="shared" si="7"/>
        <v>0.3</v>
      </c>
      <c r="K224" t="str">
        <f>VLOOKUP(Table2[[#This Row],[ProductID]],Products!$A$1:C228,2)</f>
        <v>Laptop</v>
      </c>
      <c r="L224" t="str">
        <f>VLOOKUP(D224,Products!$A$1:C228,3)</f>
        <v>Electronics</v>
      </c>
      <c r="M224" t="str">
        <f>VLOOKUP(Table2[[#This Row],[AgentID]],Sales_Agents!$A$1:C227,2)</f>
        <v>Zainab</v>
      </c>
      <c r="N224" t="str">
        <f>VLOOKUP(Table2[[#This Row],[AgentID]],Sales_Agents!$A$1:C227,3)</f>
        <v>North</v>
      </c>
    </row>
    <row r="225" spans="1:14" x14ac:dyDescent="0.25">
      <c r="A225">
        <v>224</v>
      </c>
      <c r="B225" s="1">
        <v>45360</v>
      </c>
      <c r="C225" s="8" t="str">
        <f>TEXT(Table2[[#This Row],[OrderDate]],"mmm")</f>
        <v>Mar</v>
      </c>
      <c r="D225">
        <v>3</v>
      </c>
      <c r="E225">
        <v>1</v>
      </c>
      <c r="F225">
        <v>14</v>
      </c>
      <c r="G225" s="3">
        <v>178698</v>
      </c>
      <c r="H225" s="3">
        <f t="shared" si="6"/>
        <v>2501772</v>
      </c>
      <c r="I225" s="5">
        <f>Table2[[#This Row],[Total Revenue]]*0.3</f>
        <v>750531.6</v>
      </c>
      <c r="J225" s="6">
        <f t="shared" si="7"/>
        <v>0.3</v>
      </c>
      <c r="K225" t="str">
        <f>VLOOKUP(Table2[[#This Row],[ProductID]],Products!$A$1:C229,2)</f>
        <v>Tablet</v>
      </c>
      <c r="L225" t="str">
        <f>VLOOKUP(D225,Products!$A$1:C229,3)</f>
        <v>Electronics</v>
      </c>
      <c r="M225" t="str">
        <f>VLOOKUP(Table2[[#This Row],[AgentID]],Sales_Agents!$A$1:C228,2)</f>
        <v>Akin</v>
      </c>
      <c r="N225" t="str">
        <f>VLOOKUP(Table2[[#This Row],[AgentID]],Sales_Agents!$A$1:C228,3)</f>
        <v>West</v>
      </c>
    </row>
    <row r="226" spans="1:14" x14ac:dyDescent="0.25">
      <c r="A226">
        <v>225</v>
      </c>
      <c r="B226" s="1">
        <v>45624</v>
      </c>
      <c r="C226" s="8" t="str">
        <f>TEXT(Table2[[#This Row],[OrderDate]],"mmm")</f>
        <v>Nov</v>
      </c>
      <c r="D226">
        <v>2</v>
      </c>
      <c r="E226">
        <v>3</v>
      </c>
      <c r="F226">
        <v>18</v>
      </c>
      <c r="G226" s="3">
        <v>85396</v>
      </c>
      <c r="H226" s="3">
        <f t="shared" si="6"/>
        <v>1537128</v>
      </c>
      <c r="I226" s="5">
        <f>Table2[[#This Row],[Total Revenue]]*0.3</f>
        <v>461138.39999999997</v>
      </c>
      <c r="J226" s="6">
        <f t="shared" si="7"/>
        <v>0.3</v>
      </c>
      <c r="K226" t="str">
        <f>VLOOKUP(Table2[[#This Row],[ProductID]],Products!$A$1:C230,2)</f>
        <v>Phone</v>
      </c>
      <c r="L226" t="str">
        <f>VLOOKUP(D226,Products!$A$1:C230,3)</f>
        <v>Electronics</v>
      </c>
      <c r="M226" t="str">
        <f>VLOOKUP(Table2[[#This Row],[AgentID]],Sales_Agents!$A$1:C229,2)</f>
        <v>Chinedu</v>
      </c>
      <c r="N226" t="str">
        <f>VLOOKUP(Table2[[#This Row],[AgentID]],Sales_Agents!$A$1:C229,3)</f>
        <v>South</v>
      </c>
    </row>
    <row r="227" spans="1:14" x14ac:dyDescent="0.25">
      <c r="A227">
        <v>226</v>
      </c>
      <c r="B227" s="1">
        <v>45569</v>
      </c>
      <c r="C227" s="8" t="str">
        <f>TEXT(Table2[[#This Row],[OrderDate]],"mmm")</f>
        <v>Oct</v>
      </c>
      <c r="D227">
        <v>1</v>
      </c>
      <c r="E227">
        <v>2</v>
      </c>
      <c r="F227">
        <v>13</v>
      </c>
      <c r="G227" s="3">
        <v>285520</v>
      </c>
      <c r="H227" s="3">
        <f t="shared" si="6"/>
        <v>3711760</v>
      </c>
      <c r="I227" s="5">
        <f>Table2[[#This Row],[Total Revenue]]*0.3</f>
        <v>1113528</v>
      </c>
      <c r="J227" s="6">
        <f t="shared" si="7"/>
        <v>0.3</v>
      </c>
      <c r="K227" t="str">
        <f>VLOOKUP(Table2[[#This Row],[ProductID]],Products!$A$1:C231,2)</f>
        <v>Laptop</v>
      </c>
      <c r="L227" t="str">
        <f>VLOOKUP(D227,Products!$A$1:C231,3)</f>
        <v>Electronics</v>
      </c>
      <c r="M227" t="str">
        <f>VLOOKUP(Table2[[#This Row],[AgentID]],Sales_Agents!$A$1:C230,2)</f>
        <v>Blessing</v>
      </c>
      <c r="N227" t="str">
        <f>VLOOKUP(Table2[[#This Row],[AgentID]],Sales_Agents!$A$1:C230,3)</f>
        <v>East</v>
      </c>
    </row>
    <row r="228" spans="1:14" x14ac:dyDescent="0.25">
      <c r="A228">
        <v>227</v>
      </c>
      <c r="B228" s="1">
        <v>45429</v>
      </c>
      <c r="C228" s="8" t="str">
        <f>TEXT(Table2[[#This Row],[OrderDate]],"mmm")</f>
        <v>May</v>
      </c>
      <c r="D228">
        <v>4</v>
      </c>
      <c r="E228">
        <v>1</v>
      </c>
      <c r="F228">
        <v>5</v>
      </c>
      <c r="G228" s="3">
        <v>358077</v>
      </c>
      <c r="H228" s="3">
        <f t="shared" si="6"/>
        <v>1790385</v>
      </c>
      <c r="I228" s="5">
        <f>Table2[[#This Row],[Total Revenue]]*0.3</f>
        <v>537115.5</v>
      </c>
      <c r="J228" s="6">
        <f t="shared" si="7"/>
        <v>0.3</v>
      </c>
      <c r="K228" t="str">
        <f>VLOOKUP(Table2[[#This Row],[ProductID]],Products!$A$1:C232,2)</f>
        <v>Printer</v>
      </c>
      <c r="L228" t="str">
        <f>VLOOKUP(D228,Products!$A$1:C232,3)</f>
        <v>Accessories</v>
      </c>
      <c r="M228" t="str">
        <f>VLOOKUP(Table2[[#This Row],[AgentID]],Sales_Agents!$A$1:C231,2)</f>
        <v>Akin</v>
      </c>
      <c r="N228" t="str">
        <f>VLOOKUP(Table2[[#This Row],[AgentID]],Sales_Agents!$A$1:C231,3)</f>
        <v>West</v>
      </c>
    </row>
    <row r="229" spans="1:14" x14ac:dyDescent="0.25">
      <c r="A229">
        <v>228</v>
      </c>
      <c r="B229" s="1">
        <v>45363</v>
      </c>
      <c r="C229" s="8" t="str">
        <f>TEXT(Table2[[#This Row],[OrderDate]],"mmm")</f>
        <v>Mar</v>
      </c>
      <c r="D229">
        <v>4</v>
      </c>
      <c r="E229">
        <v>4</v>
      </c>
      <c r="F229">
        <v>16</v>
      </c>
      <c r="G229" s="3">
        <v>195045</v>
      </c>
      <c r="H229" s="3">
        <f t="shared" si="6"/>
        <v>3120720</v>
      </c>
      <c r="I229" s="5">
        <f>Table2[[#This Row],[Total Revenue]]*0.3</f>
        <v>936216</v>
      </c>
      <c r="J229" s="6">
        <f t="shared" si="7"/>
        <v>0.3</v>
      </c>
      <c r="K229" t="str">
        <f>VLOOKUP(Table2[[#This Row],[ProductID]],Products!$A$1:C233,2)</f>
        <v>Printer</v>
      </c>
      <c r="L229" t="str">
        <f>VLOOKUP(D229,Products!$A$1:C233,3)</f>
        <v>Accessories</v>
      </c>
      <c r="M229" t="str">
        <f>VLOOKUP(Table2[[#This Row],[AgentID]],Sales_Agents!$A$1:C232,2)</f>
        <v>Zainab</v>
      </c>
      <c r="N229" t="str">
        <f>VLOOKUP(Table2[[#This Row],[AgentID]],Sales_Agents!$A$1:C232,3)</f>
        <v>North</v>
      </c>
    </row>
    <row r="230" spans="1:14" x14ac:dyDescent="0.25">
      <c r="A230">
        <v>229</v>
      </c>
      <c r="B230" s="1">
        <v>45508</v>
      </c>
      <c r="C230" s="8" t="str">
        <f>TEXT(Table2[[#This Row],[OrderDate]],"mmm")</f>
        <v>Aug</v>
      </c>
      <c r="D230">
        <v>2</v>
      </c>
      <c r="E230">
        <v>4</v>
      </c>
      <c r="F230">
        <v>11</v>
      </c>
      <c r="G230" s="3">
        <v>198714</v>
      </c>
      <c r="H230" s="3">
        <f t="shared" si="6"/>
        <v>2185854</v>
      </c>
      <c r="I230" s="5">
        <f>Table2[[#This Row],[Total Revenue]]*0.3</f>
        <v>655756.19999999995</v>
      </c>
      <c r="J230" s="6">
        <f t="shared" si="7"/>
        <v>0.3</v>
      </c>
      <c r="K230" t="str">
        <f>VLOOKUP(Table2[[#This Row],[ProductID]],Products!$A$1:C234,2)</f>
        <v>Phone</v>
      </c>
      <c r="L230" t="str">
        <f>VLOOKUP(D230,Products!$A$1:C234,3)</f>
        <v>Electronics</v>
      </c>
      <c r="M230" t="str">
        <f>VLOOKUP(Table2[[#This Row],[AgentID]],Sales_Agents!$A$1:C233,2)</f>
        <v>Zainab</v>
      </c>
      <c r="N230" t="str">
        <f>VLOOKUP(Table2[[#This Row],[AgentID]],Sales_Agents!$A$1:C233,3)</f>
        <v>North</v>
      </c>
    </row>
    <row r="231" spans="1:14" x14ac:dyDescent="0.25">
      <c r="A231">
        <v>230</v>
      </c>
      <c r="B231" s="1">
        <v>45299</v>
      </c>
      <c r="C231" s="8" t="str">
        <f>TEXT(Table2[[#This Row],[OrderDate]],"mmm")</f>
        <v>Jan</v>
      </c>
      <c r="D231">
        <v>2</v>
      </c>
      <c r="E231">
        <v>1</v>
      </c>
      <c r="F231">
        <v>20</v>
      </c>
      <c r="G231" s="3">
        <v>321635</v>
      </c>
      <c r="H231" s="3">
        <f t="shared" si="6"/>
        <v>6432700</v>
      </c>
      <c r="I231" s="5">
        <f>Table2[[#This Row],[Total Revenue]]*0.3</f>
        <v>1929810</v>
      </c>
      <c r="J231" s="6">
        <f t="shared" si="7"/>
        <v>0.3</v>
      </c>
      <c r="K231" t="str">
        <f>VLOOKUP(Table2[[#This Row],[ProductID]],Products!$A$1:C235,2)</f>
        <v>Phone</v>
      </c>
      <c r="L231" t="str">
        <f>VLOOKUP(D231,Products!$A$1:C235,3)</f>
        <v>Electronics</v>
      </c>
      <c r="M231" t="str">
        <f>VLOOKUP(Table2[[#This Row],[AgentID]],Sales_Agents!$A$1:C234,2)</f>
        <v>Akin</v>
      </c>
      <c r="N231" t="str">
        <f>VLOOKUP(Table2[[#This Row],[AgentID]],Sales_Agents!$A$1:C234,3)</f>
        <v>West</v>
      </c>
    </row>
    <row r="232" spans="1:14" x14ac:dyDescent="0.25">
      <c r="A232">
        <v>231</v>
      </c>
      <c r="B232" s="1">
        <v>45396</v>
      </c>
      <c r="C232" s="8" t="str">
        <f>TEXT(Table2[[#This Row],[OrderDate]],"mmm")</f>
        <v>Apr</v>
      </c>
      <c r="D232">
        <v>3</v>
      </c>
      <c r="E232">
        <v>4</v>
      </c>
      <c r="F232">
        <v>15</v>
      </c>
      <c r="G232" s="3">
        <v>349442</v>
      </c>
      <c r="H232" s="3">
        <f t="shared" si="6"/>
        <v>5241630</v>
      </c>
      <c r="I232" s="5">
        <f>Table2[[#This Row],[Total Revenue]]*0.3</f>
        <v>1572489</v>
      </c>
      <c r="J232" s="6">
        <f t="shared" si="7"/>
        <v>0.3</v>
      </c>
      <c r="K232" t="str">
        <f>VLOOKUP(Table2[[#This Row],[ProductID]],Products!$A$1:C236,2)</f>
        <v>Tablet</v>
      </c>
      <c r="L232" t="str">
        <f>VLOOKUP(D232,Products!$A$1:C236,3)</f>
        <v>Electronics</v>
      </c>
      <c r="M232" t="str">
        <f>VLOOKUP(Table2[[#This Row],[AgentID]],Sales_Agents!$A$1:C235,2)</f>
        <v>Zainab</v>
      </c>
      <c r="N232" t="str">
        <f>VLOOKUP(Table2[[#This Row],[AgentID]],Sales_Agents!$A$1:C235,3)</f>
        <v>North</v>
      </c>
    </row>
    <row r="233" spans="1:14" x14ac:dyDescent="0.25">
      <c r="A233">
        <v>232</v>
      </c>
      <c r="B233" s="1">
        <v>45529</v>
      </c>
      <c r="C233" s="8" t="str">
        <f>TEXT(Table2[[#This Row],[OrderDate]],"mmm")</f>
        <v>Aug</v>
      </c>
      <c r="D233">
        <v>4</v>
      </c>
      <c r="E233">
        <v>2</v>
      </c>
      <c r="F233">
        <v>5</v>
      </c>
      <c r="G233" s="3">
        <v>146423</v>
      </c>
      <c r="H233" s="3">
        <f t="shared" si="6"/>
        <v>732115</v>
      </c>
      <c r="I233" s="5">
        <f>Table2[[#This Row],[Total Revenue]]*0.3</f>
        <v>219634.5</v>
      </c>
      <c r="J233" s="6">
        <f t="shared" si="7"/>
        <v>0.3</v>
      </c>
      <c r="K233" t="str">
        <f>VLOOKUP(Table2[[#This Row],[ProductID]],Products!$A$1:C237,2)</f>
        <v>Printer</v>
      </c>
      <c r="L233" t="str">
        <f>VLOOKUP(D233,Products!$A$1:C237,3)</f>
        <v>Accessories</v>
      </c>
      <c r="M233" t="str">
        <f>VLOOKUP(Table2[[#This Row],[AgentID]],Sales_Agents!$A$1:C236,2)</f>
        <v>Blessing</v>
      </c>
      <c r="N233" t="str">
        <f>VLOOKUP(Table2[[#This Row],[AgentID]],Sales_Agents!$A$1:C236,3)</f>
        <v>East</v>
      </c>
    </row>
    <row r="234" spans="1:14" x14ac:dyDescent="0.25">
      <c r="A234">
        <v>233</v>
      </c>
      <c r="B234" s="1">
        <v>45590</v>
      </c>
      <c r="C234" s="8" t="str">
        <f>TEXT(Table2[[#This Row],[OrderDate]],"mmm")</f>
        <v>Oct</v>
      </c>
      <c r="D234">
        <v>2</v>
      </c>
      <c r="E234">
        <v>4</v>
      </c>
      <c r="F234">
        <v>9</v>
      </c>
      <c r="G234" s="3">
        <v>82830</v>
      </c>
      <c r="H234" s="3">
        <f t="shared" si="6"/>
        <v>745470</v>
      </c>
      <c r="I234" s="5">
        <f>Table2[[#This Row],[Total Revenue]]*0.3</f>
        <v>223641</v>
      </c>
      <c r="J234" s="6">
        <f t="shared" si="7"/>
        <v>0.3</v>
      </c>
      <c r="K234" t="str">
        <f>VLOOKUP(Table2[[#This Row],[ProductID]],Products!$A$1:C238,2)</f>
        <v>Phone</v>
      </c>
      <c r="L234" t="str">
        <f>VLOOKUP(D234,Products!$A$1:C238,3)</f>
        <v>Electronics</v>
      </c>
      <c r="M234" t="str">
        <f>VLOOKUP(Table2[[#This Row],[AgentID]],Sales_Agents!$A$1:C237,2)</f>
        <v>Zainab</v>
      </c>
      <c r="N234" t="str">
        <f>VLOOKUP(Table2[[#This Row],[AgentID]],Sales_Agents!$A$1:C237,3)</f>
        <v>North</v>
      </c>
    </row>
    <row r="235" spans="1:14" x14ac:dyDescent="0.25">
      <c r="A235">
        <v>234</v>
      </c>
      <c r="B235" s="1">
        <v>45453</v>
      </c>
      <c r="C235" s="8" t="str">
        <f>TEXT(Table2[[#This Row],[OrderDate]],"mmm")</f>
        <v>Jun</v>
      </c>
      <c r="D235">
        <v>2</v>
      </c>
      <c r="E235">
        <v>3</v>
      </c>
      <c r="F235">
        <v>10</v>
      </c>
      <c r="G235" s="3">
        <v>274210</v>
      </c>
      <c r="H235" s="3">
        <f t="shared" si="6"/>
        <v>2742100</v>
      </c>
      <c r="I235" s="5">
        <f>Table2[[#This Row],[Total Revenue]]*0.3</f>
        <v>822630</v>
      </c>
      <c r="J235" s="6">
        <f t="shared" si="7"/>
        <v>0.3</v>
      </c>
      <c r="K235" t="str">
        <f>VLOOKUP(Table2[[#This Row],[ProductID]],Products!$A$1:C239,2)</f>
        <v>Phone</v>
      </c>
      <c r="L235" t="str">
        <f>VLOOKUP(D235,Products!$A$1:C239,3)</f>
        <v>Electronics</v>
      </c>
      <c r="M235" t="str">
        <f>VLOOKUP(Table2[[#This Row],[AgentID]],Sales_Agents!$A$1:C238,2)</f>
        <v>Chinedu</v>
      </c>
      <c r="N235" t="str">
        <f>VLOOKUP(Table2[[#This Row],[AgentID]],Sales_Agents!$A$1:C238,3)</f>
        <v>South</v>
      </c>
    </row>
    <row r="236" spans="1:14" x14ac:dyDescent="0.25">
      <c r="A236">
        <v>235</v>
      </c>
      <c r="B236" s="1">
        <v>45392</v>
      </c>
      <c r="C236" s="8" t="str">
        <f>TEXT(Table2[[#This Row],[OrderDate]],"mmm")</f>
        <v>Apr</v>
      </c>
      <c r="D236">
        <v>4</v>
      </c>
      <c r="E236">
        <v>1</v>
      </c>
      <c r="F236">
        <v>8</v>
      </c>
      <c r="G236" s="3">
        <v>175941</v>
      </c>
      <c r="H236" s="3">
        <f t="shared" si="6"/>
        <v>1407528</v>
      </c>
      <c r="I236" s="5">
        <f>Table2[[#This Row],[Total Revenue]]*0.3</f>
        <v>422258.39999999997</v>
      </c>
      <c r="J236" s="6">
        <f t="shared" si="7"/>
        <v>0.3</v>
      </c>
      <c r="K236" t="str">
        <f>VLOOKUP(Table2[[#This Row],[ProductID]],Products!$A$1:C240,2)</f>
        <v>Printer</v>
      </c>
      <c r="L236" t="str">
        <f>VLOOKUP(D236,Products!$A$1:C240,3)</f>
        <v>Accessories</v>
      </c>
      <c r="M236" t="str">
        <f>VLOOKUP(Table2[[#This Row],[AgentID]],Sales_Agents!$A$1:C239,2)</f>
        <v>Akin</v>
      </c>
      <c r="N236" t="str">
        <f>VLOOKUP(Table2[[#This Row],[AgentID]],Sales_Agents!$A$1:C239,3)</f>
        <v>West</v>
      </c>
    </row>
    <row r="237" spans="1:14" x14ac:dyDescent="0.25">
      <c r="A237">
        <v>236</v>
      </c>
      <c r="B237" s="1">
        <v>45536</v>
      </c>
      <c r="C237" s="8" t="str">
        <f>TEXT(Table2[[#This Row],[OrderDate]],"mmm")</f>
        <v>Sept</v>
      </c>
      <c r="D237">
        <v>4</v>
      </c>
      <c r="E237">
        <v>2</v>
      </c>
      <c r="F237">
        <v>16</v>
      </c>
      <c r="G237" s="3">
        <v>296011</v>
      </c>
      <c r="H237" s="3">
        <f t="shared" si="6"/>
        <v>4736176</v>
      </c>
      <c r="I237" s="5">
        <f>Table2[[#This Row],[Total Revenue]]*0.3</f>
        <v>1420852.8</v>
      </c>
      <c r="J237" s="6">
        <f t="shared" si="7"/>
        <v>0.3</v>
      </c>
      <c r="K237" t="str">
        <f>VLOOKUP(Table2[[#This Row],[ProductID]],Products!$A$1:C241,2)</f>
        <v>Printer</v>
      </c>
      <c r="L237" t="str">
        <f>VLOOKUP(D237,Products!$A$1:C241,3)</f>
        <v>Accessories</v>
      </c>
      <c r="M237" t="str">
        <f>VLOOKUP(Table2[[#This Row],[AgentID]],Sales_Agents!$A$1:C240,2)</f>
        <v>Blessing</v>
      </c>
      <c r="N237" t="str">
        <f>VLOOKUP(Table2[[#This Row],[AgentID]],Sales_Agents!$A$1:C240,3)</f>
        <v>East</v>
      </c>
    </row>
    <row r="238" spans="1:14" x14ac:dyDescent="0.25">
      <c r="A238">
        <v>237</v>
      </c>
      <c r="B238" s="1">
        <v>45544</v>
      </c>
      <c r="C238" s="8" t="str">
        <f>TEXT(Table2[[#This Row],[OrderDate]],"mmm")</f>
        <v>Sept</v>
      </c>
      <c r="D238">
        <v>5</v>
      </c>
      <c r="E238">
        <v>2</v>
      </c>
      <c r="F238">
        <v>16</v>
      </c>
      <c r="G238" s="3">
        <v>273519</v>
      </c>
      <c r="H238" s="3">
        <f t="shared" si="6"/>
        <v>4376304</v>
      </c>
      <c r="I238" s="5">
        <f>Table2[[#This Row],[Total Revenue]]*0.3</f>
        <v>1312891.2</v>
      </c>
      <c r="J238" s="6">
        <f t="shared" si="7"/>
        <v>0.3</v>
      </c>
      <c r="K238" t="str">
        <f>VLOOKUP(Table2[[#This Row],[ProductID]],Products!$A$1:C242,2)</f>
        <v>Monitor</v>
      </c>
      <c r="L238" t="str">
        <f>VLOOKUP(D238,Products!$A$1:C242,3)</f>
        <v>Accessories</v>
      </c>
      <c r="M238" t="str">
        <f>VLOOKUP(Table2[[#This Row],[AgentID]],Sales_Agents!$A$1:C241,2)</f>
        <v>Blessing</v>
      </c>
      <c r="N238" t="str">
        <f>VLOOKUP(Table2[[#This Row],[AgentID]],Sales_Agents!$A$1:C241,3)</f>
        <v>East</v>
      </c>
    </row>
    <row r="239" spans="1:14" x14ac:dyDescent="0.25">
      <c r="A239">
        <v>238</v>
      </c>
      <c r="B239" s="1">
        <v>45561</v>
      </c>
      <c r="C239" s="8" t="str">
        <f>TEXT(Table2[[#This Row],[OrderDate]],"mmm")</f>
        <v>Sept</v>
      </c>
      <c r="D239">
        <v>1</v>
      </c>
      <c r="E239">
        <v>4</v>
      </c>
      <c r="F239">
        <v>9</v>
      </c>
      <c r="G239" s="3">
        <v>56528</v>
      </c>
      <c r="H239" s="3">
        <f t="shared" si="6"/>
        <v>508752</v>
      </c>
      <c r="I239" s="5">
        <f>Table2[[#This Row],[Total Revenue]]*0.3</f>
        <v>152625.60000000001</v>
      </c>
      <c r="J239" s="6">
        <f t="shared" si="7"/>
        <v>0.3</v>
      </c>
      <c r="K239" t="str">
        <f>VLOOKUP(Table2[[#This Row],[ProductID]],Products!$A$1:C243,2)</f>
        <v>Laptop</v>
      </c>
      <c r="L239" t="str">
        <f>VLOOKUP(D239,Products!$A$1:C243,3)</f>
        <v>Electronics</v>
      </c>
      <c r="M239" t="str">
        <f>VLOOKUP(Table2[[#This Row],[AgentID]],Sales_Agents!$A$1:C242,2)</f>
        <v>Zainab</v>
      </c>
      <c r="N239" t="str">
        <f>VLOOKUP(Table2[[#This Row],[AgentID]],Sales_Agents!$A$1:C242,3)</f>
        <v>North</v>
      </c>
    </row>
    <row r="240" spans="1:14" x14ac:dyDescent="0.25">
      <c r="A240">
        <v>239</v>
      </c>
      <c r="B240" s="1">
        <v>45336</v>
      </c>
      <c r="C240" s="8" t="str">
        <f>TEXT(Table2[[#This Row],[OrderDate]],"mmm")</f>
        <v>Feb</v>
      </c>
      <c r="D240">
        <v>1</v>
      </c>
      <c r="E240">
        <v>2</v>
      </c>
      <c r="F240">
        <v>9</v>
      </c>
      <c r="G240" s="3">
        <v>131404</v>
      </c>
      <c r="H240" s="3">
        <f t="shared" si="6"/>
        <v>1182636</v>
      </c>
      <c r="I240" s="5">
        <f>Table2[[#This Row],[Total Revenue]]*0.3</f>
        <v>354790.8</v>
      </c>
      <c r="J240" s="6">
        <f t="shared" si="7"/>
        <v>0.3</v>
      </c>
      <c r="K240" t="str">
        <f>VLOOKUP(Table2[[#This Row],[ProductID]],Products!$A$1:C244,2)</f>
        <v>Laptop</v>
      </c>
      <c r="L240" t="str">
        <f>VLOOKUP(D240,Products!$A$1:C244,3)</f>
        <v>Electronics</v>
      </c>
      <c r="M240" t="str">
        <f>VLOOKUP(Table2[[#This Row],[AgentID]],Sales_Agents!$A$1:C243,2)</f>
        <v>Blessing</v>
      </c>
      <c r="N240" t="str">
        <f>VLOOKUP(Table2[[#This Row],[AgentID]],Sales_Agents!$A$1:C243,3)</f>
        <v>East</v>
      </c>
    </row>
    <row r="241" spans="1:14" x14ac:dyDescent="0.25">
      <c r="A241">
        <v>240</v>
      </c>
      <c r="B241" s="1">
        <v>45609</v>
      </c>
      <c r="C241" s="8" t="str">
        <f>TEXT(Table2[[#This Row],[OrderDate]],"mmm")</f>
        <v>Nov</v>
      </c>
      <c r="D241">
        <v>5</v>
      </c>
      <c r="E241">
        <v>2</v>
      </c>
      <c r="F241">
        <v>12</v>
      </c>
      <c r="G241" s="3">
        <v>200388</v>
      </c>
      <c r="H241" s="3">
        <f t="shared" si="6"/>
        <v>2404656</v>
      </c>
      <c r="I241" s="5">
        <f>Table2[[#This Row],[Total Revenue]]*0.3</f>
        <v>721396.79999999993</v>
      </c>
      <c r="J241" s="6">
        <f t="shared" si="7"/>
        <v>0.3</v>
      </c>
      <c r="K241" t="str">
        <f>VLOOKUP(Table2[[#This Row],[ProductID]],Products!$A$1:C245,2)</f>
        <v>Monitor</v>
      </c>
      <c r="L241" t="str">
        <f>VLOOKUP(D241,Products!$A$1:C245,3)</f>
        <v>Accessories</v>
      </c>
      <c r="M241" t="str">
        <f>VLOOKUP(Table2[[#This Row],[AgentID]],Sales_Agents!$A$1:C244,2)</f>
        <v>Blessing</v>
      </c>
      <c r="N241" t="str">
        <f>VLOOKUP(Table2[[#This Row],[AgentID]],Sales_Agents!$A$1:C244,3)</f>
        <v>East</v>
      </c>
    </row>
    <row r="242" spans="1:14" x14ac:dyDescent="0.25">
      <c r="A242">
        <v>241</v>
      </c>
      <c r="B242" s="1">
        <v>45651</v>
      </c>
      <c r="C242" s="8" t="str">
        <f>TEXT(Table2[[#This Row],[OrderDate]],"mmm")</f>
        <v>Dec</v>
      </c>
      <c r="D242">
        <v>1</v>
      </c>
      <c r="E242">
        <v>1</v>
      </c>
      <c r="F242">
        <v>8</v>
      </c>
      <c r="G242" s="3">
        <v>371480</v>
      </c>
      <c r="H242" s="3">
        <f t="shared" si="6"/>
        <v>2971840</v>
      </c>
      <c r="I242" s="5">
        <f>Table2[[#This Row],[Total Revenue]]*0.3</f>
        <v>891552</v>
      </c>
      <c r="J242" s="6">
        <f t="shared" si="7"/>
        <v>0.3</v>
      </c>
      <c r="K242" t="str">
        <f>VLOOKUP(Table2[[#This Row],[ProductID]],Products!$A$1:C246,2)</f>
        <v>Laptop</v>
      </c>
      <c r="L242" t="str">
        <f>VLOOKUP(D242,Products!$A$1:C246,3)</f>
        <v>Electronics</v>
      </c>
      <c r="M242" t="str">
        <f>VLOOKUP(Table2[[#This Row],[AgentID]],Sales_Agents!$A$1:C245,2)</f>
        <v>Akin</v>
      </c>
      <c r="N242" t="str">
        <f>VLOOKUP(Table2[[#This Row],[AgentID]],Sales_Agents!$A$1:C245,3)</f>
        <v>West</v>
      </c>
    </row>
    <row r="243" spans="1:14" x14ac:dyDescent="0.25">
      <c r="A243">
        <v>242</v>
      </c>
      <c r="B243" s="1">
        <v>45377</v>
      </c>
      <c r="C243" s="8" t="str">
        <f>TEXT(Table2[[#This Row],[OrderDate]],"mmm")</f>
        <v>Mar</v>
      </c>
      <c r="D243">
        <v>2</v>
      </c>
      <c r="E243">
        <v>2</v>
      </c>
      <c r="F243">
        <v>7</v>
      </c>
      <c r="G243" s="3">
        <v>223931</v>
      </c>
      <c r="H243" s="3">
        <f t="shared" si="6"/>
        <v>1567517</v>
      </c>
      <c r="I243" s="5">
        <f>Table2[[#This Row],[Total Revenue]]*0.3</f>
        <v>470255.1</v>
      </c>
      <c r="J243" s="6">
        <f t="shared" si="7"/>
        <v>0.3</v>
      </c>
      <c r="K243" t="str">
        <f>VLOOKUP(Table2[[#This Row],[ProductID]],Products!$A$1:C247,2)</f>
        <v>Phone</v>
      </c>
      <c r="L243" t="str">
        <f>VLOOKUP(D243,Products!$A$1:C247,3)</f>
        <v>Electronics</v>
      </c>
      <c r="M243" t="str">
        <f>VLOOKUP(Table2[[#This Row],[AgentID]],Sales_Agents!$A$1:C246,2)</f>
        <v>Blessing</v>
      </c>
      <c r="N243" t="str">
        <f>VLOOKUP(Table2[[#This Row],[AgentID]],Sales_Agents!$A$1:C246,3)</f>
        <v>East</v>
      </c>
    </row>
    <row r="244" spans="1:14" x14ac:dyDescent="0.25">
      <c r="A244">
        <v>243</v>
      </c>
      <c r="B244" s="1">
        <v>45356</v>
      </c>
      <c r="C244" s="8" t="str">
        <f>TEXT(Table2[[#This Row],[OrderDate]],"mmm")</f>
        <v>Mar</v>
      </c>
      <c r="D244">
        <v>5</v>
      </c>
      <c r="E244">
        <v>1</v>
      </c>
      <c r="F244">
        <v>16</v>
      </c>
      <c r="G244" s="3">
        <v>194106</v>
      </c>
      <c r="H244" s="3">
        <f t="shared" si="6"/>
        <v>3105696</v>
      </c>
      <c r="I244" s="5">
        <f>Table2[[#This Row],[Total Revenue]]*0.3</f>
        <v>931708.79999999993</v>
      </c>
      <c r="J244" s="6">
        <f t="shared" si="7"/>
        <v>0.3</v>
      </c>
      <c r="K244" t="str">
        <f>VLOOKUP(Table2[[#This Row],[ProductID]],Products!$A$1:C248,2)</f>
        <v>Monitor</v>
      </c>
      <c r="L244" t="str">
        <f>VLOOKUP(D244,Products!$A$1:C248,3)</f>
        <v>Accessories</v>
      </c>
      <c r="M244" t="str">
        <f>VLOOKUP(Table2[[#This Row],[AgentID]],Sales_Agents!$A$1:C247,2)</f>
        <v>Akin</v>
      </c>
      <c r="N244" t="str">
        <f>VLOOKUP(Table2[[#This Row],[AgentID]],Sales_Agents!$A$1:C247,3)</f>
        <v>West</v>
      </c>
    </row>
    <row r="245" spans="1:14" x14ac:dyDescent="0.25">
      <c r="A245">
        <v>244</v>
      </c>
      <c r="B245" s="1">
        <v>45607</v>
      </c>
      <c r="C245" s="8" t="str">
        <f>TEXT(Table2[[#This Row],[OrderDate]],"mmm")</f>
        <v>Nov</v>
      </c>
      <c r="D245">
        <v>1</v>
      </c>
      <c r="E245">
        <v>2</v>
      </c>
      <c r="F245">
        <v>19</v>
      </c>
      <c r="G245" s="3">
        <v>306121</v>
      </c>
      <c r="H245" s="3">
        <f t="shared" si="6"/>
        <v>5816299</v>
      </c>
      <c r="I245" s="5">
        <f>Table2[[#This Row],[Total Revenue]]*0.3</f>
        <v>1744889.7</v>
      </c>
      <c r="J245" s="6">
        <f t="shared" si="7"/>
        <v>0.3</v>
      </c>
      <c r="K245" t="str">
        <f>VLOOKUP(Table2[[#This Row],[ProductID]],Products!$A$1:C249,2)</f>
        <v>Laptop</v>
      </c>
      <c r="L245" t="str">
        <f>VLOOKUP(D245,Products!$A$1:C249,3)</f>
        <v>Electronics</v>
      </c>
      <c r="M245" t="str">
        <f>VLOOKUP(Table2[[#This Row],[AgentID]],Sales_Agents!$A$1:C248,2)</f>
        <v>Blessing</v>
      </c>
      <c r="N245" t="str">
        <f>VLOOKUP(Table2[[#This Row],[AgentID]],Sales_Agents!$A$1:C248,3)</f>
        <v>East</v>
      </c>
    </row>
    <row r="246" spans="1:14" x14ac:dyDescent="0.25">
      <c r="A246">
        <v>245</v>
      </c>
      <c r="B246" s="1">
        <v>45336</v>
      </c>
      <c r="C246" s="8" t="str">
        <f>TEXT(Table2[[#This Row],[OrderDate]],"mmm")</f>
        <v>Feb</v>
      </c>
      <c r="D246">
        <v>1</v>
      </c>
      <c r="E246">
        <v>4</v>
      </c>
      <c r="F246">
        <v>7</v>
      </c>
      <c r="G246" s="3">
        <v>53882</v>
      </c>
      <c r="H246" s="3">
        <f t="shared" si="6"/>
        <v>377174</v>
      </c>
      <c r="I246" s="5">
        <f>Table2[[#This Row],[Total Revenue]]*0.3</f>
        <v>113152.2</v>
      </c>
      <c r="J246" s="6">
        <f t="shared" si="7"/>
        <v>0.3</v>
      </c>
      <c r="K246" t="str">
        <f>VLOOKUP(Table2[[#This Row],[ProductID]],Products!$A$1:C250,2)</f>
        <v>Laptop</v>
      </c>
      <c r="L246" t="str">
        <f>VLOOKUP(D246,Products!$A$1:C250,3)</f>
        <v>Electronics</v>
      </c>
      <c r="M246" t="str">
        <f>VLOOKUP(Table2[[#This Row],[AgentID]],Sales_Agents!$A$1:C249,2)</f>
        <v>Zainab</v>
      </c>
      <c r="N246" t="str">
        <f>VLOOKUP(Table2[[#This Row],[AgentID]],Sales_Agents!$A$1:C249,3)</f>
        <v>North</v>
      </c>
    </row>
    <row r="247" spans="1:14" x14ac:dyDescent="0.25">
      <c r="A247">
        <v>246</v>
      </c>
      <c r="B247" s="1">
        <v>45375</v>
      </c>
      <c r="C247" s="8" t="str">
        <f>TEXT(Table2[[#This Row],[OrderDate]],"mmm")</f>
        <v>Mar</v>
      </c>
      <c r="D247">
        <v>1</v>
      </c>
      <c r="E247">
        <v>3</v>
      </c>
      <c r="F247">
        <v>17</v>
      </c>
      <c r="G247" s="3">
        <v>190525</v>
      </c>
      <c r="H247" s="3">
        <f t="shared" si="6"/>
        <v>3238925</v>
      </c>
      <c r="I247" s="5">
        <f>Table2[[#This Row],[Total Revenue]]*0.3</f>
        <v>971677.5</v>
      </c>
      <c r="J247" s="6">
        <f t="shared" si="7"/>
        <v>0.3</v>
      </c>
      <c r="K247" t="str">
        <f>VLOOKUP(Table2[[#This Row],[ProductID]],Products!$A$1:C251,2)</f>
        <v>Laptop</v>
      </c>
      <c r="L247" t="str">
        <f>VLOOKUP(D247,Products!$A$1:C251,3)</f>
        <v>Electronics</v>
      </c>
      <c r="M247" t="str">
        <f>VLOOKUP(Table2[[#This Row],[AgentID]],Sales_Agents!$A$1:C250,2)</f>
        <v>Chinedu</v>
      </c>
      <c r="N247" t="str">
        <f>VLOOKUP(Table2[[#This Row],[AgentID]],Sales_Agents!$A$1:C250,3)</f>
        <v>South</v>
      </c>
    </row>
    <row r="248" spans="1:14" x14ac:dyDescent="0.25">
      <c r="A248">
        <v>247</v>
      </c>
      <c r="B248" s="1">
        <v>45338</v>
      </c>
      <c r="C248" s="8" t="str">
        <f>TEXT(Table2[[#This Row],[OrderDate]],"mmm")</f>
        <v>Feb</v>
      </c>
      <c r="D248">
        <v>3</v>
      </c>
      <c r="E248">
        <v>2</v>
      </c>
      <c r="F248">
        <v>5</v>
      </c>
      <c r="G248" s="3">
        <v>392852</v>
      </c>
      <c r="H248" s="3">
        <f t="shared" si="6"/>
        <v>1964260</v>
      </c>
      <c r="I248" s="5">
        <f>Table2[[#This Row],[Total Revenue]]*0.3</f>
        <v>589278</v>
      </c>
      <c r="J248" s="6">
        <f t="shared" si="7"/>
        <v>0.3</v>
      </c>
      <c r="K248" t="str">
        <f>VLOOKUP(Table2[[#This Row],[ProductID]],Products!$A$1:C252,2)</f>
        <v>Tablet</v>
      </c>
      <c r="L248" t="str">
        <f>VLOOKUP(D248,Products!$A$1:C252,3)</f>
        <v>Electronics</v>
      </c>
      <c r="M248" t="str">
        <f>VLOOKUP(Table2[[#This Row],[AgentID]],Sales_Agents!$A$1:C251,2)</f>
        <v>Blessing</v>
      </c>
      <c r="N248" t="str">
        <f>VLOOKUP(Table2[[#This Row],[AgentID]],Sales_Agents!$A$1:C251,3)</f>
        <v>East</v>
      </c>
    </row>
    <row r="249" spans="1:14" x14ac:dyDescent="0.25">
      <c r="A249">
        <v>248</v>
      </c>
      <c r="B249" s="1">
        <v>45601</v>
      </c>
      <c r="C249" s="8" t="str">
        <f>TEXT(Table2[[#This Row],[OrderDate]],"mmm")</f>
        <v>Nov</v>
      </c>
      <c r="D249">
        <v>4</v>
      </c>
      <c r="E249">
        <v>4</v>
      </c>
      <c r="F249">
        <v>12</v>
      </c>
      <c r="G249" s="3">
        <v>207763</v>
      </c>
      <c r="H249" s="3">
        <f t="shared" si="6"/>
        <v>2493156</v>
      </c>
      <c r="I249" s="5">
        <f>Table2[[#This Row],[Total Revenue]]*0.3</f>
        <v>747946.79999999993</v>
      </c>
      <c r="J249" s="6">
        <f t="shared" si="7"/>
        <v>0.3</v>
      </c>
      <c r="K249" t="str">
        <f>VLOOKUP(Table2[[#This Row],[ProductID]],Products!$A$1:C253,2)</f>
        <v>Printer</v>
      </c>
      <c r="L249" t="str">
        <f>VLOOKUP(D249,Products!$A$1:C253,3)</f>
        <v>Accessories</v>
      </c>
      <c r="M249" t="str">
        <f>VLOOKUP(Table2[[#This Row],[AgentID]],Sales_Agents!$A$1:C252,2)</f>
        <v>Zainab</v>
      </c>
      <c r="N249" t="str">
        <f>VLOOKUP(Table2[[#This Row],[AgentID]],Sales_Agents!$A$1:C252,3)</f>
        <v>North</v>
      </c>
    </row>
    <row r="250" spans="1:14" x14ac:dyDescent="0.25">
      <c r="A250">
        <v>249</v>
      </c>
      <c r="B250" s="1">
        <v>45652</v>
      </c>
      <c r="C250" s="8" t="str">
        <f>TEXT(Table2[[#This Row],[OrderDate]],"mmm")</f>
        <v>Dec</v>
      </c>
      <c r="D250">
        <v>1</v>
      </c>
      <c r="E250">
        <v>2</v>
      </c>
      <c r="F250">
        <v>12</v>
      </c>
      <c r="G250" s="3">
        <v>371952</v>
      </c>
      <c r="H250" s="3">
        <f t="shared" si="6"/>
        <v>4463424</v>
      </c>
      <c r="I250" s="5">
        <f>Table2[[#This Row],[Total Revenue]]*0.3</f>
        <v>1339027.2</v>
      </c>
      <c r="J250" s="6">
        <f t="shared" si="7"/>
        <v>0.3</v>
      </c>
      <c r="K250" t="str">
        <f>VLOOKUP(Table2[[#This Row],[ProductID]],Products!$A$1:C254,2)</f>
        <v>Laptop</v>
      </c>
      <c r="L250" t="str">
        <f>VLOOKUP(D250,Products!$A$1:C254,3)</f>
        <v>Electronics</v>
      </c>
      <c r="M250" t="str">
        <f>VLOOKUP(Table2[[#This Row],[AgentID]],Sales_Agents!$A$1:C253,2)</f>
        <v>Blessing</v>
      </c>
      <c r="N250" t="str">
        <f>VLOOKUP(Table2[[#This Row],[AgentID]],Sales_Agents!$A$1:C253,3)</f>
        <v>East</v>
      </c>
    </row>
    <row r="251" spans="1:14" x14ac:dyDescent="0.25">
      <c r="A251">
        <v>250</v>
      </c>
      <c r="B251" s="1">
        <v>45501</v>
      </c>
      <c r="C251" s="8" t="str">
        <f>TEXT(Table2[[#This Row],[OrderDate]],"mmm")</f>
        <v>Jul</v>
      </c>
      <c r="D251">
        <v>1</v>
      </c>
      <c r="E251">
        <v>1</v>
      </c>
      <c r="F251">
        <v>20</v>
      </c>
      <c r="G251" s="3">
        <v>301917</v>
      </c>
      <c r="H251" s="3">
        <f t="shared" si="6"/>
        <v>6038340</v>
      </c>
      <c r="I251" s="5">
        <f>Table2[[#This Row],[Total Revenue]]*0.3</f>
        <v>1811502</v>
      </c>
      <c r="J251" s="6">
        <f t="shared" si="7"/>
        <v>0.3</v>
      </c>
      <c r="K251" t="str">
        <f>VLOOKUP(Table2[[#This Row],[ProductID]],Products!$A$1:C255,2)</f>
        <v>Laptop</v>
      </c>
      <c r="L251" t="str">
        <f>VLOOKUP(D251,Products!$A$1:C255,3)</f>
        <v>Electronics</v>
      </c>
      <c r="M251" t="str">
        <f>VLOOKUP(Table2[[#This Row],[AgentID]],Sales_Agents!$A$1:C254,2)</f>
        <v>Akin</v>
      </c>
      <c r="N251" t="str">
        <f>VLOOKUP(Table2[[#This Row],[AgentID]],Sales_Agents!$A$1:C254,3)</f>
        <v>West</v>
      </c>
    </row>
    <row r="252" spans="1:14" x14ac:dyDescent="0.25">
      <c r="A252">
        <v>251</v>
      </c>
      <c r="B252" s="1">
        <v>45438</v>
      </c>
      <c r="C252" s="8" t="str">
        <f>TEXT(Table2[[#This Row],[OrderDate]],"mmm")</f>
        <v>May</v>
      </c>
      <c r="D252">
        <v>4</v>
      </c>
      <c r="E252">
        <v>1</v>
      </c>
      <c r="F252">
        <v>2</v>
      </c>
      <c r="G252" s="3">
        <v>337605</v>
      </c>
      <c r="H252" s="3">
        <f t="shared" si="6"/>
        <v>675210</v>
      </c>
      <c r="I252" s="5">
        <f>Table2[[#This Row],[Total Revenue]]*0.3</f>
        <v>202563</v>
      </c>
      <c r="J252" s="6">
        <f t="shared" si="7"/>
        <v>0.3</v>
      </c>
      <c r="K252" t="str">
        <f>VLOOKUP(Table2[[#This Row],[ProductID]],Products!$A$1:C256,2)</f>
        <v>Printer</v>
      </c>
      <c r="L252" t="str">
        <f>VLOOKUP(D252,Products!$A$1:C256,3)</f>
        <v>Accessories</v>
      </c>
      <c r="M252" t="str">
        <f>VLOOKUP(Table2[[#This Row],[AgentID]],Sales_Agents!$A$1:C255,2)</f>
        <v>Akin</v>
      </c>
      <c r="N252" t="str">
        <f>VLOOKUP(Table2[[#This Row],[AgentID]],Sales_Agents!$A$1:C255,3)</f>
        <v>West</v>
      </c>
    </row>
    <row r="253" spans="1:14" x14ac:dyDescent="0.25">
      <c r="A253">
        <v>252</v>
      </c>
      <c r="B253" s="1">
        <v>45406</v>
      </c>
      <c r="C253" s="8" t="str">
        <f>TEXT(Table2[[#This Row],[OrderDate]],"mmm")</f>
        <v>Apr</v>
      </c>
      <c r="D253">
        <v>4</v>
      </c>
      <c r="E253">
        <v>4</v>
      </c>
      <c r="F253">
        <v>4</v>
      </c>
      <c r="G253" s="3">
        <v>250970</v>
      </c>
      <c r="H253" s="3">
        <f t="shared" si="6"/>
        <v>1003880</v>
      </c>
      <c r="I253" s="5">
        <f>Table2[[#This Row],[Total Revenue]]*0.3</f>
        <v>301164</v>
      </c>
      <c r="J253" s="6">
        <f t="shared" si="7"/>
        <v>0.3</v>
      </c>
      <c r="K253" t="str">
        <f>VLOOKUP(Table2[[#This Row],[ProductID]],Products!$A$1:C257,2)</f>
        <v>Printer</v>
      </c>
      <c r="L253" t="str">
        <f>VLOOKUP(D253,Products!$A$1:C257,3)</f>
        <v>Accessories</v>
      </c>
      <c r="M253" t="str">
        <f>VLOOKUP(Table2[[#This Row],[AgentID]],Sales_Agents!$A$1:C256,2)</f>
        <v>Zainab</v>
      </c>
      <c r="N253" t="str">
        <f>VLOOKUP(Table2[[#This Row],[AgentID]],Sales_Agents!$A$1:C256,3)</f>
        <v>North</v>
      </c>
    </row>
    <row r="254" spans="1:14" x14ac:dyDescent="0.25">
      <c r="A254">
        <v>253</v>
      </c>
      <c r="B254" s="1">
        <v>45571</v>
      </c>
      <c r="C254" s="8" t="str">
        <f>TEXT(Table2[[#This Row],[OrderDate]],"mmm")</f>
        <v>Oct</v>
      </c>
      <c r="D254">
        <v>2</v>
      </c>
      <c r="E254">
        <v>1</v>
      </c>
      <c r="F254">
        <v>16</v>
      </c>
      <c r="G254" s="3">
        <v>74306</v>
      </c>
      <c r="H254" s="3">
        <f t="shared" si="6"/>
        <v>1188896</v>
      </c>
      <c r="I254" s="5">
        <f>Table2[[#This Row],[Total Revenue]]*0.3</f>
        <v>356668.8</v>
      </c>
      <c r="J254" s="6">
        <f t="shared" si="7"/>
        <v>0.3</v>
      </c>
      <c r="K254" t="str">
        <f>VLOOKUP(Table2[[#This Row],[ProductID]],Products!$A$1:C258,2)</f>
        <v>Phone</v>
      </c>
      <c r="L254" t="str">
        <f>VLOOKUP(D254,Products!$A$1:C258,3)</f>
        <v>Electronics</v>
      </c>
      <c r="M254" t="str">
        <f>VLOOKUP(Table2[[#This Row],[AgentID]],Sales_Agents!$A$1:C257,2)</f>
        <v>Akin</v>
      </c>
      <c r="N254" t="str">
        <f>VLOOKUP(Table2[[#This Row],[AgentID]],Sales_Agents!$A$1:C257,3)</f>
        <v>West</v>
      </c>
    </row>
    <row r="255" spans="1:14" x14ac:dyDescent="0.25">
      <c r="A255">
        <v>254</v>
      </c>
      <c r="B255" s="1">
        <v>45508</v>
      </c>
      <c r="C255" s="8" t="str">
        <f>TEXT(Table2[[#This Row],[OrderDate]],"mmm")</f>
        <v>Aug</v>
      </c>
      <c r="D255">
        <v>2</v>
      </c>
      <c r="E255">
        <v>4</v>
      </c>
      <c r="F255">
        <v>8</v>
      </c>
      <c r="G255" s="3">
        <v>168906</v>
      </c>
      <c r="H255" s="3">
        <f t="shared" si="6"/>
        <v>1351248</v>
      </c>
      <c r="I255" s="5">
        <f>Table2[[#This Row],[Total Revenue]]*0.3</f>
        <v>405374.39999999997</v>
      </c>
      <c r="J255" s="6">
        <f t="shared" si="7"/>
        <v>0.3</v>
      </c>
      <c r="K255" t="str">
        <f>VLOOKUP(Table2[[#This Row],[ProductID]],Products!$A$1:C259,2)</f>
        <v>Phone</v>
      </c>
      <c r="L255" t="str">
        <f>VLOOKUP(D255,Products!$A$1:C259,3)</f>
        <v>Electronics</v>
      </c>
      <c r="M255" t="str">
        <f>VLOOKUP(Table2[[#This Row],[AgentID]],Sales_Agents!$A$1:C258,2)</f>
        <v>Zainab</v>
      </c>
      <c r="N255" t="str">
        <f>VLOOKUP(Table2[[#This Row],[AgentID]],Sales_Agents!$A$1:C258,3)</f>
        <v>North</v>
      </c>
    </row>
    <row r="256" spans="1:14" x14ac:dyDescent="0.25">
      <c r="A256">
        <v>255</v>
      </c>
      <c r="B256" s="1">
        <v>45586</v>
      </c>
      <c r="C256" s="8" t="str">
        <f>TEXT(Table2[[#This Row],[OrderDate]],"mmm")</f>
        <v>Oct</v>
      </c>
      <c r="D256">
        <v>1</v>
      </c>
      <c r="E256">
        <v>1</v>
      </c>
      <c r="F256">
        <v>14</v>
      </c>
      <c r="G256" s="3">
        <v>311956</v>
      </c>
      <c r="H256" s="3">
        <f t="shared" si="6"/>
        <v>4367384</v>
      </c>
      <c r="I256" s="5">
        <f>Table2[[#This Row],[Total Revenue]]*0.3</f>
        <v>1310215.2</v>
      </c>
      <c r="J256" s="6">
        <f t="shared" si="7"/>
        <v>0.3</v>
      </c>
      <c r="K256" t="str">
        <f>VLOOKUP(Table2[[#This Row],[ProductID]],Products!$A$1:C260,2)</f>
        <v>Laptop</v>
      </c>
      <c r="L256" t="str">
        <f>VLOOKUP(D256,Products!$A$1:C260,3)</f>
        <v>Electronics</v>
      </c>
      <c r="M256" t="str">
        <f>VLOOKUP(Table2[[#This Row],[AgentID]],Sales_Agents!$A$1:C259,2)</f>
        <v>Akin</v>
      </c>
      <c r="N256" t="str">
        <f>VLOOKUP(Table2[[#This Row],[AgentID]],Sales_Agents!$A$1:C259,3)</f>
        <v>West</v>
      </c>
    </row>
    <row r="257" spans="1:14" x14ac:dyDescent="0.25">
      <c r="A257">
        <v>256</v>
      </c>
      <c r="B257" s="1">
        <v>45300</v>
      </c>
      <c r="C257" s="8" t="str">
        <f>TEXT(Table2[[#This Row],[OrderDate]],"mmm")</f>
        <v>Jan</v>
      </c>
      <c r="D257">
        <v>3</v>
      </c>
      <c r="E257">
        <v>1</v>
      </c>
      <c r="F257">
        <v>9</v>
      </c>
      <c r="G257" s="3">
        <v>231603</v>
      </c>
      <c r="H257" s="3">
        <f t="shared" si="6"/>
        <v>2084427</v>
      </c>
      <c r="I257" s="5">
        <f>Table2[[#This Row],[Total Revenue]]*0.3</f>
        <v>625328.1</v>
      </c>
      <c r="J257" s="6">
        <f t="shared" si="7"/>
        <v>0.3</v>
      </c>
      <c r="K257" t="str">
        <f>VLOOKUP(Table2[[#This Row],[ProductID]],Products!$A$1:C261,2)</f>
        <v>Tablet</v>
      </c>
      <c r="L257" t="str">
        <f>VLOOKUP(D257,Products!$A$1:C261,3)</f>
        <v>Electronics</v>
      </c>
      <c r="M257" t="str">
        <f>VLOOKUP(Table2[[#This Row],[AgentID]],Sales_Agents!$A$1:C260,2)</f>
        <v>Akin</v>
      </c>
      <c r="N257" t="str">
        <f>VLOOKUP(Table2[[#This Row],[AgentID]],Sales_Agents!$A$1:C260,3)</f>
        <v>West</v>
      </c>
    </row>
    <row r="258" spans="1:14" x14ac:dyDescent="0.25">
      <c r="A258">
        <v>257</v>
      </c>
      <c r="B258" s="1">
        <v>45518</v>
      </c>
      <c r="C258" s="8" t="str">
        <f>TEXT(Table2[[#This Row],[OrderDate]],"mmm")</f>
        <v>Aug</v>
      </c>
      <c r="D258">
        <v>4</v>
      </c>
      <c r="E258">
        <v>4</v>
      </c>
      <c r="F258">
        <v>2</v>
      </c>
      <c r="G258" s="3">
        <v>344062</v>
      </c>
      <c r="H258" s="3">
        <f t="shared" ref="H258:H321" si="8">G258*F258</f>
        <v>688124</v>
      </c>
      <c r="I258" s="5">
        <f>Table2[[#This Row],[Total Revenue]]*0.3</f>
        <v>206437.19999999998</v>
      </c>
      <c r="J258" s="6">
        <f t="shared" ref="J258:J321" si="9">I258/H258</f>
        <v>0.3</v>
      </c>
      <c r="K258" t="str">
        <f>VLOOKUP(Table2[[#This Row],[ProductID]],Products!$A$1:C262,2)</f>
        <v>Printer</v>
      </c>
      <c r="L258" t="str">
        <f>VLOOKUP(D258,Products!$A$1:C262,3)</f>
        <v>Accessories</v>
      </c>
      <c r="M258" t="str">
        <f>VLOOKUP(Table2[[#This Row],[AgentID]],Sales_Agents!$A$1:C261,2)</f>
        <v>Zainab</v>
      </c>
      <c r="N258" t="str">
        <f>VLOOKUP(Table2[[#This Row],[AgentID]],Sales_Agents!$A$1:C261,3)</f>
        <v>North</v>
      </c>
    </row>
    <row r="259" spans="1:14" x14ac:dyDescent="0.25">
      <c r="A259">
        <v>258</v>
      </c>
      <c r="B259" s="1">
        <v>45487</v>
      </c>
      <c r="C259" s="8" t="str">
        <f>TEXT(Table2[[#This Row],[OrderDate]],"mmm")</f>
        <v>Jul</v>
      </c>
      <c r="D259">
        <v>1</v>
      </c>
      <c r="E259">
        <v>2</v>
      </c>
      <c r="F259">
        <v>2</v>
      </c>
      <c r="G259" s="3">
        <v>153447</v>
      </c>
      <c r="H259" s="3">
        <f t="shared" si="8"/>
        <v>306894</v>
      </c>
      <c r="I259" s="5">
        <f>Table2[[#This Row],[Total Revenue]]*0.3</f>
        <v>92068.2</v>
      </c>
      <c r="J259" s="6">
        <f t="shared" si="9"/>
        <v>0.3</v>
      </c>
      <c r="K259" t="str">
        <f>VLOOKUP(Table2[[#This Row],[ProductID]],Products!$A$1:C263,2)</f>
        <v>Laptop</v>
      </c>
      <c r="L259" t="str">
        <f>VLOOKUP(D259,Products!$A$1:C263,3)</f>
        <v>Electronics</v>
      </c>
      <c r="M259" t="str">
        <f>VLOOKUP(Table2[[#This Row],[AgentID]],Sales_Agents!$A$1:C262,2)</f>
        <v>Blessing</v>
      </c>
      <c r="N259" t="str">
        <f>VLOOKUP(Table2[[#This Row],[AgentID]],Sales_Agents!$A$1:C262,3)</f>
        <v>East</v>
      </c>
    </row>
    <row r="260" spans="1:14" x14ac:dyDescent="0.25">
      <c r="A260">
        <v>259</v>
      </c>
      <c r="B260" s="1">
        <v>45655</v>
      </c>
      <c r="C260" s="8" t="str">
        <f>TEXT(Table2[[#This Row],[OrderDate]],"mmm")</f>
        <v>Dec</v>
      </c>
      <c r="D260">
        <v>4</v>
      </c>
      <c r="E260">
        <v>4</v>
      </c>
      <c r="F260">
        <v>15</v>
      </c>
      <c r="G260" s="3">
        <v>222224</v>
      </c>
      <c r="H260" s="3">
        <f t="shared" si="8"/>
        <v>3333360</v>
      </c>
      <c r="I260" s="5">
        <f>Table2[[#This Row],[Total Revenue]]*0.3</f>
        <v>1000008</v>
      </c>
      <c r="J260" s="6">
        <f t="shared" si="9"/>
        <v>0.3</v>
      </c>
      <c r="K260" t="str">
        <f>VLOOKUP(Table2[[#This Row],[ProductID]],Products!$A$1:C264,2)</f>
        <v>Printer</v>
      </c>
      <c r="L260" t="str">
        <f>VLOOKUP(D260,Products!$A$1:C264,3)</f>
        <v>Accessories</v>
      </c>
      <c r="M260" t="str">
        <f>VLOOKUP(Table2[[#This Row],[AgentID]],Sales_Agents!$A$1:C263,2)</f>
        <v>Zainab</v>
      </c>
      <c r="N260" t="str">
        <f>VLOOKUP(Table2[[#This Row],[AgentID]],Sales_Agents!$A$1:C263,3)</f>
        <v>North</v>
      </c>
    </row>
    <row r="261" spans="1:14" x14ac:dyDescent="0.25">
      <c r="A261">
        <v>260</v>
      </c>
      <c r="B261" s="1">
        <v>45340</v>
      </c>
      <c r="C261" s="8" t="str">
        <f>TEXT(Table2[[#This Row],[OrderDate]],"mmm")</f>
        <v>Feb</v>
      </c>
      <c r="D261">
        <v>2</v>
      </c>
      <c r="E261">
        <v>3</v>
      </c>
      <c r="F261">
        <v>20</v>
      </c>
      <c r="G261" s="3">
        <v>274964</v>
      </c>
      <c r="H261" s="3">
        <f t="shared" si="8"/>
        <v>5499280</v>
      </c>
      <c r="I261" s="5">
        <f>Table2[[#This Row],[Total Revenue]]*0.3</f>
        <v>1649784</v>
      </c>
      <c r="J261" s="6">
        <f t="shared" si="9"/>
        <v>0.3</v>
      </c>
      <c r="K261" t="str">
        <f>VLOOKUP(Table2[[#This Row],[ProductID]],Products!$A$1:C265,2)</f>
        <v>Phone</v>
      </c>
      <c r="L261" t="str">
        <f>VLOOKUP(D261,Products!$A$1:C265,3)</f>
        <v>Electronics</v>
      </c>
      <c r="M261" t="str">
        <f>VLOOKUP(Table2[[#This Row],[AgentID]],Sales_Agents!$A$1:C264,2)</f>
        <v>Chinedu</v>
      </c>
      <c r="N261" t="str">
        <f>VLOOKUP(Table2[[#This Row],[AgentID]],Sales_Agents!$A$1:C264,3)</f>
        <v>South</v>
      </c>
    </row>
    <row r="262" spans="1:14" x14ac:dyDescent="0.25">
      <c r="A262">
        <v>261</v>
      </c>
      <c r="B262" s="1">
        <v>45568</v>
      </c>
      <c r="C262" s="8" t="str">
        <f>TEXT(Table2[[#This Row],[OrderDate]],"mmm")</f>
        <v>Oct</v>
      </c>
      <c r="D262">
        <v>2</v>
      </c>
      <c r="E262">
        <v>3</v>
      </c>
      <c r="F262">
        <v>14</v>
      </c>
      <c r="G262" s="3">
        <v>296384</v>
      </c>
      <c r="H262" s="3">
        <f t="shared" si="8"/>
        <v>4149376</v>
      </c>
      <c r="I262" s="5">
        <f>Table2[[#This Row],[Total Revenue]]*0.3</f>
        <v>1244812.8</v>
      </c>
      <c r="J262" s="6">
        <f t="shared" si="9"/>
        <v>0.3</v>
      </c>
      <c r="K262" t="str">
        <f>VLOOKUP(Table2[[#This Row],[ProductID]],Products!$A$1:C266,2)</f>
        <v>Phone</v>
      </c>
      <c r="L262" t="str">
        <f>VLOOKUP(D262,Products!$A$1:C266,3)</f>
        <v>Electronics</v>
      </c>
      <c r="M262" t="str">
        <f>VLOOKUP(Table2[[#This Row],[AgentID]],Sales_Agents!$A$1:C265,2)</f>
        <v>Chinedu</v>
      </c>
      <c r="N262" t="str">
        <f>VLOOKUP(Table2[[#This Row],[AgentID]],Sales_Agents!$A$1:C265,3)</f>
        <v>South</v>
      </c>
    </row>
    <row r="263" spans="1:14" x14ac:dyDescent="0.25">
      <c r="A263">
        <v>262</v>
      </c>
      <c r="B263" s="1">
        <v>45461</v>
      </c>
      <c r="C263" s="8" t="str">
        <f>TEXT(Table2[[#This Row],[OrderDate]],"mmm")</f>
        <v>Jun</v>
      </c>
      <c r="D263">
        <v>1</v>
      </c>
      <c r="E263">
        <v>4</v>
      </c>
      <c r="F263">
        <v>20</v>
      </c>
      <c r="G263" s="3">
        <v>386280</v>
      </c>
      <c r="H263" s="3">
        <f t="shared" si="8"/>
        <v>7725600</v>
      </c>
      <c r="I263" s="5">
        <f>Table2[[#This Row],[Total Revenue]]*0.3</f>
        <v>2317680</v>
      </c>
      <c r="J263" s="6">
        <f t="shared" si="9"/>
        <v>0.3</v>
      </c>
      <c r="K263" t="str">
        <f>VLOOKUP(Table2[[#This Row],[ProductID]],Products!$A$1:C267,2)</f>
        <v>Laptop</v>
      </c>
      <c r="L263" t="str">
        <f>VLOOKUP(D263,Products!$A$1:C267,3)</f>
        <v>Electronics</v>
      </c>
      <c r="M263" t="str">
        <f>VLOOKUP(Table2[[#This Row],[AgentID]],Sales_Agents!$A$1:C266,2)</f>
        <v>Zainab</v>
      </c>
      <c r="N263" t="str">
        <f>VLOOKUP(Table2[[#This Row],[AgentID]],Sales_Agents!$A$1:C266,3)</f>
        <v>North</v>
      </c>
    </row>
    <row r="264" spans="1:14" x14ac:dyDescent="0.25">
      <c r="A264">
        <v>263</v>
      </c>
      <c r="B264" s="1">
        <v>45470</v>
      </c>
      <c r="C264" s="8" t="str">
        <f>TEXT(Table2[[#This Row],[OrderDate]],"mmm")</f>
        <v>Jun</v>
      </c>
      <c r="D264">
        <v>1</v>
      </c>
      <c r="E264">
        <v>1</v>
      </c>
      <c r="F264">
        <v>11</v>
      </c>
      <c r="G264" s="3">
        <v>197197</v>
      </c>
      <c r="H264" s="3">
        <f t="shared" si="8"/>
        <v>2169167</v>
      </c>
      <c r="I264" s="5">
        <f>Table2[[#This Row],[Total Revenue]]*0.3</f>
        <v>650750.1</v>
      </c>
      <c r="J264" s="6">
        <f t="shared" si="9"/>
        <v>0.3</v>
      </c>
      <c r="K264" t="str">
        <f>VLOOKUP(Table2[[#This Row],[ProductID]],Products!$A$1:C268,2)</f>
        <v>Laptop</v>
      </c>
      <c r="L264" t="str">
        <f>VLOOKUP(D264,Products!$A$1:C268,3)</f>
        <v>Electronics</v>
      </c>
      <c r="M264" t="str">
        <f>VLOOKUP(Table2[[#This Row],[AgentID]],Sales_Agents!$A$1:C267,2)</f>
        <v>Akin</v>
      </c>
      <c r="N264" t="str">
        <f>VLOOKUP(Table2[[#This Row],[AgentID]],Sales_Agents!$A$1:C267,3)</f>
        <v>West</v>
      </c>
    </row>
    <row r="265" spans="1:14" x14ac:dyDescent="0.25">
      <c r="A265">
        <v>264</v>
      </c>
      <c r="B265" s="1">
        <v>45547</v>
      </c>
      <c r="C265" s="8" t="str">
        <f>TEXT(Table2[[#This Row],[OrderDate]],"mmm")</f>
        <v>Sept</v>
      </c>
      <c r="D265">
        <v>2</v>
      </c>
      <c r="E265">
        <v>3</v>
      </c>
      <c r="F265">
        <v>6</v>
      </c>
      <c r="G265" s="3">
        <v>150316</v>
      </c>
      <c r="H265" s="3">
        <f t="shared" si="8"/>
        <v>901896</v>
      </c>
      <c r="I265" s="5">
        <f>Table2[[#This Row],[Total Revenue]]*0.3</f>
        <v>270568.8</v>
      </c>
      <c r="J265" s="6">
        <f t="shared" si="9"/>
        <v>0.3</v>
      </c>
      <c r="K265" t="str">
        <f>VLOOKUP(Table2[[#This Row],[ProductID]],Products!$A$1:C269,2)</f>
        <v>Phone</v>
      </c>
      <c r="L265" t="str">
        <f>VLOOKUP(D265,Products!$A$1:C269,3)</f>
        <v>Electronics</v>
      </c>
      <c r="M265" t="str">
        <f>VLOOKUP(Table2[[#This Row],[AgentID]],Sales_Agents!$A$1:C268,2)</f>
        <v>Chinedu</v>
      </c>
      <c r="N265" t="str">
        <f>VLOOKUP(Table2[[#This Row],[AgentID]],Sales_Agents!$A$1:C268,3)</f>
        <v>South</v>
      </c>
    </row>
    <row r="266" spans="1:14" x14ac:dyDescent="0.25">
      <c r="A266">
        <v>265</v>
      </c>
      <c r="B266" s="1">
        <v>45549</v>
      </c>
      <c r="C266" s="8" t="str">
        <f>TEXT(Table2[[#This Row],[OrderDate]],"mmm")</f>
        <v>Sept</v>
      </c>
      <c r="D266">
        <v>1</v>
      </c>
      <c r="E266">
        <v>3</v>
      </c>
      <c r="F266">
        <v>5</v>
      </c>
      <c r="G266" s="3">
        <v>172845</v>
      </c>
      <c r="H266" s="3">
        <f t="shared" si="8"/>
        <v>864225</v>
      </c>
      <c r="I266" s="5">
        <f>Table2[[#This Row],[Total Revenue]]*0.3</f>
        <v>259267.5</v>
      </c>
      <c r="J266" s="6">
        <f t="shared" si="9"/>
        <v>0.3</v>
      </c>
      <c r="K266" t="str">
        <f>VLOOKUP(Table2[[#This Row],[ProductID]],Products!$A$1:C270,2)</f>
        <v>Laptop</v>
      </c>
      <c r="L266" t="str">
        <f>VLOOKUP(D266,Products!$A$1:C270,3)</f>
        <v>Electronics</v>
      </c>
      <c r="M266" t="str">
        <f>VLOOKUP(Table2[[#This Row],[AgentID]],Sales_Agents!$A$1:C269,2)</f>
        <v>Chinedu</v>
      </c>
      <c r="N266" t="str">
        <f>VLOOKUP(Table2[[#This Row],[AgentID]],Sales_Agents!$A$1:C269,3)</f>
        <v>South</v>
      </c>
    </row>
    <row r="267" spans="1:14" x14ac:dyDescent="0.25">
      <c r="A267">
        <v>266</v>
      </c>
      <c r="B267" s="1">
        <v>45305</v>
      </c>
      <c r="C267" s="8" t="str">
        <f>TEXT(Table2[[#This Row],[OrderDate]],"mmm")</f>
        <v>Jan</v>
      </c>
      <c r="D267">
        <v>3</v>
      </c>
      <c r="E267">
        <v>1</v>
      </c>
      <c r="F267">
        <v>1</v>
      </c>
      <c r="G267" s="3">
        <v>295326</v>
      </c>
      <c r="H267" s="3">
        <f t="shared" si="8"/>
        <v>295326</v>
      </c>
      <c r="I267" s="5">
        <f>Table2[[#This Row],[Total Revenue]]*0.3</f>
        <v>88597.8</v>
      </c>
      <c r="J267" s="6">
        <f t="shared" si="9"/>
        <v>0.3</v>
      </c>
      <c r="K267" t="str">
        <f>VLOOKUP(Table2[[#This Row],[ProductID]],Products!$A$1:C271,2)</f>
        <v>Tablet</v>
      </c>
      <c r="L267" t="str">
        <f>VLOOKUP(D267,Products!$A$1:C271,3)</f>
        <v>Electronics</v>
      </c>
      <c r="M267" t="str">
        <f>VLOOKUP(Table2[[#This Row],[AgentID]],Sales_Agents!$A$1:C270,2)</f>
        <v>Akin</v>
      </c>
      <c r="N267" t="str">
        <f>VLOOKUP(Table2[[#This Row],[AgentID]],Sales_Agents!$A$1:C270,3)</f>
        <v>West</v>
      </c>
    </row>
    <row r="268" spans="1:14" x14ac:dyDescent="0.25">
      <c r="A268">
        <v>267</v>
      </c>
      <c r="B268" s="1">
        <v>45339</v>
      </c>
      <c r="C268" s="8" t="str">
        <f>TEXT(Table2[[#This Row],[OrderDate]],"mmm")</f>
        <v>Feb</v>
      </c>
      <c r="D268">
        <v>5</v>
      </c>
      <c r="E268">
        <v>4</v>
      </c>
      <c r="F268">
        <v>8</v>
      </c>
      <c r="G268" s="3">
        <v>236129</v>
      </c>
      <c r="H268" s="3">
        <f t="shared" si="8"/>
        <v>1889032</v>
      </c>
      <c r="I268" s="5">
        <f>Table2[[#This Row],[Total Revenue]]*0.3</f>
        <v>566709.6</v>
      </c>
      <c r="J268" s="6">
        <f t="shared" si="9"/>
        <v>0.3</v>
      </c>
      <c r="K268" t="str">
        <f>VLOOKUP(Table2[[#This Row],[ProductID]],Products!$A$1:C272,2)</f>
        <v>Monitor</v>
      </c>
      <c r="L268" t="str">
        <f>VLOOKUP(D268,Products!$A$1:C272,3)</f>
        <v>Accessories</v>
      </c>
      <c r="M268" t="str">
        <f>VLOOKUP(Table2[[#This Row],[AgentID]],Sales_Agents!$A$1:C271,2)</f>
        <v>Zainab</v>
      </c>
      <c r="N268" t="str">
        <f>VLOOKUP(Table2[[#This Row],[AgentID]],Sales_Agents!$A$1:C271,3)</f>
        <v>North</v>
      </c>
    </row>
    <row r="269" spans="1:14" x14ac:dyDescent="0.25">
      <c r="A269">
        <v>268</v>
      </c>
      <c r="B269" s="1">
        <v>45357</v>
      </c>
      <c r="C269" s="8" t="str">
        <f>TEXT(Table2[[#This Row],[OrderDate]],"mmm")</f>
        <v>Mar</v>
      </c>
      <c r="D269">
        <v>1</v>
      </c>
      <c r="E269">
        <v>4</v>
      </c>
      <c r="F269">
        <v>12</v>
      </c>
      <c r="G269" s="3">
        <v>65405</v>
      </c>
      <c r="H269" s="3">
        <f t="shared" si="8"/>
        <v>784860</v>
      </c>
      <c r="I269" s="5">
        <f>Table2[[#This Row],[Total Revenue]]*0.3</f>
        <v>235458</v>
      </c>
      <c r="J269" s="6">
        <f t="shared" si="9"/>
        <v>0.3</v>
      </c>
      <c r="K269" t="str">
        <f>VLOOKUP(Table2[[#This Row],[ProductID]],Products!$A$1:C273,2)</f>
        <v>Laptop</v>
      </c>
      <c r="L269" t="str">
        <f>VLOOKUP(D269,Products!$A$1:C273,3)</f>
        <v>Electronics</v>
      </c>
      <c r="M269" t="str">
        <f>VLOOKUP(Table2[[#This Row],[AgentID]],Sales_Agents!$A$1:C272,2)</f>
        <v>Zainab</v>
      </c>
      <c r="N269" t="str">
        <f>VLOOKUP(Table2[[#This Row],[AgentID]],Sales_Agents!$A$1:C272,3)</f>
        <v>North</v>
      </c>
    </row>
    <row r="270" spans="1:14" x14ac:dyDescent="0.25">
      <c r="A270">
        <v>269</v>
      </c>
      <c r="B270" s="1">
        <v>45329</v>
      </c>
      <c r="C270" s="8" t="str">
        <f>TEXT(Table2[[#This Row],[OrderDate]],"mmm")</f>
        <v>Feb</v>
      </c>
      <c r="D270">
        <v>1</v>
      </c>
      <c r="E270">
        <v>1</v>
      </c>
      <c r="F270">
        <v>10</v>
      </c>
      <c r="G270" s="3">
        <v>218739</v>
      </c>
      <c r="H270" s="3">
        <f t="shared" si="8"/>
        <v>2187390</v>
      </c>
      <c r="I270" s="5">
        <f>Table2[[#This Row],[Total Revenue]]*0.3</f>
        <v>656217</v>
      </c>
      <c r="J270" s="6">
        <f t="shared" si="9"/>
        <v>0.3</v>
      </c>
      <c r="K270" t="str">
        <f>VLOOKUP(Table2[[#This Row],[ProductID]],Products!$A$1:C274,2)</f>
        <v>Laptop</v>
      </c>
      <c r="L270" t="str">
        <f>VLOOKUP(D270,Products!$A$1:C274,3)</f>
        <v>Electronics</v>
      </c>
      <c r="M270" t="str">
        <f>VLOOKUP(Table2[[#This Row],[AgentID]],Sales_Agents!$A$1:C273,2)</f>
        <v>Akin</v>
      </c>
      <c r="N270" t="str">
        <f>VLOOKUP(Table2[[#This Row],[AgentID]],Sales_Agents!$A$1:C273,3)</f>
        <v>West</v>
      </c>
    </row>
    <row r="271" spans="1:14" x14ac:dyDescent="0.25">
      <c r="A271">
        <v>270</v>
      </c>
      <c r="B271" s="1">
        <v>45304</v>
      </c>
      <c r="C271" s="8" t="str">
        <f>TEXT(Table2[[#This Row],[OrderDate]],"mmm")</f>
        <v>Jan</v>
      </c>
      <c r="D271">
        <v>2</v>
      </c>
      <c r="E271">
        <v>2</v>
      </c>
      <c r="F271">
        <v>14</v>
      </c>
      <c r="G271" s="3">
        <v>203778</v>
      </c>
      <c r="H271" s="3">
        <f t="shared" si="8"/>
        <v>2852892</v>
      </c>
      <c r="I271" s="5">
        <f>Table2[[#This Row],[Total Revenue]]*0.3</f>
        <v>855867.6</v>
      </c>
      <c r="J271" s="6">
        <f t="shared" si="9"/>
        <v>0.3</v>
      </c>
      <c r="K271" t="str">
        <f>VLOOKUP(Table2[[#This Row],[ProductID]],Products!$A$1:C275,2)</f>
        <v>Phone</v>
      </c>
      <c r="L271" t="str">
        <f>VLOOKUP(D271,Products!$A$1:C275,3)</f>
        <v>Electronics</v>
      </c>
      <c r="M271" t="str">
        <f>VLOOKUP(Table2[[#This Row],[AgentID]],Sales_Agents!$A$1:C274,2)</f>
        <v>Blessing</v>
      </c>
      <c r="N271" t="str">
        <f>VLOOKUP(Table2[[#This Row],[AgentID]],Sales_Agents!$A$1:C274,3)</f>
        <v>East</v>
      </c>
    </row>
    <row r="272" spans="1:14" x14ac:dyDescent="0.25">
      <c r="A272">
        <v>271</v>
      </c>
      <c r="B272" s="1">
        <v>45623</v>
      </c>
      <c r="C272" s="8" t="str">
        <f>TEXT(Table2[[#This Row],[OrderDate]],"mmm")</f>
        <v>Nov</v>
      </c>
      <c r="D272">
        <v>5</v>
      </c>
      <c r="E272">
        <v>4</v>
      </c>
      <c r="F272">
        <v>5</v>
      </c>
      <c r="G272" s="3">
        <v>306598</v>
      </c>
      <c r="H272" s="3">
        <f t="shared" si="8"/>
        <v>1532990</v>
      </c>
      <c r="I272" s="5">
        <f>Table2[[#This Row],[Total Revenue]]*0.3</f>
        <v>459897</v>
      </c>
      <c r="J272" s="6">
        <f t="shared" si="9"/>
        <v>0.3</v>
      </c>
      <c r="K272" t="str">
        <f>VLOOKUP(Table2[[#This Row],[ProductID]],Products!$A$1:C276,2)</f>
        <v>Monitor</v>
      </c>
      <c r="L272" t="str">
        <f>VLOOKUP(D272,Products!$A$1:C276,3)</f>
        <v>Accessories</v>
      </c>
      <c r="M272" t="str">
        <f>VLOOKUP(Table2[[#This Row],[AgentID]],Sales_Agents!$A$1:C275,2)</f>
        <v>Zainab</v>
      </c>
      <c r="N272" t="str">
        <f>VLOOKUP(Table2[[#This Row],[AgentID]],Sales_Agents!$A$1:C275,3)</f>
        <v>North</v>
      </c>
    </row>
    <row r="273" spans="1:14" x14ac:dyDescent="0.25">
      <c r="A273">
        <v>272</v>
      </c>
      <c r="B273" s="1">
        <v>45650</v>
      </c>
      <c r="C273" s="8" t="str">
        <f>TEXT(Table2[[#This Row],[OrderDate]],"mmm")</f>
        <v>Dec</v>
      </c>
      <c r="D273">
        <v>1</v>
      </c>
      <c r="E273">
        <v>3</v>
      </c>
      <c r="F273">
        <v>16</v>
      </c>
      <c r="G273" s="3">
        <v>50244</v>
      </c>
      <c r="H273" s="3">
        <f t="shared" si="8"/>
        <v>803904</v>
      </c>
      <c r="I273" s="5">
        <f>Table2[[#This Row],[Total Revenue]]*0.3</f>
        <v>241171.19999999998</v>
      </c>
      <c r="J273" s="6">
        <f t="shared" si="9"/>
        <v>0.3</v>
      </c>
      <c r="K273" t="str">
        <f>VLOOKUP(Table2[[#This Row],[ProductID]],Products!$A$1:C277,2)</f>
        <v>Laptop</v>
      </c>
      <c r="L273" t="str">
        <f>VLOOKUP(D273,Products!$A$1:C277,3)</f>
        <v>Electronics</v>
      </c>
      <c r="M273" t="str">
        <f>VLOOKUP(Table2[[#This Row],[AgentID]],Sales_Agents!$A$1:C276,2)</f>
        <v>Chinedu</v>
      </c>
      <c r="N273" t="str">
        <f>VLOOKUP(Table2[[#This Row],[AgentID]],Sales_Agents!$A$1:C276,3)</f>
        <v>South</v>
      </c>
    </row>
    <row r="274" spans="1:14" x14ac:dyDescent="0.25">
      <c r="A274">
        <v>273</v>
      </c>
      <c r="B274" s="1">
        <v>45314</v>
      </c>
      <c r="C274" s="8" t="str">
        <f>TEXT(Table2[[#This Row],[OrderDate]],"mmm")</f>
        <v>Jan</v>
      </c>
      <c r="D274">
        <v>2</v>
      </c>
      <c r="E274">
        <v>1</v>
      </c>
      <c r="F274">
        <v>18</v>
      </c>
      <c r="G274" s="3">
        <v>212269</v>
      </c>
      <c r="H274" s="3">
        <f t="shared" si="8"/>
        <v>3820842</v>
      </c>
      <c r="I274" s="5">
        <f>Table2[[#This Row],[Total Revenue]]*0.3</f>
        <v>1146252.5999999999</v>
      </c>
      <c r="J274" s="6">
        <f t="shared" si="9"/>
        <v>0.3</v>
      </c>
      <c r="K274" t="str">
        <f>VLOOKUP(Table2[[#This Row],[ProductID]],Products!$A$1:C278,2)</f>
        <v>Phone</v>
      </c>
      <c r="L274" t="str">
        <f>VLOOKUP(D274,Products!$A$1:C278,3)</f>
        <v>Electronics</v>
      </c>
      <c r="M274" t="str">
        <f>VLOOKUP(Table2[[#This Row],[AgentID]],Sales_Agents!$A$1:C277,2)</f>
        <v>Akin</v>
      </c>
      <c r="N274" t="str">
        <f>VLOOKUP(Table2[[#This Row],[AgentID]],Sales_Agents!$A$1:C277,3)</f>
        <v>West</v>
      </c>
    </row>
    <row r="275" spans="1:14" x14ac:dyDescent="0.25">
      <c r="A275">
        <v>274</v>
      </c>
      <c r="B275" s="1">
        <v>45517</v>
      </c>
      <c r="C275" s="8" t="str">
        <f>TEXT(Table2[[#This Row],[OrderDate]],"mmm")</f>
        <v>Aug</v>
      </c>
      <c r="D275">
        <v>1</v>
      </c>
      <c r="E275">
        <v>4</v>
      </c>
      <c r="F275">
        <v>14</v>
      </c>
      <c r="G275" s="3">
        <v>370322</v>
      </c>
      <c r="H275" s="3">
        <f t="shared" si="8"/>
        <v>5184508</v>
      </c>
      <c r="I275" s="5">
        <f>Table2[[#This Row],[Total Revenue]]*0.3</f>
        <v>1555352.4</v>
      </c>
      <c r="J275" s="6">
        <f t="shared" si="9"/>
        <v>0.3</v>
      </c>
      <c r="K275" t="str">
        <f>VLOOKUP(Table2[[#This Row],[ProductID]],Products!$A$1:C279,2)</f>
        <v>Laptop</v>
      </c>
      <c r="L275" t="str">
        <f>VLOOKUP(D275,Products!$A$1:C279,3)</f>
        <v>Electronics</v>
      </c>
      <c r="M275" t="str">
        <f>VLOOKUP(Table2[[#This Row],[AgentID]],Sales_Agents!$A$1:C278,2)</f>
        <v>Zainab</v>
      </c>
      <c r="N275" t="str">
        <f>VLOOKUP(Table2[[#This Row],[AgentID]],Sales_Agents!$A$1:C278,3)</f>
        <v>North</v>
      </c>
    </row>
    <row r="276" spans="1:14" x14ac:dyDescent="0.25">
      <c r="A276">
        <v>275</v>
      </c>
      <c r="B276" s="1">
        <v>45329</v>
      </c>
      <c r="C276" s="8" t="str">
        <f>TEXT(Table2[[#This Row],[OrderDate]],"mmm")</f>
        <v>Feb</v>
      </c>
      <c r="D276">
        <v>3</v>
      </c>
      <c r="E276">
        <v>4</v>
      </c>
      <c r="F276">
        <v>6</v>
      </c>
      <c r="G276" s="3">
        <v>267949</v>
      </c>
      <c r="H276" s="3">
        <f t="shared" si="8"/>
        <v>1607694</v>
      </c>
      <c r="I276" s="5">
        <f>Table2[[#This Row],[Total Revenue]]*0.3</f>
        <v>482308.19999999995</v>
      </c>
      <c r="J276" s="6">
        <f t="shared" si="9"/>
        <v>0.3</v>
      </c>
      <c r="K276" t="str">
        <f>VLOOKUP(Table2[[#This Row],[ProductID]],Products!$A$1:C280,2)</f>
        <v>Tablet</v>
      </c>
      <c r="L276" t="str">
        <f>VLOOKUP(D276,Products!$A$1:C280,3)</f>
        <v>Electronics</v>
      </c>
      <c r="M276" t="str">
        <f>VLOOKUP(Table2[[#This Row],[AgentID]],Sales_Agents!$A$1:C279,2)</f>
        <v>Zainab</v>
      </c>
      <c r="N276" t="str">
        <f>VLOOKUP(Table2[[#This Row],[AgentID]],Sales_Agents!$A$1:C279,3)</f>
        <v>North</v>
      </c>
    </row>
    <row r="277" spans="1:14" x14ac:dyDescent="0.25">
      <c r="A277">
        <v>276</v>
      </c>
      <c r="B277" s="1">
        <v>45456</v>
      </c>
      <c r="C277" s="8" t="str">
        <f>TEXT(Table2[[#This Row],[OrderDate]],"mmm")</f>
        <v>Jun</v>
      </c>
      <c r="D277">
        <v>1</v>
      </c>
      <c r="E277">
        <v>1</v>
      </c>
      <c r="F277">
        <v>15</v>
      </c>
      <c r="G277" s="3">
        <v>176517</v>
      </c>
      <c r="H277" s="3">
        <f t="shared" si="8"/>
        <v>2647755</v>
      </c>
      <c r="I277" s="5">
        <f>Table2[[#This Row],[Total Revenue]]*0.3</f>
        <v>794326.5</v>
      </c>
      <c r="J277" s="6">
        <f t="shared" si="9"/>
        <v>0.3</v>
      </c>
      <c r="K277" t="str">
        <f>VLOOKUP(Table2[[#This Row],[ProductID]],Products!$A$1:C281,2)</f>
        <v>Laptop</v>
      </c>
      <c r="L277" t="str">
        <f>VLOOKUP(D277,Products!$A$1:C281,3)</f>
        <v>Electronics</v>
      </c>
      <c r="M277" t="str">
        <f>VLOOKUP(Table2[[#This Row],[AgentID]],Sales_Agents!$A$1:C280,2)</f>
        <v>Akin</v>
      </c>
      <c r="N277" t="str">
        <f>VLOOKUP(Table2[[#This Row],[AgentID]],Sales_Agents!$A$1:C280,3)</f>
        <v>West</v>
      </c>
    </row>
    <row r="278" spans="1:14" x14ac:dyDescent="0.25">
      <c r="A278">
        <v>277</v>
      </c>
      <c r="B278" s="1">
        <v>45562</v>
      </c>
      <c r="C278" s="8" t="str">
        <f>TEXT(Table2[[#This Row],[OrderDate]],"mmm")</f>
        <v>Sept</v>
      </c>
      <c r="D278">
        <v>3</v>
      </c>
      <c r="E278">
        <v>1</v>
      </c>
      <c r="F278">
        <v>6</v>
      </c>
      <c r="G278" s="3">
        <v>393823</v>
      </c>
      <c r="H278" s="3">
        <f t="shared" si="8"/>
        <v>2362938</v>
      </c>
      <c r="I278" s="5">
        <f>Table2[[#This Row],[Total Revenue]]*0.3</f>
        <v>708881.4</v>
      </c>
      <c r="J278" s="6">
        <f t="shared" si="9"/>
        <v>0.3</v>
      </c>
      <c r="K278" t="str">
        <f>VLOOKUP(Table2[[#This Row],[ProductID]],Products!$A$1:C282,2)</f>
        <v>Tablet</v>
      </c>
      <c r="L278" t="str">
        <f>VLOOKUP(D278,Products!$A$1:C282,3)</f>
        <v>Electronics</v>
      </c>
      <c r="M278" t="str">
        <f>VLOOKUP(Table2[[#This Row],[AgentID]],Sales_Agents!$A$1:C281,2)</f>
        <v>Akin</v>
      </c>
      <c r="N278" t="str">
        <f>VLOOKUP(Table2[[#This Row],[AgentID]],Sales_Agents!$A$1:C281,3)</f>
        <v>West</v>
      </c>
    </row>
    <row r="279" spans="1:14" x14ac:dyDescent="0.25">
      <c r="A279">
        <v>278</v>
      </c>
      <c r="B279" s="1">
        <v>45313</v>
      </c>
      <c r="C279" s="8" t="str">
        <f>TEXT(Table2[[#This Row],[OrderDate]],"mmm")</f>
        <v>Jan</v>
      </c>
      <c r="D279">
        <v>1</v>
      </c>
      <c r="E279">
        <v>3</v>
      </c>
      <c r="F279">
        <v>11</v>
      </c>
      <c r="G279" s="3">
        <v>323287</v>
      </c>
      <c r="H279" s="3">
        <f t="shared" si="8"/>
        <v>3556157</v>
      </c>
      <c r="I279" s="5">
        <f>Table2[[#This Row],[Total Revenue]]*0.3</f>
        <v>1066847.0999999999</v>
      </c>
      <c r="J279" s="6">
        <f t="shared" si="9"/>
        <v>0.29999999999999993</v>
      </c>
      <c r="K279" t="str">
        <f>VLOOKUP(Table2[[#This Row],[ProductID]],Products!$A$1:C283,2)</f>
        <v>Laptop</v>
      </c>
      <c r="L279" t="str">
        <f>VLOOKUP(D279,Products!$A$1:C283,3)</f>
        <v>Electronics</v>
      </c>
      <c r="M279" t="str">
        <f>VLOOKUP(Table2[[#This Row],[AgentID]],Sales_Agents!$A$1:C282,2)</f>
        <v>Chinedu</v>
      </c>
      <c r="N279" t="str">
        <f>VLOOKUP(Table2[[#This Row],[AgentID]],Sales_Agents!$A$1:C282,3)</f>
        <v>South</v>
      </c>
    </row>
    <row r="280" spans="1:14" x14ac:dyDescent="0.25">
      <c r="A280">
        <v>279</v>
      </c>
      <c r="B280" s="1">
        <v>45381</v>
      </c>
      <c r="C280" s="8" t="str">
        <f>TEXT(Table2[[#This Row],[OrderDate]],"mmm")</f>
        <v>Mar</v>
      </c>
      <c r="D280">
        <v>5</v>
      </c>
      <c r="E280">
        <v>1</v>
      </c>
      <c r="F280">
        <v>6</v>
      </c>
      <c r="G280" s="3">
        <v>383648</v>
      </c>
      <c r="H280" s="3">
        <f t="shared" si="8"/>
        <v>2301888</v>
      </c>
      <c r="I280" s="5">
        <f>Table2[[#This Row],[Total Revenue]]*0.3</f>
        <v>690566.4</v>
      </c>
      <c r="J280" s="6">
        <f t="shared" si="9"/>
        <v>0.3</v>
      </c>
      <c r="K280" t="str">
        <f>VLOOKUP(Table2[[#This Row],[ProductID]],Products!$A$1:C284,2)</f>
        <v>Monitor</v>
      </c>
      <c r="L280" t="str">
        <f>VLOOKUP(D280,Products!$A$1:C284,3)</f>
        <v>Accessories</v>
      </c>
      <c r="M280" t="str">
        <f>VLOOKUP(Table2[[#This Row],[AgentID]],Sales_Agents!$A$1:C283,2)</f>
        <v>Akin</v>
      </c>
      <c r="N280" t="str">
        <f>VLOOKUP(Table2[[#This Row],[AgentID]],Sales_Agents!$A$1:C283,3)</f>
        <v>West</v>
      </c>
    </row>
    <row r="281" spans="1:14" x14ac:dyDescent="0.25">
      <c r="A281">
        <v>280</v>
      </c>
      <c r="B281" s="1">
        <v>45330</v>
      </c>
      <c r="C281" s="8" t="str">
        <f>TEXT(Table2[[#This Row],[OrderDate]],"mmm")</f>
        <v>Feb</v>
      </c>
      <c r="D281">
        <v>2</v>
      </c>
      <c r="E281">
        <v>4</v>
      </c>
      <c r="F281">
        <v>16</v>
      </c>
      <c r="G281" s="3">
        <v>50270</v>
      </c>
      <c r="H281" s="3">
        <f t="shared" si="8"/>
        <v>804320</v>
      </c>
      <c r="I281" s="5">
        <f>Table2[[#This Row],[Total Revenue]]*0.3</f>
        <v>241296</v>
      </c>
      <c r="J281" s="6">
        <f t="shared" si="9"/>
        <v>0.3</v>
      </c>
      <c r="K281" t="str">
        <f>VLOOKUP(Table2[[#This Row],[ProductID]],Products!$A$1:C285,2)</f>
        <v>Phone</v>
      </c>
      <c r="L281" t="str">
        <f>VLOOKUP(D281,Products!$A$1:C285,3)</f>
        <v>Electronics</v>
      </c>
      <c r="M281" t="str">
        <f>VLOOKUP(Table2[[#This Row],[AgentID]],Sales_Agents!$A$1:C284,2)</f>
        <v>Zainab</v>
      </c>
      <c r="N281" t="str">
        <f>VLOOKUP(Table2[[#This Row],[AgentID]],Sales_Agents!$A$1:C284,3)</f>
        <v>North</v>
      </c>
    </row>
    <row r="282" spans="1:14" x14ac:dyDescent="0.25">
      <c r="A282">
        <v>281</v>
      </c>
      <c r="B282" s="1">
        <v>45432</v>
      </c>
      <c r="C282" s="8" t="str">
        <f>TEXT(Table2[[#This Row],[OrderDate]],"mmm")</f>
        <v>May</v>
      </c>
      <c r="D282">
        <v>1</v>
      </c>
      <c r="E282">
        <v>4</v>
      </c>
      <c r="F282">
        <v>14</v>
      </c>
      <c r="G282" s="3">
        <v>107546</v>
      </c>
      <c r="H282" s="3">
        <f t="shared" si="8"/>
        <v>1505644</v>
      </c>
      <c r="I282" s="5">
        <f>Table2[[#This Row],[Total Revenue]]*0.3</f>
        <v>451693.2</v>
      </c>
      <c r="J282" s="6">
        <f t="shared" si="9"/>
        <v>0.3</v>
      </c>
      <c r="K282" t="str">
        <f>VLOOKUP(Table2[[#This Row],[ProductID]],Products!$A$1:C286,2)</f>
        <v>Laptop</v>
      </c>
      <c r="L282" t="str">
        <f>VLOOKUP(D282,Products!$A$1:C286,3)</f>
        <v>Electronics</v>
      </c>
      <c r="M282" t="str">
        <f>VLOOKUP(Table2[[#This Row],[AgentID]],Sales_Agents!$A$1:C285,2)</f>
        <v>Zainab</v>
      </c>
      <c r="N282" t="str">
        <f>VLOOKUP(Table2[[#This Row],[AgentID]],Sales_Agents!$A$1:C285,3)</f>
        <v>North</v>
      </c>
    </row>
    <row r="283" spans="1:14" x14ac:dyDescent="0.25">
      <c r="A283">
        <v>282</v>
      </c>
      <c r="B283" s="1">
        <v>45531</v>
      </c>
      <c r="C283" s="8" t="str">
        <f>TEXT(Table2[[#This Row],[OrderDate]],"mmm")</f>
        <v>Aug</v>
      </c>
      <c r="D283">
        <v>3</v>
      </c>
      <c r="E283">
        <v>1</v>
      </c>
      <c r="F283">
        <v>14</v>
      </c>
      <c r="G283" s="3">
        <v>57665</v>
      </c>
      <c r="H283" s="3">
        <f t="shared" si="8"/>
        <v>807310</v>
      </c>
      <c r="I283" s="5">
        <f>Table2[[#This Row],[Total Revenue]]*0.3</f>
        <v>242193</v>
      </c>
      <c r="J283" s="6">
        <f t="shared" si="9"/>
        <v>0.3</v>
      </c>
      <c r="K283" t="str">
        <f>VLOOKUP(Table2[[#This Row],[ProductID]],Products!$A$1:C287,2)</f>
        <v>Tablet</v>
      </c>
      <c r="L283" t="str">
        <f>VLOOKUP(D283,Products!$A$1:C287,3)</f>
        <v>Electronics</v>
      </c>
      <c r="M283" t="str">
        <f>VLOOKUP(Table2[[#This Row],[AgentID]],Sales_Agents!$A$1:C286,2)</f>
        <v>Akin</v>
      </c>
      <c r="N283" t="str">
        <f>VLOOKUP(Table2[[#This Row],[AgentID]],Sales_Agents!$A$1:C286,3)</f>
        <v>West</v>
      </c>
    </row>
    <row r="284" spans="1:14" x14ac:dyDescent="0.25">
      <c r="A284">
        <v>283</v>
      </c>
      <c r="B284" s="1">
        <v>45296</v>
      </c>
      <c r="C284" s="8" t="str">
        <f>TEXT(Table2[[#This Row],[OrderDate]],"mmm")</f>
        <v>Jan</v>
      </c>
      <c r="D284">
        <v>2</v>
      </c>
      <c r="E284">
        <v>2</v>
      </c>
      <c r="F284">
        <v>3</v>
      </c>
      <c r="G284" s="3">
        <v>319797</v>
      </c>
      <c r="H284" s="3">
        <f t="shared" si="8"/>
        <v>959391</v>
      </c>
      <c r="I284" s="5">
        <f>Table2[[#This Row],[Total Revenue]]*0.3</f>
        <v>287817.3</v>
      </c>
      <c r="J284" s="6">
        <f t="shared" si="9"/>
        <v>0.3</v>
      </c>
      <c r="K284" t="str">
        <f>VLOOKUP(Table2[[#This Row],[ProductID]],Products!$A$1:C288,2)</f>
        <v>Phone</v>
      </c>
      <c r="L284" t="str">
        <f>VLOOKUP(D284,Products!$A$1:C288,3)</f>
        <v>Electronics</v>
      </c>
      <c r="M284" t="str">
        <f>VLOOKUP(Table2[[#This Row],[AgentID]],Sales_Agents!$A$1:C287,2)</f>
        <v>Blessing</v>
      </c>
      <c r="N284" t="str">
        <f>VLOOKUP(Table2[[#This Row],[AgentID]],Sales_Agents!$A$1:C287,3)</f>
        <v>East</v>
      </c>
    </row>
    <row r="285" spans="1:14" x14ac:dyDescent="0.25">
      <c r="A285">
        <v>284</v>
      </c>
      <c r="B285" s="1">
        <v>45475</v>
      </c>
      <c r="C285" s="8" t="str">
        <f>TEXT(Table2[[#This Row],[OrderDate]],"mmm")</f>
        <v>Jul</v>
      </c>
      <c r="D285">
        <v>1</v>
      </c>
      <c r="E285">
        <v>1</v>
      </c>
      <c r="F285">
        <v>3</v>
      </c>
      <c r="G285" s="3">
        <v>311300</v>
      </c>
      <c r="H285" s="3">
        <f t="shared" si="8"/>
        <v>933900</v>
      </c>
      <c r="I285" s="5">
        <f>Table2[[#This Row],[Total Revenue]]*0.3</f>
        <v>280170</v>
      </c>
      <c r="J285" s="6">
        <f t="shared" si="9"/>
        <v>0.3</v>
      </c>
      <c r="K285" t="str">
        <f>VLOOKUP(Table2[[#This Row],[ProductID]],Products!$A$1:C289,2)</f>
        <v>Laptop</v>
      </c>
      <c r="L285" t="str">
        <f>VLOOKUP(D285,Products!$A$1:C289,3)</f>
        <v>Electronics</v>
      </c>
      <c r="M285" t="str">
        <f>VLOOKUP(Table2[[#This Row],[AgentID]],Sales_Agents!$A$1:C288,2)</f>
        <v>Akin</v>
      </c>
      <c r="N285" t="str">
        <f>VLOOKUP(Table2[[#This Row],[AgentID]],Sales_Agents!$A$1:C288,3)</f>
        <v>West</v>
      </c>
    </row>
    <row r="286" spans="1:14" x14ac:dyDescent="0.25">
      <c r="A286">
        <v>285</v>
      </c>
      <c r="B286" s="1">
        <v>45587</v>
      </c>
      <c r="C286" s="8" t="str">
        <f>TEXT(Table2[[#This Row],[OrderDate]],"mmm")</f>
        <v>Oct</v>
      </c>
      <c r="D286">
        <v>4</v>
      </c>
      <c r="E286">
        <v>2</v>
      </c>
      <c r="F286">
        <v>14</v>
      </c>
      <c r="G286" s="3">
        <v>262466</v>
      </c>
      <c r="H286" s="3">
        <f t="shared" si="8"/>
        <v>3674524</v>
      </c>
      <c r="I286" s="5">
        <f>Table2[[#This Row],[Total Revenue]]*0.3</f>
        <v>1102357.2</v>
      </c>
      <c r="J286" s="6">
        <f t="shared" si="9"/>
        <v>0.3</v>
      </c>
      <c r="K286" t="str">
        <f>VLOOKUP(Table2[[#This Row],[ProductID]],Products!$A$1:C290,2)</f>
        <v>Printer</v>
      </c>
      <c r="L286" t="str">
        <f>VLOOKUP(D286,Products!$A$1:C290,3)</f>
        <v>Accessories</v>
      </c>
      <c r="M286" t="str">
        <f>VLOOKUP(Table2[[#This Row],[AgentID]],Sales_Agents!$A$1:C289,2)</f>
        <v>Blessing</v>
      </c>
      <c r="N286" t="str">
        <f>VLOOKUP(Table2[[#This Row],[AgentID]],Sales_Agents!$A$1:C289,3)</f>
        <v>East</v>
      </c>
    </row>
    <row r="287" spans="1:14" x14ac:dyDescent="0.25">
      <c r="A287">
        <v>286</v>
      </c>
      <c r="B287" s="1">
        <v>45577</v>
      </c>
      <c r="C287" s="8" t="str">
        <f>TEXT(Table2[[#This Row],[OrderDate]],"mmm")</f>
        <v>Oct</v>
      </c>
      <c r="D287">
        <v>4</v>
      </c>
      <c r="E287">
        <v>4</v>
      </c>
      <c r="F287">
        <v>12</v>
      </c>
      <c r="G287" s="3">
        <v>333027</v>
      </c>
      <c r="H287" s="3">
        <f t="shared" si="8"/>
        <v>3996324</v>
      </c>
      <c r="I287" s="5">
        <f>Table2[[#This Row],[Total Revenue]]*0.3</f>
        <v>1198897.2</v>
      </c>
      <c r="J287" s="6">
        <f t="shared" si="9"/>
        <v>0.3</v>
      </c>
      <c r="K287" t="str">
        <f>VLOOKUP(Table2[[#This Row],[ProductID]],Products!$A$1:C291,2)</f>
        <v>Printer</v>
      </c>
      <c r="L287" t="str">
        <f>VLOOKUP(D287,Products!$A$1:C291,3)</f>
        <v>Accessories</v>
      </c>
      <c r="M287" t="str">
        <f>VLOOKUP(Table2[[#This Row],[AgentID]],Sales_Agents!$A$1:C290,2)</f>
        <v>Zainab</v>
      </c>
      <c r="N287" t="str">
        <f>VLOOKUP(Table2[[#This Row],[AgentID]],Sales_Agents!$A$1:C290,3)</f>
        <v>North</v>
      </c>
    </row>
    <row r="288" spans="1:14" x14ac:dyDescent="0.25">
      <c r="A288">
        <v>287</v>
      </c>
      <c r="B288" s="1">
        <v>45625</v>
      </c>
      <c r="C288" s="8" t="str">
        <f>TEXT(Table2[[#This Row],[OrderDate]],"mmm")</f>
        <v>Nov</v>
      </c>
      <c r="D288">
        <v>4</v>
      </c>
      <c r="E288">
        <v>2</v>
      </c>
      <c r="F288">
        <v>9</v>
      </c>
      <c r="G288" s="3">
        <v>264052</v>
      </c>
      <c r="H288" s="3">
        <f t="shared" si="8"/>
        <v>2376468</v>
      </c>
      <c r="I288" s="5">
        <f>Table2[[#This Row],[Total Revenue]]*0.3</f>
        <v>712940.4</v>
      </c>
      <c r="J288" s="6">
        <f t="shared" si="9"/>
        <v>0.3</v>
      </c>
      <c r="K288" t="str">
        <f>VLOOKUP(Table2[[#This Row],[ProductID]],Products!$A$1:C292,2)</f>
        <v>Printer</v>
      </c>
      <c r="L288" t="str">
        <f>VLOOKUP(D288,Products!$A$1:C292,3)</f>
        <v>Accessories</v>
      </c>
      <c r="M288" t="str">
        <f>VLOOKUP(Table2[[#This Row],[AgentID]],Sales_Agents!$A$1:C291,2)</f>
        <v>Blessing</v>
      </c>
      <c r="N288" t="str">
        <f>VLOOKUP(Table2[[#This Row],[AgentID]],Sales_Agents!$A$1:C291,3)</f>
        <v>East</v>
      </c>
    </row>
    <row r="289" spans="1:14" x14ac:dyDescent="0.25">
      <c r="A289">
        <v>288</v>
      </c>
      <c r="B289" s="1">
        <v>45553</v>
      </c>
      <c r="C289" s="8" t="str">
        <f>TEXT(Table2[[#This Row],[OrderDate]],"mmm")</f>
        <v>Sept</v>
      </c>
      <c r="D289">
        <v>5</v>
      </c>
      <c r="E289">
        <v>1</v>
      </c>
      <c r="F289">
        <v>20</v>
      </c>
      <c r="G289" s="3">
        <v>278001</v>
      </c>
      <c r="H289" s="3">
        <f t="shared" si="8"/>
        <v>5560020</v>
      </c>
      <c r="I289" s="5">
        <f>Table2[[#This Row],[Total Revenue]]*0.3</f>
        <v>1668006</v>
      </c>
      <c r="J289" s="6">
        <f t="shared" si="9"/>
        <v>0.3</v>
      </c>
      <c r="K289" t="str">
        <f>VLOOKUP(Table2[[#This Row],[ProductID]],Products!$A$1:C293,2)</f>
        <v>Monitor</v>
      </c>
      <c r="L289" t="str">
        <f>VLOOKUP(D289,Products!$A$1:C293,3)</f>
        <v>Accessories</v>
      </c>
      <c r="M289" t="str">
        <f>VLOOKUP(Table2[[#This Row],[AgentID]],Sales_Agents!$A$1:C292,2)</f>
        <v>Akin</v>
      </c>
      <c r="N289" t="str">
        <f>VLOOKUP(Table2[[#This Row],[AgentID]],Sales_Agents!$A$1:C292,3)</f>
        <v>West</v>
      </c>
    </row>
    <row r="290" spans="1:14" x14ac:dyDescent="0.25">
      <c r="A290">
        <v>289</v>
      </c>
      <c r="B290" s="1">
        <v>45308</v>
      </c>
      <c r="C290" s="8" t="str">
        <f>TEXT(Table2[[#This Row],[OrderDate]],"mmm")</f>
        <v>Jan</v>
      </c>
      <c r="D290">
        <v>2</v>
      </c>
      <c r="E290">
        <v>2</v>
      </c>
      <c r="F290">
        <v>4</v>
      </c>
      <c r="G290" s="3">
        <v>338461</v>
      </c>
      <c r="H290" s="3">
        <f t="shared" si="8"/>
        <v>1353844</v>
      </c>
      <c r="I290" s="5">
        <f>Table2[[#This Row],[Total Revenue]]*0.3</f>
        <v>406153.2</v>
      </c>
      <c r="J290" s="6">
        <f t="shared" si="9"/>
        <v>0.3</v>
      </c>
      <c r="K290" t="str">
        <f>VLOOKUP(Table2[[#This Row],[ProductID]],Products!$A$1:C294,2)</f>
        <v>Phone</v>
      </c>
      <c r="L290" t="str">
        <f>VLOOKUP(D290,Products!$A$1:C294,3)</f>
        <v>Electronics</v>
      </c>
      <c r="M290" t="str">
        <f>VLOOKUP(Table2[[#This Row],[AgentID]],Sales_Agents!$A$1:C293,2)</f>
        <v>Blessing</v>
      </c>
      <c r="N290" t="str">
        <f>VLOOKUP(Table2[[#This Row],[AgentID]],Sales_Agents!$A$1:C293,3)</f>
        <v>East</v>
      </c>
    </row>
    <row r="291" spans="1:14" x14ac:dyDescent="0.25">
      <c r="A291">
        <v>290</v>
      </c>
      <c r="B291" s="1">
        <v>45349</v>
      </c>
      <c r="C291" s="8" t="str">
        <f>TEXT(Table2[[#This Row],[OrderDate]],"mmm")</f>
        <v>Feb</v>
      </c>
      <c r="D291">
        <v>3</v>
      </c>
      <c r="E291">
        <v>3</v>
      </c>
      <c r="F291">
        <v>6</v>
      </c>
      <c r="G291" s="3">
        <v>117622</v>
      </c>
      <c r="H291" s="3">
        <f t="shared" si="8"/>
        <v>705732</v>
      </c>
      <c r="I291" s="5">
        <f>Table2[[#This Row],[Total Revenue]]*0.3</f>
        <v>211719.6</v>
      </c>
      <c r="J291" s="6">
        <f t="shared" si="9"/>
        <v>0.3</v>
      </c>
      <c r="K291" t="str">
        <f>VLOOKUP(Table2[[#This Row],[ProductID]],Products!$A$1:C295,2)</f>
        <v>Tablet</v>
      </c>
      <c r="L291" t="str">
        <f>VLOOKUP(D291,Products!$A$1:C295,3)</f>
        <v>Electronics</v>
      </c>
      <c r="M291" t="str">
        <f>VLOOKUP(Table2[[#This Row],[AgentID]],Sales_Agents!$A$1:C294,2)</f>
        <v>Chinedu</v>
      </c>
      <c r="N291" t="str">
        <f>VLOOKUP(Table2[[#This Row],[AgentID]],Sales_Agents!$A$1:C294,3)</f>
        <v>South</v>
      </c>
    </row>
    <row r="292" spans="1:14" x14ac:dyDescent="0.25">
      <c r="A292">
        <v>291</v>
      </c>
      <c r="B292" s="1">
        <v>45604</v>
      </c>
      <c r="C292" s="8" t="str">
        <f>TEXT(Table2[[#This Row],[OrderDate]],"mmm")</f>
        <v>Nov</v>
      </c>
      <c r="D292">
        <v>5</v>
      </c>
      <c r="E292">
        <v>3</v>
      </c>
      <c r="F292">
        <v>19</v>
      </c>
      <c r="G292" s="3">
        <v>237603</v>
      </c>
      <c r="H292" s="3">
        <f t="shared" si="8"/>
        <v>4514457</v>
      </c>
      <c r="I292" s="5">
        <f>Table2[[#This Row],[Total Revenue]]*0.3</f>
        <v>1354337.0999999999</v>
      </c>
      <c r="J292" s="6">
        <f t="shared" si="9"/>
        <v>0.3</v>
      </c>
      <c r="K292" t="str">
        <f>VLOOKUP(Table2[[#This Row],[ProductID]],Products!$A$1:C296,2)</f>
        <v>Monitor</v>
      </c>
      <c r="L292" t="str">
        <f>VLOOKUP(D292,Products!$A$1:C296,3)</f>
        <v>Accessories</v>
      </c>
      <c r="M292" t="str">
        <f>VLOOKUP(Table2[[#This Row],[AgentID]],Sales_Agents!$A$1:C295,2)</f>
        <v>Chinedu</v>
      </c>
      <c r="N292" t="str">
        <f>VLOOKUP(Table2[[#This Row],[AgentID]],Sales_Agents!$A$1:C295,3)</f>
        <v>South</v>
      </c>
    </row>
    <row r="293" spans="1:14" x14ac:dyDescent="0.25">
      <c r="A293">
        <v>292</v>
      </c>
      <c r="B293" s="1">
        <v>45540</v>
      </c>
      <c r="C293" s="8" t="str">
        <f>TEXT(Table2[[#This Row],[OrderDate]],"mmm")</f>
        <v>Sept</v>
      </c>
      <c r="D293">
        <v>2</v>
      </c>
      <c r="E293">
        <v>4</v>
      </c>
      <c r="F293">
        <v>10</v>
      </c>
      <c r="G293" s="3">
        <v>371097</v>
      </c>
      <c r="H293" s="3">
        <f t="shared" si="8"/>
        <v>3710970</v>
      </c>
      <c r="I293" s="5">
        <f>Table2[[#This Row],[Total Revenue]]*0.3</f>
        <v>1113291</v>
      </c>
      <c r="J293" s="6">
        <f t="shared" si="9"/>
        <v>0.3</v>
      </c>
      <c r="K293" t="str">
        <f>VLOOKUP(Table2[[#This Row],[ProductID]],Products!$A$1:C297,2)</f>
        <v>Phone</v>
      </c>
      <c r="L293" t="str">
        <f>VLOOKUP(D293,Products!$A$1:C297,3)</f>
        <v>Electronics</v>
      </c>
      <c r="M293" t="str">
        <f>VLOOKUP(Table2[[#This Row],[AgentID]],Sales_Agents!$A$1:C296,2)</f>
        <v>Zainab</v>
      </c>
      <c r="N293" t="str">
        <f>VLOOKUP(Table2[[#This Row],[AgentID]],Sales_Agents!$A$1:C296,3)</f>
        <v>North</v>
      </c>
    </row>
    <row r="294" spans="1:14" x14ac:dyDescent="0.25">
      <c r="A294">
        <v>293</v>
      </c>
      <c r="B294" s="1">
        <v>45451</v>
      </c>
      <c r="C294" s="8" t="str">
        <f>TEXT(Table2[[#This Row],[OrderDate]],"mmm")</f>
        <v>Jun</v>
      </c>
      <c r="D294">
        <v>4</v>
      </c>
      <c r="E294">
        <v>2</v>
      </c>
      <c r="F294">
        <v>7</v>
      </c>
      <c r="G294" s="3">
        <v>202206</v>
      </c>
      <c r="H294" s="3">
        <f t="shared" si="8"/>
        <v>1415442</v>
      </c>
      <c r="I294" s="5">
        <f>Table2[[#This Row],[Total Revenue]]*0.3</f>
        <v>424632.6</v>
      </c>
      <c r="J294" s="6">
        <f t="shared" si="9"/>
        <v>0.3</v>
      </c>
      <c r="K294" t="str">
        <f>VLOOKUP(Table2[[#This Row],[ProductID]],Products!$A$1:C298,2)</f>
        <v>Printer</v>
      </c>
      <c r="L294" t="str">
        <f>VLOOKUP(D294,Products!$A$1:C298,3)</f>
        <v>Accessories</v>
      </c>
      <c r="M294" t="str">
        <f>VLOOKUP(Table2[[#This Row],[AgentID]],Sales_Agents!$A$1:C297,2)</f>
        <v>Blessing</v>
      </c>
      <c r="N294" t="str">
        <f>VLOOKUP(Table2[[#This Row],[AgentID]],Sales_Agents!$A$1:C297,3)</f>
        <v>East</v>
      </c>
    </row>
    <row r="295" spans="1:14" x14ac:dyDescent="0.25">
      <c r="A295">
        <v>294</v>
      </c>
      <c r="B295" s="1">
        <v>45340</v>
      </c>
      <c r="C295" s="8" t="str">
        <f>TEXT(Table2[[#This Row],[OrderDate]],"mmm")</f>
        <v>Feb</v>
      </c>
      <c r="D295">
        <v>2</v>
      </c>
      <c r="E295">
        <v>1</v>
      </c>
      <c r="F295">
        <v>20</v>
      </c>
      <c r="G295" s="3">
        <v>89129</v>
      </c>
      <c r="H295" s="3">
        <f t="shared" si="8"/>
        <v>1782580</v>
      </c>
      <c r="I295" s="5">
        <f>Table2[[#This Row],[Total Revenue]]*0.3</f>
        <v>534774</v>
      </c>
      <c r="J295" s="6">
        <f t="shared" si="9"/>
        <v>0.3</v>
      </c>
      <c r="K295" t="str">
        <f>VLOOKUP(Table2[[#This Row],[ProductID]],Products!$A$1:C299,2)</f>
        <v>Phone</v>
      </c>
      <c r="L295" t="str">
        <f>VLOOKUP(D295,Products!$A$1:C299,3)</f>
        <v>Electronics</v>
      </c>
      <c r="M295" t="str">
        <f>VLOOKUP(Table2[[#This Row],[AgentID]],Sales_Agents!$A$1:C298,2)</f>
        <v>Akin</v>
      </c>
      <c r="N295" t="str">
        <f>VLOOKUP(Table2[[#This Row],[AgentID]],Sales_Agents!$A$1:C298,3)</f>
        <v>West</v>
      </c>
    </row>
    <row r="296" spans="1:14" x14ac:dyDescent="0.25">
      <c r="A296">
        <v>295</v>
      </c>
      <c r="B296" s="1">
        <v>45330</v>
      </c>
      <c r="C296" s="8" t="str">
        <f>TEXT(Table2[[#This Row],[OrderDate]],"mmm")</f>
        <v>Feb</v>
      </c>
      <c r="D296">
        <v>3</v>
      </c>
      <c r="E296">
        <v>4</v>
      </c>
      <c r="F296">
        <v>6</v>
      </c>
      <c r="G296" s="3">
        <v>170125</v>
      </c>
      <c r="H296" s="3">
        <f t="shared" si="8"/>
        <v>1020750</v>
      </c>
      <c r="I296" s="5">
        <f>Table2[[#This Row],[Total Revenue]]*0.3</f>
        <v>306225</v>
      </c>
      <c r="J296" s="6">
        <f t="shared" si="9"/>
        <v>0.3</v>
      </c>
      <c r="K296" t="str">
        <f>VLOOKUP(Table2[[#This Row],[ProductID]],Products!$A$1:C300,2)</f>
        <v>Tablet</v>
      </c>
      <c r="L296" t="str">
        <f>VLOOKUP(D296,Products!$A$1:C300,3)</f>
        <v>Electronics</v>
      </c>
      <c r="M296" t="str">
        <f>VLOOKUP(Table2[[#This Row],[AgentID]],Sales_Agents!$A$1:C299,2)</f>
        <v>Zainab</v>
      </c>
      <c r="N296" t="str">
        <f>VLOOKUP(Table2[[#This Row],[AgentID]],Sales_Agents!$A$1:C299,3)</f>
        <v>North</v>
      </c>
    </row>
    <row r="297" spans="1:14" x14ac:dyDescent="0.25">
      <c r="A297">
        <v>296</v>
      </c>
      <c r="B297" s="1">
        <v>45504</v>
      </c>
      <c r="C297" s="8" t="str">
        <f>TEXT(Table2[[#This Row],[OrderDate]],"mmm")</f>
        <v>Jul</v>
      </c>
      <c r="D297">
        <v>3</v>
      </c>
      <c r="E297">
        <v>1</v>
      </c>
      <c r="F297">
        <v>12</v>
      </c>
      <c r="G297" s="3">
        <v>242701</v>
      </c>
      <c r="H297" s="3">
        <f t="shared" si="8"/>
        <v>2912412</v>
      </c>
      <c r="I297" s="5">
        <f>Table2[[#This Row],[Total Revenue]]*0.3</f>
        <v>873723.6</v>
      </c>
      <c r="J297" s="6">
        <f t="shared" si="9"/>
        <v>0.3</v>
      </c>
      <c r="K297" t="str">
        <f>VLOOKUP(Table2[[#This Row],[ProductID]],Products!$A$1:C301,2)</f>
        <v>Tablet</v>
      </c>
      <c r="L297" t="str">
        <f>VLOOKUP(D297,Products!$A$1:C301,3)</f>
        <v>Electronics</v>
      </c>
      <c r="M297" t="str">
        <f>VLOOKUP(Table2[[#This Row],[AgentID]],Sales_Agents!$A$1:C300,2)</f>
        <v>Akin</v>
      </c>
      <c r="N297" t="str">
        <f>VLOOKUP(Table2[[#This Row],[AgentID]],Sales_Agents!$A$1:C300,3)</f>
        <v>West</v>
      </c>
    </row>
    <row r="298" spans="1:14" x14ac:dyDescent="0.25">
      <c r="A298">
        <v>297</v>
      </c>
      <c r="B298" s="1">
        <v>45405</v>
      </c>
      <c r="C298" s="8" t="str">
        <f>TEXT(Table2[[#This Row],[OrderDate]],"mmm")</f>
        <v>Apr</v>
      </c>
      <c r="D298">
        <v>3</v>
      </c>
      <c r="E298">
        <v>3</v>
      </c>
      <c r="F298">
        <v>20</v>
      </c>
      <c r="G298" s="3">
        <v>306319</v>
      </c>
      <c r="H298" s="3">
        <f t="shared" si="8"/>
        <v>6126380</v>
      </c>
      <c r="I298" s="5">
        <f>Table2[[#This Row],[Total Revenue]]*0.3</f>
        <v>1837914</v>
      </c>
      <c r="J298" s="6">
        <f t="shared" si="9"/>
        <v>0.3</v>
      </c>
      <c r="K298" t="str">
        <f>VLOOKUP(Table2[[#This Row],[ProductID]],Products!$A$1:C302,2)</f>
        <v>Tablet</v>
      </c>
      <c r="L298" t="str">
        <f>VLOOKUP(D298,Products!$A$1:C302,3)</f>
        <v>Electronics</v>
      </c>
      <c r="M298" t="str">
        <f>VLOOKUP(Table2[[#This Row],[AgentID]],Sales_Agents!$A$1:C301,2)</f>
        <v>Chinedu</v>
      </c>
      <c r="N298" t="str">
        <f>VLOOKUP(Table2[[#This Row],[AgentID]],Sales_Agents!$A$1:C301,3)</f>
        <v>South</v>
      </c>
    </row>
    <row r="299" spans="1:14" x14ac:dyDescent="0.25">
      <c r="A299">
        <v>298</v>
      </c>
      <c r="B299" s="1">
        <v>45587</v>
      </c>
      <c r="C299" s="8" t="str">
        <f>TEXT(Table2[[#This Row],[OrderDate]],"mmm")</f>
        <v>Oct</v>
      </c>
      <c r="D299">
        <v>1</v>
      </c>
      <c r="E299">
        <v>4</v>
      </c>
      <c r="F299">
        <v>11</v>
      </c>
      <c r="G299" s="3">
        <v>268595</v>
      </c>
      <c r="H299" s="3">
        <f t="shared" si="8"/>
        <v>2954545</v>
      </c>
      <c r="I299" s="5">
        <f>Table2[[#This Row],[Total Revenue]]*0.3</f>
        <v>886363.5</v>
      </c>
      <c r="J299" s="6">
        <f t="shared" si="9"/>
        <v>0.3</v>
      </c>
      <c r="K299" t="str">
        <f>VLOOKUP(Table2[[#This Row],[ProductID]],Products!$A$1:C303,2)</f>
        <v>Laptop</v>
      </c>
      <c r="L299" t="str">
        <f>VLOOKUP(D299,Products!$A$1:C303,3)</f>
        <v>Electronics</v>
      </c>
      <c r="M299" t="str">
        <f>VLOOKUP(Table2[[#This Row],[AgentID]],Sales_Agents!$A$1:C302,2)</f>
        <v>Zainab</v>
      </c>
      <c r="N299" t="str">
        <f>VLOOKUP(Table2[[#This Row],[AgentID]],Sales_Agents!$A$1:C302,3)</f>
        <v>North</v>
      </c>
    </row>
    <row r="300" spans="1:14" x14ac:dyDescent="0.25">
      <c r="A300">
        <v>299</v>
      </c>
      <c r="B300" s="1">
        <v>45449</v>
      </c>
      <c r="C300" s="8" t="str">
        <f>TEXT(Table2[[#This Row],[OrderDate]],"mmm")</f>
        <v>Jun</v>
      </c>
      <c r="D300">
        <v>2</v>
      </c>
      <c r="E300">
        <v>2</v>
      </c>
      <c r="F300">
        <v>13</v>
      </c>
      <c r="G300" s="3">
        <v>147489</v>
      </c>
      <c r="H300" s="3">
        <f t="shared" si="8"/>
        <v>1917357</v>
      </c>
      <c r="I300" s="5">
        <f>Table2[[#This Row],[Total Revenue]]*0.3</f>
        <v>575207.1</v>
      </c>
      <c r="J300" s="6">
        <f t="shared" si="9"/>
        <v>0.3</v>
      </c>
      <c r="K300" t="str">
        <f>VLOOKUP(Table2[[#This Row],[ProductID]],Products!$A$1:C304,2)</f>
        <v>Phone</v>
      </c>
      <c r="L300" t="str">
        <f>VLOOKUP(D300,Products!$A$1:C304,3)</f>
        <v>Electronics</v>
      </c>
      <c r="M300" t="str">
        <f>VLOOKUP(Table2[[#This Row],[AgentID]],Sales_Agents!$A$1:C303,2)</f>
        <v>Blessing</v>
      </c>
      <c r="N300" t="str">
        <f>VLOOKUP(Table2[[#This Row],[AgentID]],Sales_Agents!$A$1:C303,3)</f>
        <v>East</v>
      </c>
    </row>
    <row r="301" spans="1:14" x14ac:dyDescent="0.25">
      <c r="A301">
        <v>300</v>
      </c>
      <c r="B301" s="1">
        <v>45559</v>
      </c>
      <c r="C301" s="8" t="str">
        <f>TEXT(Table2[[#This Row],[OrderDate]],"mmm")</f>
        <v>Sept</v>
      </c>
      <c r="D301">
        <v>5</v>
      </c>
      <c r="E301">
        <v>1</v>
      </c>
      <c r="F301">
        <v>10</v>
      </c>
      <c r="G301" s="3">
        <v>203061</v>
      </c>
      <c r="H301" s="3">
        <f t="shared" si="8"/>
        <v>2030610</v>
      </c>
      <c r="I301" s="5">
        <f>Table2[[#This Row],[Total Revenue]]*0.3</f>
        <v>609183</v>
      </c>
      <c r="J301" s="6">
        <f t="shared" si="9"/>
        <v>0.3</v>
      </c>
      <c r="K301" t="str">
        <f>VLOOKUP(Table2[[#This Row],[ProductID]],Products!$A$1:C305,2)</f>
        <v>Monitor</v>
      </c>
      <c r="L301" t="str">
        <f>VLOOKUP(D301,Products!$A$1:C305,3)</f>
        <v>Accessories</v>
      </c>
      <c r="M301" t="str">
        <f>VLOOKUP(Table2[[#This Row],[AgentID]],Sales_Agents!$A$1:C304,2)</f>
        <v>Akin</v>
      </c>
      <c r="N301" t="str">
        <f>VLOOKUP(Table2[[#This Row],[AgentID]],Sales_Agents!$A$1:C304,3)</f>
        <v>West</v>
      </c>
    </row>
    <row r="302" spans="1:14" x14ac:dyDescent="0.25">
      <c r="A302">
        <v>301</v>
      </c>
      <c r="B302" s="1">
        <v>45507</v>
      </c>
      <c r="C302" s="8" t="str">
        <f>TEXT(Table2[[#This Row],[OrderDate]],"mmm")</f>
        <v>Aug</v>
      </c>
      <c r="D302">
        <v>4</v>
      </c>
      <c r="E302">
        <v>2</v>
      </c>
      <c r="F302">
        <v>15</v>
      </c>
      <c r="G302" s="3">
        <v>63452</v>
      </c>
      <c r="H302" s="3">
        <f t="shared" si="8"/>
        <v>951780</v>
      </c>
      <c r="I302" s="5">
        <f>Table2[[#This Row],[Total Revenue]]*0.3</f>
        <v>285534</v>
      </c>
      <c r="J302" s="6">
        <f t="shared" si="9"/>
        <v>0.3</v>
      </c>
      <c r="K302" t="str">
        <f>VLOOKUP(Table2[[#This Row],[ProductID]],Products!$A$1:C306,2)</f>
        <v>Printer</v>
      </c>
      <c r="L302" t="str">
        <f>VLOOKUP(D302,Products!$A$1:C306,3)</f>
        <v>Accessories</v>
      </c>
      <c r="M302" t="str">
        <f>VLOOKUP(Table2[[#This Row],[AgentID]],Sales_Agents!$A$1:C305,2)</f>
        <v>Blessing</v>
      </c>
      <c r="N302" t="str">
        <f>VLOOKUP(Table2[[#This Row],[AgentID]],Sales_Agents!$A$1:C305,3)</f>
        <v>East</v>
      </c>
    </row>
    <row r="303" spans="1:14" x14ac:dyDescent="0.25">
      <c r="A303">
        <v>302</v>
      </c>
      <c r="B303" s="1">
        <v>45528</v>
      </c>
      <c r="C303" s="8" t="str">
        <f>TEXT(Table2[[#This Row],[OrderDate]],"mmm")</f>
        <v>Aug</v>
      </c>
      <c r="D303">
        <v>1</v>
      </c>
      <c r="E303">
        <v>3</v>
      </c>
      <c r="F303">
        <v>10</v>
      </c>
      <c r="G303" s="3">
        <v>118867</v>
      </c>
      <c r="H303" s="3">
        <f t="shared" si="8"/>
        <v>1188670</v>
      </c>
      <c r="I303" s="5">
        <f>Table2[[#This Row],[Total Revenue]]*0.3</f>
        <v>356601</v>
      </c>
      <c r="J303" s="6">
        <f t="shared" si="9"/>
        <v>0.3</v>
      </c>
      <c r="K303" t="str">
        <f>VLOOKUP(Table2[[#This Row],[ProductID]],Products!$A$1:C307,2)</f>
        <v>Laptop</v>
      </c>
      <c r="L303" t="str">
        <f>VLOOKUP(D303,Products!$A$1:C307,3)</f>
        <v>Electronics</v>
      </c>
      <c r="M303" t="str">
        <f>VLOOKUP(Table2[[#This Row],[AgentID]],Sales_Agents!$A$1:C306,2)</f>
        <v>Chinedu</v>
      </c>
      <c r="N303" t="str">
        <f>VLOOKUP(Table2[[#This Row],[AgentID]],Sales_Agents!$A$1:C306,3)</f>
        <v>South</v>
      </c>
    </row>
    <row r="304" spans="1:14" x14ac:dyDescent="0.25">
      <c r="A304">
        <v>303</v>
      </c>
      <c r="B304" s="1">
        <v>45479</v>
      </c>
      <c r="C304" s="8" t="str">
        <f>TEXT(Table2[[#This Row],[OrderDate]],"mmm")</f>
        <v>Jul</v>
      </c>
      <c r="D304">
        <v>3</v>
      </c>
      <c r="E304">
        <v>4</v>
      </c>
      <c r="F304">
        <v>8</v>
      </c>
      <c r="G304" s="3">
        <v>393789</v>
      </c>
      <c r="H304" s="3">
        <f t="shared" si="8"/>
        <v>3150312</v>
      </c>
      <c r="I304" s="5">
        <f>Table2[[#This Row],[Total Revenue]]*0.3</f>
        <v>945093.6</v>
      </c>
      <c r="J304" s="6">
        <f t="shared" si="9"/>
        <v>0.3</v>
      </c>
      <c r="K304" t="str">
        <f>VLOOKUP(Table2[[#This Row],[ProductID]],Products!$A$1:C308,2)</f>
        <v>Tablet</v>
      </c>
      <c r="L304" t="str">
        <f>VLOOKUP(D304,Products!$A$1:C308,3)</f>
        <v>Electronics</v>
      </c>
      <c r="M304" t="str">
        <f>VLOOKUP(Table2[[#This Row],[AgentID]],Sales_Agents!$A$1:C307,2)</f>
        <v>Zainab</v>
      </c>
      <c r="N304" t="str">
        <f>VLOOKUP(Table2[[#This Row],[AgentID]],Sales_Agents!$A$1:C307,3)</f>
        <v>North</v>
      </c>
    </row>
    <row r="305" spans="1:14" x14ac:dyDescent="0.25">
      <c r="A305">
        <v>304</v>
      </c>
      <c r="B305" s="1">
        <v>45650</v>
      </c>
      <c r="C305" s="8" t="str">
        <f>TEXT(Table2[[#This Row],[OrderDate]],"mmm")</f>
        <v>Dec</v>
      </c>
      <c r="D305">
        <v>5</v>
      </c>
      <c r="E305">
        <v>3</v>
      </c>
      <c r="F305">
        <v>15</v>
      </c>
      <c r="G305" s="3">
        <v>57126</v>
      </c>
      <c r="H305" s="3">
        <f t="shared" si="8"/>
        <v>856890</v>
      </c>
      <c r="I305" s="5">
        <f>Table2[[#This Row],[Total Revenue]]*0.3</f>
        <v>257067</v>
      </c>
      <c r="J305" s="6">
        <f t="shared" si="9"/>
        <v>0.3</v>
      </c>
      <c r="K305" t="str">
        <f>VLOOKUP(Table2[[#This Row],[ProductID]],Products!$A$1:C309,2)</f>
        <v>Monitor</v>
      </c>
      <c r="L305" t="str">
        <f>VLOOKUP(D305,Products!$A$1:C309,3)</f>
        <v>Accessories</v>
      </c>
      <c r="M305" t="str">
        <f>VLOOKUP(Table2[[#This Row],[AgentID]],Sales_Agents!$A$1:C308,2)</f>
        <v>Chinedu</v>
      </c>
      <c r="N305" t="str">
        <f>VLOOKUP(Table2[[#This Row],[AgentID]],Sales_Agents!$A$1:C308,3)</f>
        <v>South</v>
      </c>
    </row>
    <row r="306" spans="1:14" x14ac:dyDescent="0.25">
      <c r="A306">
        <v>305</v>
      </c>
      <c r="B306" s="1">
        <v>45586</v>
      </c>
      <c r="C306" s="8" t="str">
        <f>TEXT(Table2[[#This Row],[OrderDate]],"mmm")</f>
        <v>Oct</v>
      </c>
      <c r="D306">
        <v>3</v>
      </c>
      <c r="E306">
        <v>4</v>
      </c>
      <c r="F306">
        <v>15</v>
      </c>
      <c r="G306" s="3">
        <v>211351</v>
      </c>
      <c r="H306" s="3">
        <f t="shared" si="8"/>
        <v>3170265</v>
      </c>
      <c r="I306" s="5">
        <f>Table2[[#This Row],[Total Revenue]]*0.3</f>
        <v>951079.5</v>
      </c>
      <c r="J306" s="6">
        <f t="shared" si="9"/>
        <v>0.3</v>
      </c>
      <c r="K306" t="str">
        <f>VLOOKUP(Table2[[#This Row],[ProductID]],Products!$A$1:C310,2)</f>
        <v>Tablet</v>
      </c>
      <c r="L306" t="str">
        <f>VLOOKUP(D306,Products!$A$1:C310,3)</f>
        <v>Electronics</v>
      </c>
      <c r="M306" t="str">
        <f>VLOOKUP(Table2[[#This Row],[AgentID]],Sales_Agents!$A$1:C309,2)</f>
        <v>Zainab</v>
      </c>
      <c r="N306" t="str">
        <f>VLOOKUP(Table2[[#This Row],[AgentID]],Sales_Agents!$A$1:C309,3)</f>
        <v>North</v>
      </c>
    </row>
    <row r="307" spans="1:14" x14ac:dyDescent="0.25">
      <c r="A307">
        <v>306</v>
      </c>
      <c r="B307" s="1">
        <v>45314</v>
      </c>
      <c r="C307" s="8" t="str">
        <f>TEXT(Table2[[#This Row],[OrderDate]],"mmm")</f>
        <v>Jan</v>
      </c>
      <c r="D307">
        <v>1</v>
      </c>
      <c r="E307">
        <v>4</v>
      </c>
      <c r="F307">
        <v>18</v>
      </c>
      <c r="G307" s="3">
        <v>98309</v>
      </c>
      <c r="H307" s="3">
        <f t="shared" si="8"/>
        <v>1769562</v>
      </c>
      <c r="I307" s="5">
        <f>Table2[[#This Row],[Total Revenue]]*0.3</f>
        <v>530868.6</v>
      </c>
      <c r="J307" s="6">
        <f t="shared" si="9"/>
        <v>0.3</v>
      </c>
      <c r="K307" t="str">
        <f>VLOOKUP(Table2[[#This Row],[ProductID]],Products!$A$1:C311,2)</f>
        <v>Laptop</v>
      </c>
      <c r="L307" t="str">
        <f>VLOOKUP(D307,Products!$A$1:C311,3)</f>
        <v>Electronics</v>
      </c>
      <c r="M307" t="str">
        <f>VLOOKUP(Table2[[#This Row],[AgentID]],Sales_Agents!$A$1:C310,2)</f>
        <v>Zainab</v>
      </c>
      <c r="N307" t="str">
        <f>VLOOKUP(Table2[[#This Row],[AgentID]],Sales_Agents!$A$1:C310,3)</f>
        <v>North</v>
      </c>
    </row>
    <row r="308" spans="1:14" x14ac:dyDescent="0.25">
      <c r="A308">
        <v>307</v>
      </c>
      <c r="B308" s="1">
        <v>45387</v>
      </c>
      <c r="C308" s="8" t="str">
        <f>TEXT(Table2[[#This Row],[OrderDate]],"mmm")</f>
        <v>Apr</v>
      </c>
      <c r="D308">
        <v>4</v>
      </c>
      <c r="E308">
        <v>2</v>
      </c>
      <c r="F308">
        <v>9</v>
      </c>
      <c r="G308" s="3">
        <v>243051</v>
      </c>
      <c r="H308" s="3">
        <f t="shared" si="8"/>
        <v>2187459</v>
      </c>
      <c r="I308" s="5">
        <f>Table2[[#This Row],[Total Revenue]]*0.3</f>
        <v>656237.69999999995</v>
      </c>
      <c r="J308" s="6">
        <f t="shared" si="9"/>
        <v>0.3</v>
      </c>
      <c r="K308" t="str">
        <f>VLOOKUP(Table2[[#This Row],[ProductID]],Products!$A$1:C312,2)</f>
        <v>Printer</v>
      </c>
      <c r="L308" t="str">
        <f>VLOOKUP(D308,Products!$A$1:C312,3)</f>
        <v>Accessories</v>
      </c>
      <c r="M308" t="str">
        <f>VLOOKUP(Table2[[#This Row],[AgentID]],Sales_Agents!$A$1:C311,2)</f>
        <v>Blessing</v>
      </c>
      <c r="N308" t="str">
        <f>VLOOKUP(Table2[[#This Row],[AgentID]],Sales_Agents!$A$1:C311,3)</f>
        <v>East</v>
      </c>
    </row>
    <row r="309" spans="1:14" x14ac:dyDescent="0.25">
      <c r="A309">
        <v>308</v>
      </c>
      <c r="B309" s="1">
        <v>45344</v>
      </c>
      <c r="C309" s="8" t="str">
        <f>TEXT(Table2[[#This Row],[OrderDate]],"mmm")</f>
        <v>Feb</v>
      </c>
      <c r="D309">
        <v>1</v>
      </c>
      <c r="E309">
        <v>2</v>
      </c>
      <c r="F309">
        <v>8</v>
      </c>
      <c r="G309" s="3">
        <v>94661</v>
      </c>
      <c r="H309" s="3">
        <f t="shared" si="8"/>
        <v>757288</v>
      </c>
      <c r="I309" s="5">
        <f>Table2[[#This Row],[Total Revenue]]*0.3</f>
        <v>227186.4</v>
      </c>
      <c r="J309" s="6">
        <f t="shared" si="9"/>
        <v>0.3</v>
      </c>
      <c r="K309" t="str">
        <f>VLOOKUP(Table2[[#This Row],[ProductID]],Products!$A$1:C313,2)</f>
        <v>Laptop</v>
      </c>
      <c r="L309" t="str">
        <f>VLOOKUP(D309,Products!$A$1:C313,3)</f>
        <v>Electronics</v>
      </c>
      <c r="M309" t="str">
        <f>VLOOKUP(Table2[[#This Row],[AgentID]],Sales_Agents!$A$1:C312,2)</f>
        <v>Blessing</v>
      </c>
      <c r="N309" t="str">
        <f>VLOOKUP(Table2[[#This Row],[AgentID]],Sales_Agents!$A$1:C312,3)</f>
        <v>East</v>
      </c>
    </row>
    <row r="310" spans="1:14" x14ac:dyDescent="0.25">
      <c r="A310">
        <v>309</v>
      </c>
      <c r="B310" s="1">
        <v>45344</v>
      </c>
      <c r="C310" s="8" t="str">
        <f>TEXT(Table2[[#This Row],[OrderDate]],"mmm")</f>
        <v>Feb</v>
      </c>
      <c r="D310">
        <v>3</v>
      </c>
      <c r="E310">
        <v>2</v>
      </c>
      <c r="F310">
        <v>11</v>
      </c>
      <c r="G310" s="3">
        <v>226832</v>
      </c>
      <c r="H310" s="3">
        <f t="shared" si="8"/>
        <v>2495152</v>
      </c>
      <c r="I310" s="5">
        <f>Table2[[#This Row],[Total Revenue]]*0.3</f>
        <v>748545.6</v>
      </c>
      <c r="J310" s="6">
        <f t="shared" si="9"/>
        <v>0.3</v>
      </c>
      <c r="K310" t="str">
        <f>VLOOKUP(Table2[[#This Row],[ProductID]],Products!$A$1:C314,2)</f>
        <v>Tablet</v>
      </c>
      <c r="L310" t="str">
        <f>VLOOKUP(D310,Products!$A$1:C314,3)</f>
        <v>Electronics</v>
      </c>
      <c r="M310" t="str">
        <f>VLOOKUP(Table2[[#This Row],[AgentID]],Sales_Agents!$A$1:C313,2)</f>
        <v>Blessing</v>
      </c>
      <c r="N310" t="str">
        <f>VLOOKUP(Table2[[#This Row],[AgentID]],Sales_Agents!$A$1:C313,3)</f>
        <v>East</v>
      </c>
    </row>
    <row r="311" spans="1:14" x14ac:dyDescent="0.25">
      <c r="A311">
        <v>310</v>
      </c>
      <c r="B311" s="1">
        <v>45639</v>
      </c>
      <c r="C311" s="8" t="str">
        <f>TEXT(Table2[[#This Row],[OrderDate]],"mmm")</f>
        <v>Dec</v>
      </c>
      <c r="D311">
        <v>4</v>
      </c>
      <c r="E311">
        <v>3</v>
      </c>
      <c r="F311">
        <v>2</v>
      </c>
      <c r="G311" s="3">
        <v>143838</v>
      </c>
      <c r="H311" s="3">
        <f t="shared" si="8"/>
        <v>287676</v>
      </c>
      <c r="I311" s="5">
        <f>Table2[[#This Row],[Total Revenue]]*0.3</f>
        <v>86302.8</v>
      </c>
      <c r="J311" s="6">
        <f t="shared" si="9"/>
        <v>0.3</v>
      </c>
      <c r="K311" t="str">
        <f>VLOOKUP(Table2[[#This Row],[ProductID]],Products!$A$1:C315,2)</f>
        <v>Printer</v>
      </c>
      <c r="L311" t="str">
        <f>VLOOKUP(D311,Products!$A$1:C315,3)</f>
        <v>Accessories</v>
      </c>
      <c r="M311" t="str">
        <f>VLOOKUP(Table2[[#This Row],[AgentID]],Sales_Agents!$A$1:C314,2)</f>
        <v>Chinedu</v>
      </c>
      <c r="N311" t="str">
        <f>VLOOKUP(Table2[[#This Row],[AgentID]],Sales_Agents!$A$1:C314,3)</f>
        <v>South</v>
      </c>
    </row>
    <row r="312" spans="1:14" x14ac:dyDescent="0.25">
      <c r="A312">
        <v>311</v>
      </c>
      <c r="B312" s="1">
        <v>45538</v>
      </c>
      <c r="C312" s="8" t="str">
        <f>TEXT(Table2[[#This Row],[OrderDate]],"mmm")</f>
        <v>Sept</v>
      </c>
      <c r="D312">
        <v>2</v>
      </c>
      <c r="E312">
        <v>2</v>
      </c>
      <c r="F312">
        <v>18</v>
      </c>
      <c r="G312" s="3">
        <v>163141</v>
      </c>
      <c r="H312" s="3">
        <f t="shared" si="8"/>
        <v>2936538</v>
      </c>
      <c r="I312" s="5">
        <f>Table2[[#This Row],[Total Revenue]]*0.3</f>
        <v>880961.4</v>
      </c>
      <c r="J312" s="6">
        <f t="shared" si="9"/>
        <v>0.3</v>
      </c>
      <c r="K312" t="str">
        <f>VLOOKUP(Table2[[#This Row],[ProductID]],Products!$A$1:C316,2)</f>
        <v>Phone</v>
      </c>
      <c r="L312" t="str">
        <f>VLOOKUP(D312,Products!$A$1:C316,3)</f>
        <v>Electronics</v>
      </c>
      <c r="M312" t="str">
        <f>VLOOKUP(Table2[[#This Row],[AgentID]],Sales_Agents!$A$1:C315,2)</f>
        <v>Blessing</v>
      </c>
      <c r="N312" t="str">
        <f>VLOOKUP(Table2[[#This Row],[AgentID]],Sales_Agents!$A$1:C315,3)</f>
        <v>East</v>
      </c>
    </row>
    <row r="313" spans="1:14" x14ac:dyDescent="0.25">
      <c r="A313">
        <v>312</v>
      </c>
      <c r="B313" s="1">
        <v>45464</v>
      </c>
      <c r="C313" s="8" t="str">
        <f>TEXT(Table2[[#This Row],[OrderDate]],"mmm")</f>
        <v>Jun</v>
      </c>
      <c r="D313">
        <v>4</v>
      </c>
      <c r="E313">
        <v>1</v>
      </c>
      <c r="F313">
        <v>20</v>
      </c>
      <c r="G313" s="3">
        <v>147341</v>
      </c>
      <c r="H313" s="3">
        <f t="shared" si="8"/>
        <v>2946820</v>
      </c>
      <c r="I313" s="5">
        <f>Table2[[#This Row],[Total Revenue]]*0.3</f>
        <v>884046</v>
      </c>
      <c r="J313" s="6">
        <f t="shared" si="9"/>
        <v>0.3</v>
      </c>
      <c r="K313" t="str">
        <f>VLOOKUP(Table2[[#This Row],[ProductID]],Products!$A$1:C317,2)</f>
        <v>Printer</v>
      </c>
      <c r="L313" t="str">
        <f>VLOOKUP(D313,Products!$A$1:C317,3)</f>
        <v>Accessories</v>
      </c>
      <c r="M313" t="str">
        <f>VLOOKUP(Table2[[#This Row],[AgentID]],Sales_Agents!$A$1:C316,2)</f>
        <v>Akin</v>
      </c>
      <c r="N313" t="str">
        <f>VLOOKUP(Table2[[#This Row],[AgentID]],Sales_Agents!$A$1:C316,3)</f>
        <v>West</v>
      </c>
    </row>
    <row r="314" spans="1:14" x14ac:dyDescent="0.25">
      <c r="A314">
        <v>313</v>
      </c>
      <c r="B314" s="1">
        <v>45519</v>
      </c>
      <c r="C314" s="8" t="str">
        <f>TEXT(Table2[[#This Row],[OrderDate]],"mmm")</f>
        <v>Aug</v>
      </c>
      <c r="D314">
        <v>5</v>
      </c>
      <c r="E314">
        <v>3</v>
      </c>
      <c r="F314">
        <v>2</v>
      </c>
      <c r="G314" s="3">
        <v>252902</v>
      </c>
      <c r="H314" s="3">
        <f t="shared" si="8"/>
        <v>505804</v>
      </c>
      <c r="I314" s="5">
        <f>Table2[[#This Row],[Total Revenue]]*0.3</f>
        <v>151741.19999999998</v>
      </c>
      <c r="J314" s="6">
        <f t="shared" si="9"/>
        <v>0.3</v>
      </c>
      <c r="K314" t="str">
        <f>VLOOKUP(Table2[[#This Row],[ProductID]],Products!$A$1:C318,2)</f>
        <v>Monitor</v>
      </c>
      <c r="L314" t="str">
        <f>VLOOKUP(D314,Products!$A$1:C318,3)</f>
        <v>Accessories</v>
      </c>
      <c r="M314" t="str">
        <f>VLOOKUP(Table2[[#This Row],[AgentID]],Sales_Agents!$A$1:C317,2)</f>
        <v>Chinedu</v>
      </c>
      <c r="N314" t="str">
        <f>VLOOKUP(Table2[[#This Row],[AgentID]],Sales_Agents!$A$1:C317,3)</f>
        <v>South</v>
      </c>
    </row>
    <row r="315" spans="1:14" x14ac:dyDescent="0.25">
      <c r="A315">
        <v>314</v>
      </c>
      <c r="B315" s="1">
        <v>45633</v>
      </c>
      <c r="C315" s="8" t="str">
        <f>TEXT(Table2[[#This Row],[OrderDate]],"mmm")</f>
        <v>Dec</v>
      </c>
      <c r="D315">
        <v>5</v>
      </c>
      <c r="E315">
        <v>4</v>
      </c>
      <c r="F315">
        <v>11</v>
      </c>
      <c r="G315" s="3">
        <v>278272</v>
      </c>
      <c r="H315" s="3">
        <f t="shared" si="8"/>
        <v>3060992</v>
      </c>
      <c r="I315" s="5">
        <f>Table2[[#This Row],[Total Revenue]]*0.3</f>
        <v>918297.59999999998</v>
      </c>
      <c r="J315" s="6">
        <f t="shared" si="9"/>
        <v>0.3</v>
      </c>
      <c r="K315" t="str">
        <f>VLOOKUP(Table2[[#This Row],[ProductID]],Products!$A$1:C319,2)</f>
        <v>Monitor</v>
      </c>
      <c r="L315" t="str">
        <f>VLOOKUP(D315,Products!$A$1:C319,3)</f>
        <v>Accessories</v>
      </c>
      <c r="M315" t="str">
        <f>VLOOKUP(Table2[[#This Row],[AgentID]],Sales_Agents!$A$1:C318,2)</f>
        <v>Zainab</v>
      </c>
      <c r="N315" t="str">
        <f>VLOOKUP(Table2[[#This Row],[AgentID]],Sales_Agents!$A$1:C318,3)</f>
        <v>North</v>
      </c>
    </row>
    <row r="316" spans="1:14" x14ac:dyDescent="0.25">
      <c r="A316">
        <v>315</v>
      </c>
      <c r="B316" s="1">
        <v>45542</v>
      </c>
      <c r="C316" s="8" t="str">
        <f>TEXT(Table2[[#This Row],[OrderDate]],"mmm")</f>
        <v>Sept</v>
      </c>
      <c r="D316">
        <v>4</v>
      </c>
      <c r="E316">
        <v>4</v>
      </c>
      <c r="F316">
        <v>10</v>
      </c>
      <c r="G316" s="3">
        <v>361239</v>
      </c>
      <c r="H316" s="3">
        <f t="shared" si="8"/>
        <v>3612390</v>
      </c>
      <c r="I316" s="5">
        <f>Table2[[#This Row],[Total Revenue]]*0.3</f>
        <v>1083717</v>
      </c>
      <c r="J316" s="6">
        <f t="shared" si="9"/>
        <v>0.3</v>
      </c>
      <c r="K316" t="str">
        <f>VLOOKUP(Table2[[#This Row],[ProductID]],Products!$A$1:C320,2)</f>
        <v>Printer</v>
      </c>
      <c r="L316" t="str">
        <f>VLOOKUP(D316,Products!$A$1:C320,3)</f>
        <v>Accessories</v>
      </c>
      <c r="M316" t="str">
        <f>VLOOKUP(Table2[[#This Row],[AgentID]],Sales_Agents!$A$1:C319,2)</f>
        <v>Zainab</v>
      </c>
      <c r="N316" t="str">
        <f>VLOOKUP(Table2[[#This Row],[AgentID]],Sales_Agents!$A$1:C319,3)</f>
        <v>North</v>
      </c>
    </row>
    <row r="317" spans="1:14" x14ac:dyDescent="0.25">
      <c r="A317">
        <v>316</v>
      </c>
      <c r="B317" s="1">
        <v>45650</v>
      </c>
      <c r="C317" s="8" t="str">
        <f>TEXT(Table2[[#This Row],[OrderDate]],"mmm")</f>
        <v>Dec</v>
      </c>
      <c r="D317">
        <v>2</v>
      </c>
      <c r="E317">
        <v>2</v>
      </c>
      <c r="F317">
        <v>19</v>
      </c>
      <c r="G317" s="3">
        <v>161705</v>
      </c>
      <c r="H317" s="3">
        <f t="shared" si="8"/>
        <v>3072395</v>
      </c>
      <c r="I317" s="5">
        <f>Table2[[#This Row],[Total Revenue]]*0.3</f>
        <v>921718.5</v>
      </c>
      <c r="J317" s="6">
        <f t="shared" si="9"/>
        <v>0.3</v>
      </c>
      <c r="K317" t="str">
        <f>VLOOKUP(Table2[[#This Row],[ProductID]],Products!$A$1:C321,2)</f>
        <v>Phone</v>
      </c>
      <c r="L317" t="str">
        <f>VLOOKUP(D317,Products!$A$1:C321,3)</f>
        <v>Electronics</v>
      </c>
      <c r="M317" t="str">
        <f>VLOOKUP(Table2[[#This Row],[AgentID]],Sales_Agents!$A$1:C320,2)</f>
        <v>Blessing</v>
      </c>
      <c r="N317" t="str">
        <f>VLOOKUP(Table2[[#This Row],[AgentID]],Sales_Agents!$A$1:C320,3)</f>
        <v>East</v>
      </c>
    </row>
    <row r="318" spans="1:14" x14ac:dyDescent="0.25">
      <c r="A318">
        <v>317</v>
      </c>
      <c r="B318" s="1">
        <v>45380</v>
      </c>
      <c r="C318" s="8" t="str">
        <f>TEXT(Table2[[#This Row],[OrderDate]],"mmm")</f>
        <v>Mar</v>
      </c>
      <c r="D318">
        <v>4</v>
      </c>
      <c r="E318">
        <v>2</v>
      </c>
      <c r="F318">
        <v>1</v>
      </c>
      <c r="G318" s="3">
        <v>170609</v>
      </c>
      <c r="H318" s="3">
        <f t="shared" si="8"/>
        <v>170609</v>
      </c>
      <c r="I318" s="5">
        <f>Table2[[#This Row],[Total Revenue]]*0.3</f>
        <v>51182.7</v>
      </c>
      <c r="J318" s="6">
        <f t="shared" si="9"/>
        <v>0.3</v>
      </c>
      <c r="K318" t="str">
        <f>VLOOKUP(Table2[[#This Row],[ProductID]],Products!$A$1:C322,2)</f>
        <v>Printer</v>
      </c>
      <c r="L318" t="str">
        <f>VLOOKUP(D318,Products!$A$1:C322,3)</f>
        <v>Accessories</v>
      </c>
      <c r="M318" t="str">
        <f>VLOOKUP(Table2[[#This Row],[AgentID]],Sales_Agents!$A$1:C321,2)</f>
        <v>Blessing</v>
      </c>
      <c r="N318" t="str">
        <f>VLOOKUP(Table2[[#This Row],[AgentID]],Sales_Agents!$A$1:C321,3)</f>
        <v>East</v>
      </c>
    </row>
    <row r="319" spans="1:14" x14ac:dyDescent="0.25">
      <c r="A319">
        <v>318</v>
      </c>
      <c r="B319" s="1">
        <v>45548</v>
      </c>
      <c r="C319" s="8" t="str">
        <f>TEXT(Table2[[#This Row],[OrderDate]],"mmm")</f>
        <v>Sept</v>
      </c>
      <c r="D319">
        <v>2</v>
      </c>
      <c r="E319">
        <v>1</v>
      </c>
      <c r="F319">
        <v>1</v>
      </c>
      <c r="G319" s="3">
        <v>149430</v>
      </c>
      <c r="H319" s="3">
        <f t="shared" si="8"/>
        <v>149430</v>
      </c>
      <c r="I319" s="5">
        <f>Table2[[#This Row],[Total Revenue]]*0.3</f>
        <v>44829</v>
      </c>
      <c r="J319" s="6">
        <f t="shared" si="9"/>
        <v>0.3</v>
      </c>
      <c r="K319" t="str">
        <f>VLOOKUP(Table2[[#This Row],[ProductID]],Products!$A$1:C323,2)</f>
        <v>Phone</v>
      </c>
      <c r="L319" t="str">
        <f>VLOOKUP(D319,Products!$A$1:C323,3)</f>
        <v>Electronics</v>
      </c>
      <c r="M319" t="str">
        <f>VLOOKUP(Table2[[#This Row],[AgentID]],Sales_Agents!$A$1:C322,2)</f>
        <v>Akin</v>
      </c>
      <c r="N319" t="str">
        <f>VLOOKUP(Table2[[#This Row],[AgentID]],Sales_Agents!$A$1:C322,3)</f>
        <v>West</v>
      </c>
    </row>
    <row r="320" spans="1:14" x14ac:dyDescent="0.25">
      <c r="A320">
        <v>319</v>
      </c>
      <c r="B320" s="1">
        <v>45409</v>
      </c>
      <c r="C320" s="8" t="str">
        <f>TEXT(Table2[[#This Row],[OrderDate]],"mmm")</f>
        <v>Apr</v>
      </c>
      <c r="D320">
        <v>4</v>
      </c>
      <c r="E320">
        <v>2</v>
      </c>
      <c r="F320">
        <v>5</v>
      </c>
      <c r="G320" s="3">
        <v>183173</v>
      </c>
      <c r="H320" s="3">
        <f t="shared" si="8"/>
        <v>915865</v>
      </c>
      <c r="I320" s="5">
        <f>Table2[[#This Row],[Total Revenue]]*0.3</f>
        <v>274759.5</v>
      </c>
      <c r="J320" s="6">
        <f t="shared" si="9"/>
        <v>0.3</v>
      </c>
      <c r="K320" t="str">
        <f>VLOOKUP(Table2[[#This Row],[ProductID]],Products!$A$1:C324,2)</f>
        <v>Printer</v>
      </c>
      <c r="L320" t="str">
        <f>VLOOKUP(D320,Products!$A$1:C324,3)</f>
        <v>Accessories</v>
      </c>
      <c r="M320" t="str">
        <f>VLOOKUP(Table2[[#This Row],[AgentID]],Sales_Agents!$A$1:C323,2)</f>
        <v>Blessing</v>
      </c>
      <c r="N320" t="str">
        <f>VLOOKUP(Table2[[#This Row],[AgentID]],Sales_Agents!$A$1:C323,3)</f>
        <v>East</v>
      </c>
    </row>
    <row r="321" spans="1:14" x14ac:dyDescent="0.25">
      <c r="A321">
        <v>320</v>
      </c>
      <c r="B321" s="1">
        <v>45305</v>
      </c>
      <c r="C321" s="8" t="str">
        <f>TEXT(Table2[[#This Row],[OrderDate]],"mmm")</f>
        <v>Jan</v>
      </c>
      <c r="D321">
        <v>1</v>
      </c>
      <c r="E321">
        <v>2</v>
      </c>
      <c r="F321">
        <v>12</v>
      </c>
      <c r="G321" s="3">
        <v>88988</v>
      </c>
      <c r="H321" s="3">
        <f t="shared" si="8"/>
        <v>1067856</v>
      </c>
      <c r="I321" s="5">
        <f>Table2[[#This Row],[Total Revenue]]*0.3</f>
        <v>320356.8</v>
      </c>
      <c r="J321" s="6">
        <f t="shared" si="9"/>
        <v>0.3</v>
      </c>
      <c r="K321" t="str">
        <f>VLOOKUP(Table2[[#This Row],[ProductID]],Products!$A$1:C325,2)</f>
        <v>Laptop</v>
      </c>
      <c r="L321" t="str">
        <f>VLOOKUP(D321,Products!$A$1:C325,3)</f>
        <v>Electronics</v>
      </c>
      <c r="M321" t="str">
        <f>VLOOKUP(Table2[[#This Row],[AgentID]],Sales_Agents!$A$1:C324,2)</f>
        <v>Blessing</v>
      </c>
      <c r="N321" t="str">
        <f>VLOOKUP(Table2[[#This Row],[AgentID]],Sales_Agents!$A$1:C324,3)</f>
        <v>East</v>
      </c>
    </row>
    <row r="322" spans="1:14" x14ac:dyDescent="0.25">
      <c r="A322">
        <v>321</v>
      </c>
      <c r="B322" s="1">
        <v>45607</v>
      </c>
      <c r="C322" s="8" t="str">
        <f>TEXT(Table2[[#This Row],[OrderDate]],"mmm")</f>
        <v>Nov</v>
      </c>
      <c r="D322">
        <v>3</v>
      </c>
      <c r="E322">
        <v>1</v>
      </c>
      <c r="F322">
        <v>14</v>
      </c>
      <c r="G322" s="3">
        <v>327501</v>
      </c>
      <c r="H322" s="3">
        <f t="shared" ref="H322:H385" si="10">G322*F322</f>
        <v>4585014</v>
      </c>
      <c r="I322" s="5">
        <f>Table2[[#This Row],[Total Revenue]]*0.3</f>
        <v>1375504.2</v>
      </c>
      <c r="J322" s="6">
        <f t="shared" ref="J322:J385" si="11">I322/H322</f>
        <v>0.3</v>
      </c>
      <c r="K322" t="str">
        <f>VLOOKUP(Table2[[#This Row],[ProductID]],Products!$A$1:C326,2)</f>
        <v>Tablet</v>
      </c>
      <c r="L322" t="str">
        <f>VLOOKUP(D322,Products!$A$1:C326,3)</f>
        <v>Electronics</v>
      </c>
      <c r="M322" t="str">
        <f>VLOOKUP(Table2[[#This Row],[AgentID]],Sales_Agents!$A$1:C325,2)</f>
        <v>Akin</v>
      </c>
      <c r="N322" t="str">
        <f>VLOOKUP(Table2[[#This Row],[AgentID]],Sales_Agents!$A$1:C325,3)</f>
        <v>West</v>
      </c>
    </row>
    <row r="323" spans="1:14" x14ac:dyDescent="0.25">
      <c r="A323">
        <v>322</v>
      </c>
      <c r="B323" s="1">
        <v>45342</v>
      </c>
      <c r="C323" s="8" t="str">
        <f>TEXT(Table2[[#This Row],[OrderDate]],"mmm")</f>
        <v>Feb</v>
      </c>
      <c r="D323">
        <v>4</v>
      </c>
      <c r="E323">
        <v>3</v>
      </c>
      <c r="F323">
        <v>4</v>
      </c>
      <c r="G323" s="3">
        <v>190241</v>
      </c>
      <c r="H323" s="3">
        <f t="shared" si="10"/>
        <v>760964</v>
      </c>
      <c r="I323" s="5">
        <f>Table2[[#This Row],[Total Revenue]]*0.3</f>
        <v>228289.19999999998</v>
      </c>
      <c r="J323" s="6">
        <f t="shared" si="11"/>
        <v>0.3</v>
      </c>
      <c r="K323" t="str">
        <f>VLOOKUP(Table2[[#This Row],[ProductID]],Products!$A$1:C327,2)</f>
        <v>Printer</v>
      </c>
      <c r="L323" t="str">
        <f>VLOOKUP(D323,Products!$A$1:C327,3)</f>
        <v>Accessories</v>
      </c>
      <c r="M323" t="str">
        <f>VLOOKUP(Table2[[#This Row],[AgentID]],Sales_Agents!$A$1:C326,2)</f>
        <v>Chinedu</v>
      </c>
      <c r="N323" t="str">
        <f>VLOOKUP(Table2[[#This Row],[AgentID]],Sales_Agents!$A$1:C326,3)</f>
        <v>South</v>
      </c>
    </row>
    <row r="324" spans="1:14" x14ac:dyDescent="0.25">
      <c r="A324">
        <v>323</v>
      </c>
      <c r="B324" s="1">
        <v>45309</v>
      </c>
      <c r="C324" s="8" t="str">
        <f>TEXT(Table2[[#This Row],[OrderDate]],"mmm")</f>
        <v>Jan</v>
      </c>
      <c r="D324">
        <v>4</v>
      </c>
      <c r="E324">
        <v>4</v>
      </c>
      <c r="F324">
        <v>2</v>
      </c>
      <c r="G324" s="3">
        <v>288952</v>
      </c>
      <c r="H324" s="3">
        <f t="shared" si="10"/>
        <v>577904</v>
      </c>
      <c r="I324" s="5">
        <f>Table2[[#This Row],[Total Revenue]]*0.3</f>
        <v>173371.19999999998</v>
      </c>
      <c r="J324" s="6">
        <f t="shared" si="11"/>
        <v>0.3</v>
      </c>
      <c r="K324" t="str">
        <f>VLOOKUP(Table2[[#This Row],[ProductID]],Products!$A$1:C328,2)</f>
        <v>Printer</v>
      </c>
      <c r="L324" t="str">
        <f>VLOOKUP(D324,Products!$A$1:C328,3)</f>
        <v>Accessories</v>
      </c>
      <c r="M324" t="str">
        <f>VLOOKUP(Table2[[#This Row],[AgentID]],Sales_Agents!$A$1:C327,2)</f>
        <v>Zainab</v>
      </c>
      <c r="N324" t="str">
        <f>VLOOKUP(Table2[[#This Row],[AgentID]],Sales_Agents!$A$1:C327,3)</f>
        <v>North</v>
      </c>
    </row>
    <row r="325" spans="1:14" x14ac:dyDescent="0.25">
      <c r="A325">
        <v>324</v>
      </c>
      <c r="B325" s="1">
        <v>45474</v>
      </c>
      <c r="C325" s="8" t="str">
        <f>TEXT(Table2[[#This Row],[OrderDate]],"mmm")</f>
        <v>Jul</v>
      </c>
      <c r="D325">
        <v>2</v>
      </c>
      <c r="E325">
        <v>4</v>
      </c>
      <c r="F325">
        <v>15</v>
      </c>
      <c r="G325" s="3">
        <v>345506</v>
      </c>
      <c r="H325" s="3">
        <f t="shared" si="10"/>
        <v>5182590</v>
      </c>
      <c r="I325" s="5">
        <f>Table2[[#This Row],[Total Revenue]]*0.3</f>
        <v>1554777</v>
      </c>
      <c r="J325" s="6">
        <f t="shared" si="11"/>
        <v>0.3</v>
      </c>
      <c r="K325" t="str">
        <f>VLOOKUP(Table2[[#This Row],[ProductID]],Products!$A$1:C329,2)</f>
        <v>Phone</v>
      </c>
      <c r="L325" t="str">
        <f>VLOOKUP(D325,Products!$A$1:C329,3)</f>
        <v>Electronics</v>
      </c>
      <c r="M325" t="str">
        <f>VLOOKUP(Table2[[#This Row],[AgentID]],Sales_Agents!$A$1:C328,2)</f>
        <v>Zainab</v>
      </c>
      <c r="N325" t="str">
        <f>VLOOKUP(Table2[[#This Row],[AgentID]],Sales_Agents!$A$1:C328,3)</f>
        <v>North</v>
      </c>
    </row>
    <row r="326" spans="1:14" x14ac:dyDescent="0.25">
      <c r="A326">
        <v>325</v>
      </c>
      <c r="B326" s="1">
        <v>45487</v>
      </c>
      <c r="C326" s="8" t="str">
        <f>TEXT(Table2[[#This Row],[OrderDate]],"mmm")</f>
        <v>Jul</v>
      </c>
      <c r="D326">
        <v>1</v>
      </c>
      <c r="E326">
        <v>3</v>
      </c>
      <c r="F326">
        <v>1</v>
      </c>
      <c r="G326" s="3">
        <v>94558</v>
      </c>
      <c r="H326" s="3">
        <f t="shared" si="10"/>
        <v>94558</v>
      </c>
      <c r="I326" s="5">
        <f>Table2[[#This Row],[Total Revenue]]*0.3</f>
        <v>28367.399999999998</v>
      </c>
      <c r="J326" s="6">
        <f t="shared" si="11"/>
        <v>0.3</v>
      </c>
      <c r="K326" t="str">
        <f>VLOOKUP(Table2[[#This Row],[ProductID]],Products!$A$1:C330,2)</f>
        <v>Laptop</v>
      </c>
      <c r="L326" t="str">
        <f>VLOOKUP(D326,Products!$A$1:C330,3)</f>
        <v>Electronics</v>
      </c>
      <c r="M326" t="str">
        <f>VLOOKUP(Table2[[#This Row],[AgentID]],Sales_Agents!$A$1:C329,2)</f>
        <v>Chinedu</v>
      </c>
      <c r="N326" t="str">
        <f>VLOOKUP(Table2[[#This Row],[AgentID]],Sales_Agents!$A$1:C329,3)</f>
        <v>South</v>
      </c>
    </row>
    <row r="327" spans="1:14" x14ac:dyDescent="0.25">
      <c r="A327">
        <v>326</v>
      </c>
      <c r="B327" s="1">
        <v>45334</v>
      </c>
      <c r="C327" s="8" t="str">
        <f>TEXT(Table2[[#This Row],[OrderDate]],"mmm")</f>
        <v>Feb</v>
      </c>
      <c r="D327">
        <v>3</v>
      </c>
      <c r="E327">
        <v>4</v>
      </c>
      <c r="F327">
        <v>14</v>
      </c>
      <c r="G327" s="3">
        <v>128868</v>
      </c>
      <c r="H327" s="3">
        <f t="shared" si="10"/>
        <v>1804152</v>
      </c>
      <c r="I327" s="5">
        <f>Table2[[#This Row],[Total Revenue]]*0.3</f>
        <v>541245.6</v>
      </c>
      <c r="J327" s="6">
        <f t="shared" si="11"/>
        <v>0.3</v>
      </c>
      <c r="K327" t="str">
        <f>VLOOKUP(Table2[[#This Row],[ProductID]],Products!$A$1:C331,2)</f>
        <v>Tablet</v>
      </c>
      <c r="L327" t="str">
        <f>VLOOKUP(D327,Products!$A$1:C331,3)</f>
        <v>Electronics</v>
      </c>
      <c r="M327" t="str">
        <f>VLOOKUP(Table2[[#This Row],[AgentID]],Sales_Agents!$A$1:C330,2)</f>
        <v>Zainab</v>
      </c>
      <c r="N327" t="str">
        <f>VLOOKUP(Table2[[#This Row],[AgentID]],Sales_Agents!$A$1:C330,3)</f>
        <v>North</v>
      </c>
    </row>
    <row r="328" spans="1:14" x14ac:dyDescent="0.25">
      <c r="A328">
        <v>327</v>
      </c>
      <c r="B328" s="1">
        <v>45320</v>
      </c>
      <c r="C328" s="8" t="str">
        <f>TEXT(Table2[[#This Row],[OrderDate]],"mmm")</f>
        <v>Jan</v>
      </c>
      <c r="D328">
        <v>1</v>
      </c>
      <c r="E328">
        <v>3</v>
      </c>
      <c r="F328">
        <v>9</v>
      </c>
      <c r="G328" s="3">
        <v>385200</v>
      </c>
      <c r="H328" s="3">
        <f t="shared" si="10"/>
        <v>3466800</v>
      </c>
      <c r="I328" s="5">
        <f>Table2[[#This Row],[Total Revenue]]*0.3</f>
        <v>1040040</v>
      </c>
      <c r="J328" s="6">
        <f t="shared" si="11"/>
        <v>0.3</v>
      </c>
      <c r="K328" t="str">
        <f>VLOOKUP(Table2[[#This Row],[ProductID]],Products!$A$1:C332,2)</f>
        <v>Laptop</v>
      </c>
      <c r="L328" t="str">
        <f>VLOOKUP(D328,Products!$A$1:C332,3)</f>
        <v>Electronics</v>
      </c>
      <c r="M328" t="str">
        <f>VLOOKUP(Table2[[#This Row],[AgentID]],Sales_Agents!$A$1:C331,2)</f>
        <v>Chinedu</v>
      </c>
      <c r="N328" t="str">
        <f>VLOOKUP(Table2[[#This Row],[AgentID]],Sales_Agents!$A$1:C331,3)</f>
        <v>South</v>
      </c>
    </row>
    <row r="329" spans="1:14" x14ac:dyDescent="0.25">
      <c r="A329">
        <v>328</v>
      </c>
      <c r="B329" s="1">
        <v>45505</v>
      </c>
      <c r="C329" s="8" t="str">
        <f>TEXT(Table2[[#This Row],[OrderDate]],"mmm")</f>
        <v>Aug</v>
      </c>
      <c r="D329">
        <v>4</v>
      </c>
      <c r="E329">
        <v>1</v>
      </c>
      <c r="F329">
        <v>20</v>
      </c>
      <c r="G329" s="3">
        <v>266852</v>
      </c>
      <c r="H329" s="3">
        <f t="shared" si="10"/>
        <v>5337040</v>
      </c>
      <c r="I329" s="5">
        <f>Table2[[#This Row],[Total Revenue]]*0.3</f>
        <v>1601112</v>
      </c>
      <c r="J329" s="6">
        <f t="shared" si="11"/>
        <v>0.3</v>
      </c>
      <c r="K329" t="str">
        <f>VLOOKUP(Table2[[#This Row],[ProductID]],Products!$A$1:C333,2)</f>
        <v>Printer</v>
      </c>
      <c r="L329" t="str">
        <f>VLOOKUP(D329,Products!$A$1:C333,3)</f>
        <v>Accessories</v>
      </c>
      <c r="M329" t="str">
        <f>VLOOKUP(Table2[[#This Row],[AgentID]],Sales_Agents!$A$1:C332,2)</f>
        <v>Akin</v>
      </c>
      <c r="N329" t="str">
        <f>VLOOKUP(Table2[[#This Row],[AgentID]],Sales_Agents!$A$1:C332,3)</f>
        <v>West</v>
      </c>
    </row>
    <row r="330" spans="1:14" x14ac:dyDescent="0.25">
      <c r="A330">
        <v>329</v>
      </c>
      <c r="B330" s="1">
        <v>45620</v>
      </c>
      <c r="C330" s="8" t="str">
        <f>TEXT(Table2[[#This Row],[OrderDate]],"mmm")</f>
        <v>Nov</v>
      </c>
      <c r="D330">
        <v>2</v>
      </c>
      <c r="E330">
        <v>1</v>
      </c>
      <c r="F330">
        <v>18</v>
      </c>
      <c r="G330" s="3">
        <v>155209</v>
      </c>
      <c r="H330" s="3">
        <f t="shared" si="10"/>
        <v>2793762</v>
      </c>
      <c r="I330" s="5">
        <f>Table2[[#This Row],[Total Revenue]]*0.3</f>
        <v>838128.6</v>
      </c>
      <c r="J330" s="6">
        <f t="shared" si="11"/>
        <v>0.3</v>
      </c>
      <c r="K330" t="str">
        <f>VLOOKUP(Table2[[#This Row],[ProductID]],Products!$A$1:C334,2)</f>
        <v>Phone</v>
      </c>
      <c r="L330" t="str">
        <f>VLOOKUP(D330,Products!$A$1:C334,3)</f>
        <v>Electronics</v>
      </c>
      <c r="M330" t="str">
        <f>VLOOKUP(Table2[[#This Row],[AgentID]],Sales_Agents!$A$1:C333,2)</f>
        <v>Akin</v>
      </c>
      <c r="N330" t="str">
        <f>VLOOKUP(Table2[[#This Row],[AgentID]],Sales_Agents!$A$1:C333,3)</f>
        <v>West</v>
      </c>
    </row>
    <row r="331" spans="1:14" x14ac:dyDescent="0.25">
      <c r="A331">
        <v>330</v>
      </c>
      <c r="B331" s="1">
        <v>45373</v>
      </c>
      <c r="C331" s="8" t="str">
        <f>TEXT(Table2[[#This Row],[OrderDate]],"mmm")</f>
        <v>Mar</v>
      </c>
      <c r="D331">
        <v>1</v>
      </c>
      <c r="E331">
        <v>2</v>
      </c>
      <c r="F331">
        <v>11</v>
      </c>
      <c r="G331" s="3">
        <v>209189</v>
      </c>
      <c r="H331" s="3">
        <f t="shared" si="10"/>
        <v>2301079</v>
      </c>
      <c r="I331" s="5">
        <f>Table2[[#This Row],[Total Revenue]]*0.3</f>
        <v>690323.7</v>
      </c>
      <c r="J331" s="6">
        <f t="shared" si="11"/>
        <v>0.3</v>
      </c>
      <c r="K331" t="str">
        <f>VLOOKUP(Table2[[#This Row],[ProductID]],Products!$A$1:C335,2)</f>
        <v>Laptop</v>
      </c>
      <c r="L331" t="str">
        <f>VLOOKUP(D331,Products!$A$1:C335,3)</f>
        <v>Electronics</v>
      </c>
      <c r="M331" t="str">
        <f>VLOOKUP(Table2[[#This Row],[AgentID]],Sales_Agents!$A$1:C334,2)</f>
        <v>Blessing</v>
      </c>
      <c r="N331" t="str">
        <f>VLOOKUP(Table2[[#This Row],[AgentID]],Sales_Agents!$A$1:C334,3)</f>
        <v>East</v>
      </c>
    </row>
    <row r="332" spans="1:14" x14ac:dyDescent="0.25">
      <c r="A332">
        <v>331</v>
      </c>
      <c r="B332" s="1">
        <v>45435</v>
      </c>
      <c r="C332" s="8" t="str">
        <f>TEXT(Table2[[#This Row],[OrderDate]],"mmm")</f>
        <v>May</v>
      </c>
      <c r="D332">
        <v>1</v>
      </c>
      <c r="E332">
        <v>3</v>
      </c>
      <c r="F332">
        <v>20</v>
      </c>
      <c r="G332" s="3">
        <v>207399</v>
      </c>
      <c r="H332" s="3">
        <f t="shared" si="10"/>
        <v>4147980</v>
      </c>
      <c r="I332" s="5">
        <f>Table2[[#This Row],[Total Revenue]]*0.3</f>
        <v>1244394</v>
      </c>
      <c r="J332" s="6">
        <f t="shared" si="11"/>
        <v>0.3</v>
      </c>
      <c r="K332" t="str">
        <f>VLOOKUP(Table2[[#This Row],[ProductID]],Products!$A$1:C336,2)</f>
        <v>Laptop</v>
      </c>
      <c r="L332" t="str">
        <f>VLOOKUP(D332,Products!$A$1:C336,3)</f>
        <v>Electronics</v>
      </c>
      <c r="M332" t="str">
        <f>VLOOKUP(Table2[[#This Row],[AgentID]],Sales_Agents!$A$1:C335,2)</f>
        <v>Chinedu</v>
      </c>
      <c r="N332" t="str">
        <f>VLOOKUP(Table2[[#This Row],[AgentID]],Sales_Agents!$A$1:C335,3)</f>
        <v>South</v>
      </c>
    </row>
    <row r="333" spans="1:14" x14ac:dyDescent="0.25">
      <c r="A333">
        <v>332</v>
      </c>
      <c r="B333" s="1">
        <v>45595</v>
      </c>
      <c r="C333" s="8" t="str">
        <f>TEXT(Table2[[#This Row],[OrderDate]],"mmm")</f>
        <v>Oct</v>
      </c>
      <c r="D333">
        <v>5</v>
      </c>
      <c r="E333">
        <v>1</v>
      </c>
      <c r="F333">
        <v>19</v>
      </c>
      <c r="G333" s="3">
        <v>151000</v>
      </c>
      <c r="H333" s="3">
        <f t="shared" si="10"/>
        <v>2869000</v>
      </c>
      <c r="I333" s="5">
        <f>Table2[[#This Row],[Total Revenue]]*0.3</f>
        <v>860700</v>
      </c>
      <c r="J333" s="6">
        <f t="shared" si="11"/>
        <v>0.3</v>
      </c>
      <c r="K333" t="str">
        <f>VLOOKUP(Table2[[#This Row],[ProductID]],Products!$A$1:C337,2)</f>
        <v>Monitor</v>
      </c>
      <c r="L333" t="str">
        <f>VLOOKUP(D333,Products!$A$1:C337,3)</f>
        <v>Accessories</v>
      </c>
      <c r="M333" t="str">
        <f>VLOOKUP(Table2[[#This Row],[AgentID]],Sales_Agents!$A$1:C336,2)</f>
        <v>Akin</v>
      </c>
      <c r="N333" t="str">
        <f>VLOOKUP(Table2[[#This Row],[AgentID]],Sales_Agents!$A$1:C336,3)</f>
        <v>West</v>
      </c>
    </row>
    <row r="334" spans="1:14" x14ac:dyDescent="0.25">
      <c r="A334">
        <v>333</v>
      </c>
      <c r="B334" s="1">
        <v>45425</v>
      </c>
      <c r="C334" s="8" t="str">
        <f>TEXT(Table2[[#This Row],[OrderDate]],"mmm")</f>
        <v>May</v>
      </c>
      <c r="D334">
        <v>5</v>
      </c>
      <c r="E334">
        <v>3</v>
      </c>
      <c r="F334">
        <v>5</v>
      </c>
      <c r="G334" s="3">
        <v>281245</v>
      </c>
      <c r="H334" s="3">
        <f t="shared" si="10"/>
        <v>1406225</v>
      </c>
      <c r="I334" s="5">
        <f>Table2[[#This Row],[Total Revenue]]*0.3</f>
        <v>421867.5</v>
      </c>
      <c r="J334" s="6">
        <f t="shared" si="11"/>
        <v>0.3</v>
      </c>
      <c r="K334" t="str">
        <f>VLOOKUP(Table2[[#This Row],[ProductID]],Products!$A$1:C338,2)</f>
        <v>Monitor</v>
      </c>
      <c r="L334" t="str">
        <f>VLOOKUP(D334,Products!$A$1:C338,3)</f>
        <v>Accessories</v>
      </c>
      <c r="M334" t="str">
        <f>VLOOKUP(Table2[[#This Row],[AgentID]],Sales_Agents!$A$1:C337,2)</f>
        <v>Chinedu</v>
      </c>
      <c r="N334" t="str">
        <f>VLOOKUP(Table2[[#This Row],[AgentID]],Sales_Agents!$A$1:C337,3)</f>
        <v>South</v>
      </c>
    </row>
    <row r="335" spans="1:14" x14ac:dyDescent="0.25">
      <c r="A335">
        <v>334</v>
      </c>
      <c r="B335" s="1">
        <v>45361</v>
      </c>
      <c r="C335" s="8" t="str">
        <f>TEXT(Table2[[#This Row],[OrderDate]],"mmm")</f>
        <v>Mar</v>
      </c>
      <c r="D335">
        <v>5</v>
      </c>
      <c r="E335">
        <v>1</v>
      </c>
      <c r="F335">
        <v>6</v>
      </c>
      <c r="G335" s="3">
        <v>203010</v>
      </c>
      <c r="H335" s="3">
        <f t="shared" si="10"/>
        <v>1218060</v>
      </c>
      <c r="I335" s="5">
        <f>Table2[[#This Row],[Total Revenue]]*0.3</f>
        <v>365418</v>
      </c>
      <c r="J335" s="6">
        <f t="shared" si="11"/>
        <v>0.3</v>
      </c>
      <c r="K335" t="str">
        <f>VLOOKUP(Table2[[#This Row],[ProductID]],Products!$A$1:C339,2)</f>
        <v>Monitor</v>
      </c>
      <c r="L335" t="str">
        <f>VLOOKUP(D335,Products!$A$1:C339,3)</f>
        <v>Accessories</v>
      </c>
      <c r="M335" t="str">
        <f>VLOOKUP(Table2[[#This Row],[AgentID]],Sales_Agents!$A$1:C338,2)</f>
        <v>Akin</v>
      </c>
      <c r="N335" t="str">
        <f>VLOOKUP(Table2[[#This Row],[AgentID]],Sales_Agents!$A$1:C338,3)</f>
        <v>West</v>
      </c>
    </row>
    <row r="336" spans="1:14" x14ac:dyDescent="0.25">
      <c r="A336">
        <v>335</v>
      </c>
      <c r="B336" s="1">
        <v>45584</v>
      </c>
      <c r="C336" s="8" t="str">
        <f>TEXT(Table2[[#This Row],[OrderDate]],"mmm")</f>
        <v>Oct</v>
      </c>
      <c r="D336">
        <v>2</v>
      </c>
      <c r="E336">
        <v>1</v>
      </c>
      <c r="F336">
        <v>13</v>
      </c>
      <c r="G336" s="3">
        <v>60753</v>
      </c>
      <c r="H336" s="3">
        <f t="shared" si="10"/>
        <v>789789</v>
      </c>
      <c r="I336" s="5">
        <f>Table2[[#This Row],[Total Revenue]]*0.3</f>
        <v>236936.69999999998</v>
      </c>
      <c r="J336" s="6">
        <f t="shared" si="11"/>
        <v>0.3</v>
      </c>
      <c r="K336" t="str">
        <f>VLOOKUP(Table2[[#This Row],[ProductID]],Products!$A$1:C340,2)</f>
        <v>Phone</v>
      </c>
      <c r="L336" t="str">
        <f>VLOOKUP(D336,Products!$A$1:C340,3)</f>
        <v>Electronics</v>
      </c>
      <c r="M336" t="str">
        <f>VLOOKUP(Table2[[#This Row],[AgentID]],Sales_Agents!$A$1:C339,2)</f>
        <v>Akin</v>
      </c>
      <c r="N336" t="str">
        <f>VLOOKUP(Table2[[#This Row],[AgentID]],Sales_Agents!$A$1:C339,3)</f>
        <v>West</v>
      </c>
    </row>
    <row r="337" spans="1:14" x14ac:dyDescent="0.25">
      <c r="A337">
        <v>336</v>
      </c>
      <c r="B337" s="1">
        <v>45470</v>
      </c>
      <c r="C337" s="8" t="str">
        <f>TEXT(Table2[[#This Row],[OrderDate]],"mmm")</f>
        <v>Jun</v>
      </c>
      <c r="D337">
        <v>1</v>
      </c>
      <c r="E337">
        <v>2</v>
      </c>
      <c r="F337">
        <v>2</v>
      </c>
      <c r="G337" s="3">
        <v>131712</v>
      </c>
      <c r="H337" s="3">
        <f t="shared" si="10"/>
        <v>263424</v>
      </c>
      <c r="I337" s="5">
        <f>Table2[[#This Row],[Total Revenue]]*0.3</f>
        <v>79027.199999999997</v>
      </c>
      <c r="J337" s="6">
        <f t="shared" si="11"/>
        <v>0.3</v>
      </c>
      <c r="K337" t="str">
        <f>VLOOKUP(Table2[[#This Row],[ProductID]],Products!$A$1:C341,2)</f>
        <v>Laptop</v>
      </c>
      <c r="L337" t="str">
        <f>VLOOKUP(D337,Products!$A$1:C341,3)</f>
        <v>Electronics</v>
      </c>
      <c r="M337" t="str">
        <f>VLOOKUP(Table2[[#This Row],[AgentID]],Sales_Agents!$A$1:C340,2)</f>
        <v>Blessing</v>
      </c>
      <c r="N337" t="str">
        <f>VLOOKUP(Table2[[#This Row],[AgentID]],Sales_Agents!$A$1:C340,3)</f>
        <v>East</v>
      </c>
    </row>
    <row r="338" spans="1:14" x14ac:dyDescent="0.25">
      <c r="A338">
        <v>337</v>
      </c>
      <c r="B338" s="1">
        <v>45627</v>
      </c>
      <c r="C338" s="8" t="str">
        <f>TEXT(Table2[[#This Row],[OrderDate]],"mmm")</f>
        <v>Dec</v>
      </c>
      <c r="D338">
        <v>4</v>
      </c>
      <c r="E338">
        <v>4</v>
      </c>
      <c r="F338">
        <v>4</v>
      </c>
      <c r="G338" s="3">
        <v>243070</v>
      </c>
      <c r="H338" s="3">
        <f t="shared" si="10"/>
        <v>972280</v>
      </c>
      <c r="I338" s="5">
        <f>Table2[[#This Row],[Total Revenue]]*0.3</f>
        <v>291684</v>
      </c>
      <c r="J338" s="6">
        <f t="shared" si="11"/>
        <v>0.3</v>
      </c>
      <c r="K338" t="str">
        <f>VLOOKUP(Table2[[#This Row],[ProductID]],Products!$A$1:C342,2)</f>
        <v>Printer</v>
      </c>
      <c r="L338" t="str">
        <f>VLOOKUP(D338,Products!$A$1:C342,3)</f>
        <v>Accessories</v>
      </c>
      <c r="M338" t="str">
        <f>VLOOKUP(Table2[[#This Row],[AgentID]],Sales_Agents!$A$1:C341,2)</f>
        <v>Zainab</v>
      </c>
      <c r="N338" t="str">
        <f>VLOOKUP(Table2[[#This Row],[AgentID]],Sales_Agents!$A$1:C341,3)</f>
        <v>North</v>
      </c>
    </row>
    <row r="339" spans="1:14" x14ac:dyDescent="0.25">
      <c r="A339">
        <v>338</v>
      </c>
      <c r="B339" s="1">
        <v>45315</v>
      </c>
      <c r="C339" s="8" t="str">
        <f>TEXT(Table2[[#This Row],[OrderDate]],"mmm")</f>
        <v>Jan</v>
      </c>
      <c r="D339">
        <v>5</v>
      </c>
      <c r="E339">
        <v>4</v>
      </c>
      <c r="F339">
        <v>17</v>
      </c>
      <c r="G339" s="3">
        <v>258812</v>
      </c>
      <c r="H339" s="3">
        <f t="shared" si="10"/>
        <v>4399804</v>
      </c>
      <c r="I339" s="5">
        <f>Table2[[#This Row],[Total Revenue]]*0.3</f>
        <v>1319941.2</v>
      </c>
      <c r="J339" s="6">
        <f t="shared" si="11"/>
        <v>0.3</v>
      </c>
      <c r="K339" t="str">
        <f>VLOOKUP(Table2[[#This Row],[ProductID]],Products!$A$1:C343,2)</f>
        <v>Monitor</v>
      </c>
      <c r="L339" t="str">
        <f>VLOOKUP(D339,Products!$A$1:C343,3)</f>
        <v>Accessories</v>
      </c>
      <c r="M339" t="str">
        <f>VLOOKUP(Table2[[#This Row],[AgentID]],Sales_Agents!$A$1:C342,2)</f>
        <v>Zainab</v>
      </c>
      <c r="N339" t="str">
        <f>VLOOKUP(Table2[[#This Row],[AgentID]],Sales_Agents!$A$1:C342,3)</f>
        <v>North</v>
      </c>
    </row>
    <row r="340" spans="1:14" x14ac:dyDescent="0.25">
      <c r="A340">
        <v>339</v>
      </c>
      <c r="B340" s="1">
        <v>45457</v>
      </c>
      <c r="C340" s="8" t="str">
        <f>TEXT(Table2[[#This Row],[OrderDate]],"mmm")</f>
        <v>Jun</v>
      </c>
      <c r="D340">
        <v>4</v>
      </c>
      <c r="E340">
        <v>1</v>
      </c>
      <c r="F340">
        <v>6</v>
      </c>
      <c r="G340" s="3">
        <v>75413</v>
      </c>
      <c r="H340" s="3">
        <f t="shared" si="10"/>
        <v>452478</v>
      </c>
      <c r="I340" s="5">
        <f>Table2[[#This Row],[Total Revenue]]*0.3</f>
        <v>135743.4</v>
      </c>
      <c r="J340" s="6">
        <f t="shared" si="11"/>
        <v>0.3</v>
      </c>
      <c r="K340" t="str">
        <f>VLOOKUP(Table2[[#This Row],[ProductID]],Products!$A$1:C344,2)</f>
        <v>Printer</v>
      </c>
      <c r="L340" t="str">
        <f>VLOOKUP(D340,Products!$A$1:C344,3)</f>
        <v>Accessories</v>
      </c>
      <c r="M340" t="str">
        <f>VLOOKUP(Table2[[#This Row],[AgentID]],Sales_Agents!$A$1:C343,2)</f>
        <v>Akin</v>
      </c>
      <c r="N340" t="str">
        <f>VLOOKUP(Table2[[#This Row],[AgentID]],Sales_Agents!$A$1:C343,3)</f>
        <v>West</v>
      </c>
    </row>
    <row r="341" spans="1:14" x14ac:dyDescent="0.25">
      <c r="A341">
        <v>340</v>
      </c>
      <c r="B341" s="1">
        <v>45410</v>
      </c>
      <c r="C341" s="8" t="str">
        <f>TEXT(Table2[[#This Row],[OrderDate]],"mmm")</f>
        <v>Apr</v>
      </c>
      <c r="D341">
        <v>1</v>
      </c>
      <c r="E341">
        <v>3</v>
      </c>
      <c r="F341">
        <v>3</v>
      </c>
      <c r="G341" s="3">
        <v>379446</v>
      </c>
      <c r="H341" s="3">
        <f t="shared" si="10"/>
        <v>1138338</v>
      </c>
      <c r="I341" s="5">
        <f>Table2[[#This Row],[Total Revenue]]*0.3</f>
        <v>341501.39999999997</v>
      </c>
      <c r="J341" s="6">
        <f t="shared" si="11"/>
        <v>0.3</v>
      </c>
      <c r="K341" t="str">
        <f>VLOOKUP(Table2[[#This Row],[ProductID]],Products!$A$1:C345,2)</f>
        <v>Laptop</v>
      </c>
      <c r="L341" t="str">
        <f>VLOOKUP(D341,Products!$A$1:C345,3)</f>
        <v>Electronics</v>
      </c>
      <c r="M341" t="str">
        <f>VLOOKUP(Table2[[#This Row],[AgentID]],Sales_Agents!$A$1:C344,2)</f>
        <v>Chinedu</v>
      </c>
      <c r="N341" t="str">
        <f>VLOOKUP(Table2[[#This Row],[AgentID]],Sales_Agents!$A$1:C344,3)</f>
        <v>South</v>
      </c>
    </row>
    <row r="342" spans="1:14" x14ac:dyDescent="0.25">
      <c r="A342">
        <v>341</v>
      </c>
      <c r="B342" s="1">
        <v>45415</v>
      </c>
      <c r="C342" s="8" t="str">
        <f>TEXT(Table2[[#This Row],[OrderDate]],"mmm")</f>
        <v>May</v>
      </c>
      <c r="D342">
        <v>5</v>
      </c>
      <c r="E342">
        <v>3</v>
      </c>
      <c r="F342">
        <v>12</v>
      </c>
      <c r="G342" s="3">
        <v>343146</v>
      </c>
      <c r="H342" s="3">
        <f t="shared" si="10"/>
        <v>4117752</v>
      </c>
      <c r="I342" s="5">
        <f>Table2[[#This Row],[Total Revenue]]*0.3</f>
        <v>1235325.5999999999</v>
      </c>
      <c r="J342" s="6">
        <f t="shared" si="11"/>
        <v>0.3</v>
      </c>
      <c r="K342" t="str">
        <f>VLOOKUP(Table2[[#This Row],[ProductID]],Products!$A$1:C346,2)</f>
        <v>Monitor</v>
      </c>
      <c r="L342" t="str">
        <f>VLOOKUP(D342,Products!$A$1:C346,3)</f>
        <v>Accessories</v>
      </c>
      <c r="M342" t="str">
        <f>VLOOKUP(Table2[[#This Row],[AgentID]],Sales_Agents!$A$1:C345,2)</f>
        <v>Chinedu</v>
      </c>
      <c r="N342" t="str">
        <f>VLOOKUP(Table2[[#This Row],[AgentID]],Sales_Agents!$A$1:C345,3)</f>
        <v>South</v>
      </c>
    </row>
    <row r="343" spans="1:14" x14ac:dyDescent="0.25">
      <c r="A343">
        <v>342</v>
      </c>
      <c r="B343" s="1">
        <v>45599</v>
      </c>
      <c r="C343" s="8" t="str">
        <f>TEXT(Table2[[#This Row],[OrderDate]],"mmm")</f>
        <v>Nov</v>
      </c>
      <c r="D343">
        <v>4</v>
      </c>
      <c r="E343">
        <v>4</v>
      </c>
      <c r="F343">
        <v>13</v>
      </c>
      <c r="G343" s="3">
        <v>278740</v>
      </c>
      <c r="H343" s="3">
        <f t="shared" si="10"/>
        <v>3623620</v>
      </c>
      <c r="I343" s="5">
        <f>Table2[[#This Row],[Total Revenue]]*0.3</f>
        <v>1087086</v>
      </c>
      <c r="J343" s="6">
        <f t="shared" si="11"/>
        <v>0.3</v>
      </c>
      <c r="K343" t="str">
        <f>VLOOKUP(Table2[[#This Row],[ProductID]],Products!$A$1:C347,2)</f>
        <v>Printer</v>
      </c>
      <c r="L343" t="str">
        <f>VLOOKUP(D343,Products!$A$1:C347,3)</f>
        <v>Accessories</v>
      </c>
      <c r="M343" t="str">
        <f>VLOOKUP(Table2[[#This Row],[AgentID]],Sales_Agents!$A$1:C346,2)</f>
        <v>Zainab</v>
      </c>
      <c r="N343" t="str">
        <f>VLOOKUP(Table2[[#This Row],[AgentID]],Sales_Agents!$A$1:C346,3)</f>
        <v>North</v>
      </c>
    </row>
    <row r="344" spans="1:14" x14ac:dyDescent="0.25">
      <c r="A344">
        <v>343</v>
      </c>
      <c r="B344" s="1">
        <v>45345</v>
      </c>
      <c r="C344" s="8" t="str">
        <f>TEXT(Table2[[#This Row],[OrderDate]],"mmm")</f>
        <v>Feb</v>
      </c>
      <c r="D344">
        <v>4</v>
      </c>
      <c r="E344">
        <v>3</v>
      </c>
      <c r="F344">
        <v>9</v>
      </c>
      <c r="G344" s="3">
        <v>85701</v>
      </c>
      <c r="H344" s="3">
        <f t="shared" si="10"/>
        <v>771309</v>
      </c>
      <c r="I344" s="5">
        <f>Table2[[#This Row],[Total Revenue]]*0.3</f>
        <v>231392.69999999998</v>
      </c>
      <c r="J344" s="6">
        <f t="shared" si="11"/>
        <v>0.3</v>
      </c>
      <c r="K344" t="str">
        <f>VLOOKUP(Table2[[#This Row],[ProductID]],Products!$A$1:C348,2)</f>
        <v>Printer</v>
      </c>
      <c r="L344" t="str">
        <f>VLOOKUP(D344,Products!$A$1:C348,3)</f>
        <v>Accessories</v>
      </c>
      <c r="M344" t="str">
        <f>VLOOKUP(Table2[[#This Row],[AgentID]],Sales_Agents!$A$1:C347,2)</f>
        <v>Chinedu</v>
      </c>
      <c r="N344" t="str">
        <f>VLOOKUP(Table2[[#This Row],[AgentID]],Sales_Agents!$A$1:C347,3)</f>
        <v>South</v>
      </c>
    </row>
    <row r="345" spans="1:14" x14ac:dyDescent="0.25">
      <c r="A345">
        <v>344</v>
      </c>
      <c r="B345" s="1">
        <v>45452</v>
      </c>
      <c r="C345" s="8" t="str">
        <f>TEXT(Table2[[#This Row],[OrderDate]],"mmm")</f>
        <v>Jun</v>
      </c>
      <c r="D345">
        <v>2</v>
      </c>
      <c r="E345">
        <v>1</v>
      </c>
      <c r="F345">
        <v>20</v>
      </c>
      <c r="G345" s="3">
        <v>283003</v>
      </c>
      <c r="H345" s="3">
        <f t="shared" si="10"/>
        <v>5660060</v>
      </c>
      <c r="I345" s="5">
        <f>Table2[[#This Row],[Total Revenue]]*0.3</f>
        <v>1698018</v>
      </c>
      <c r="J345" s="6">
        <f t="shared" si="11"/>
        <v>0.3</v>
      </c>
      <c r="K345" t="str">
        <f>VLOOKUP(Table2[[#This Row],[ProductID]],Products!$A$1:C349,2)</f>
        <v>Phone</v>
      </c>
      <c r="L345" t="str">
        <f>VLOOKUP(D345,Products!$A$1:C349,3)</f>
        <v>Electronics</v>
      </c>
      <c r="M345" t="str">
        <f>VLOOKUP(Table2[[#This Row],[AgentID]],Sales_Agents!$A$1:C348,2)</f>
        <v>Akin</v>
      </c>
      <c r="N345" t="str">
        <f>VLOOKUP(Table2[[#This Row],[AgentID]],Sales_Agents!$A$1:C348,3)</f>
        <v>West</v>
      </c>
    </row>
    <row r="346" spans="1:14" x14ac:dyDescent="0.25">
      <c r="A346">
        <v>345</v>
      </c>
      <c r="B346" s="1">
        <v>45372</v>
      </c>
      <c r="C346" s="8" t="str">
        <f>TEXT(Table2[[#This Row],[OrderDate]],"mmm")</f>
        <v>Mar</v>
      </c>
      <c r="D346">
        <v>4</v>
      </c>
      <c r="E346">
        <v>4</v>
      </c>
      <c r="F346">
        <v>19</v>
      </c>
      <c r="G346" s="3">
        <v>199006</v>
      </c>
      <c r="H346" s="3">
        <f t="shared" si="10"/>
        <v>3781114</v>
      </c>
      <c r="I346" s="5">
        <f>Table2[[#This Row],[Total Revenue]]*0.3</f>
        <v>1134334.2</v>
      </c>
      <c r="J346" s="6">
        <f t="shared" si="11"/>
        <v>0.3</v>
      </c>
      <c r="K346" t="str">
        <f>VLOOKUP(Table2[[#This Row],[ProductID]],Products!$A$1:C350,2)</f>
        <v>Printer</v>
      </c>
      <c r="L346" t="str">
        <f>VLOOKUP(D346,Products!$A$1:C350,3)</f>
        <v>Accessories</v>
      </c>
      <c r="M346" t="str">
        <f>VLOOKUP(Table2[[#This Row],[AgentID]],Sales_Agents!$A$1:C349,2)</f>
        <v>Zainab</v>
      </c>
      <c r="N346" t="str">
        <f>VLOOKUP(Table2[[#This Row],[AgentID]],Sales_Agents!$A$1:C349,3)</f>
        <v>North</v>
      </c>
    </row>
    <row r="347" spans="1:14" x14ac:dyDescent="0.25">
      <c r="A347">
        <v>346</v>
      </c>
      <c r="B347" s="1">
        <v>45319</v>
      </c>
      <c r="C347" s="8" t="str">
        <f>TEXT(Table2[[#This Row],[OrderDate]],"mmm")</f>
        <v>Jan</v>
      </c>
      <c r="D347">
        <v>5</v>
      </c>
      <c r="E347">
        <v>3</v>
      </c>
      <c r="F347">
        <v>13</v>
      </c>
      <c r="G347" s="3">
        <v>300288</v>
      </c>
      <c r="H347" s="3">
        <f t="shared" si="10"/>
        <v>3903744</v>
      </c>
      <c r="I347" s="5">
        <f>Table2[[#This Row],[Total Revenue]]*0.3</f>
        <v>1171123.2</v>
      </c>
      <c r="J347" s="6">
        <f t="shared" si="11"/>
        <v>0.3</v>
      </c>
      <c r="K347" t="str">
        <f>VLOOKUP(Table2[[#This Row],[ProductID]],Products!$A$1:C351,2)</f>
        <v>Monitor</v>
      </c>
      <c r="L347" t="str">
        <f>VLOOKUP(D347,Products!$A$1:C351,3)</f>
        <v>Accessories</v>
      </c>
      <c r="M347" t="str">
        <f>VLOOKUP(Table2[[#This Row],[AgentID]],Sales_Agents!$A$1:C350,2)</f>
        <v>Chinedu</v>
      </c>
      <c r="N347" t="str">
        <f>VLOOKUP(Table2[[#This Row],[AgentID]],Sales_Agents!$A$1:C350,3)</f>
        <v>South</v>
      </c>
    </row>
    <row r="348" spans="1:14" x14ac:dyDescent="0.25">
      <c r="A348">
        <v>347</v>
      </c>
      <c r="B348" s="1">
        <v>45489</v>
      </c>
      <c r="C348" s="8" t="str">
        <f>TEXT(Table2[[#This Row],[OrderDate]],"mmm")</f>
        <v>Jul</v>
      </c>
      <c r="D348">
        <v>1</v>
      </c>
      <c r="E348">
        <v>3</v>
      </c>
      <c r="F348">
        <v>1</v>
      </c>
      <c r="G348" s="3">
        <v>320432</v>
      </c>
      <c r="H348" s="3">
        <f t="shared" si="10"/>
        <v>320432</v>
      </c>
      <c r="I348" s="5">
        <f>Table2[[#This Row],[Total Revenue]]*0.3</f>
        <v>96129.599999999991</v>
      </c>
      <c r="J348" s="6">
        <f t="shared" si="11"/>
        <v>0.3</v>
      </c>
      <c r="K348" t="str">
        <f>VLOOKUP(Table2[[#This Row],[ProductID]],Products!$A$1:C352,2)</f>
        <v>Laptop</v>
      </c>
      <c r="L348" t="str">
        <f>VLOOKUP(D348,Products!$A$1:C352,3)</f>
        <v>Electronics</v>
      </c>
      <c r="M348" t="str">
        <f>VLOOKUP(Table2[[#This Row],[AgentID]],Sales_Agents!$A$1:C351,2)</f>
        <v>Chinedu</v>
      </c>
      <c r="N348" t="str">
        <f>VLOOKUP(Table2[[#This Row],[AgentID]],Sales_Agents!$A$1:C351,3)</f>
        <v>South</v>
      </c>
    </row>
    <row r="349" spans="1:14" x14ac:dyDescent="0.25">
      <c r="A349">
        <v>348</v>
      </c>
      <c r="B349" s="1">
        <v>45633</v>
      </c>
      <c r="C349" s="8" t="str">
        <f>TEXT(Table2[[#This Row],[OrderDate]],"mmm")</f>
        <v>Dec</v>
      </c>
      <c r="D349">
        <v>4</v>
      </c>
      <c r="E349">
        <v>3</v>
      </c>
      <c r="F349">
        <v>11</v>
      </c>
      <c r="G349" s="3">
        <v>326252</v>
      </c>
      <c r="H349" s="3">
        <f t="shared" si="10"/>
        <v>3588772</v>
      </c>
      <c r="I349" s="5">
        <f>Table2[[#This Row],[Total Revenue]]*0.3</f>
        <v>1076631.5999999999</v>
      </c>
      <c r="J349" s="6">
        <f t="shared" si="11"/>
        <v>0.29999999999999993</v>
      </c>
      <c r="K349" t="str">
        <f>VLOOKUP(Table2[[#This Row],[ProductID]],Products!$A$1:C353,2)</f>
        <v>Printer</v>
      </c>
      <c r="L349" t="str">
        <f>VLOOKUP(D349,Products!$A$1:C353,3)</f>
        <v>Accessories</v>
      </c>
      <c r="M349" t="str">
        <f>VLOOKUP(Table2[[#This Row],[AgentID]],Sales_Agents!$A$1:C352,2)</f>
        <v>Chinedu</v>
      </c>
      <c r="N349" t="str">
        <f>VLOOKUP(Table2[[#This Row],[AgentID]],Sales_Agents!$A$1:C352,3)</f>
        <v>South</v>
      </c>
    </row>
    <row r="350" spans="1:14" x14ac:dyDescent="0.25">
      <c r="A350">
        <v>349</v>
      </c>
      <c r="B350" s="1">
        <v>45469</v>
      </c>
      <c r="C350" s="8" t="str">
        <f>TEXT(Table2[[#This Row],[OrderDate]],"mmm")</f>
        <v>Jun</v>
      </c>
      <c r="D350">
        <v>3</v>
      </c>
      <c r="E350">
        <v>4</v>
      </c>
      <c r="F350">
        <v>17</v>
      </c>
      <c r="G350" s="3">
        <v>199529</v>
      </c>
      <c r="H350" s="3">
        <f t="shared" si="10"/>
        <v>3391993</v>
      </c>
      <c r="I350" s="5">
        <f>Table2[[#This Row],[Total Revenue]]*0.3</f>
        <v>1017597.8999999999</v>
      </c>
      <c r="J350" s="6">
        <f t="shared" si="11"/>
        <v>0.3</v>
      </c>
      <c r="K350" t="str">
        <f>VLOOKUP(Table2[[#This Row],[ProductID]],Products!$A$1:C354,2)</f>
        <v>Tablet</v>
      </c>
      <c r="L350" t="str">
        <f>VLOOKUP(D350,Products!$A$1:C354,3)</f>
        <v>Electronics</v>
      </c>
      <c r="M350" t="str">
        <f>VLOOKUP(Table2[[#This Row],[AgentID]],Sales_Agents!$A$1:C353,2)</f>
        <v>Zainab</v>
      </c>
      <c r="N350" t="str">
        <f>VLOOKUP(Table2[[#This Row],[AgentID]],Sales_Agents!$A$1:C353,3)</f>
        <v>North</v>
      </c>
    </row>
    <row r="351" spans="1:14" x14ac:dyDescent="0.25">
      <c r="A351">
        <v>350</v>
      </c>
      <c r="B351" s="1">
        <v>45374</v>
      </c>
      <c r="C351" s="8" t="str">
        <f>TEXT(Table2[[#This Row],[OrderDate]],"mmm")</f>
        <v>Mar</v>
      </c>
      <c r="D351">
        <v>5</v>
      </c>
      <c r="E351">
        <v>2</v>
      </c>
      <c r="F351">
        <v>11</v>
      </c>
      <c r="G351" s="3">
        <v>265304</v>
      </c>
      <c r="H351" s="3">
        <f t="shared" si="10"/>
        <v>2918344</v>
      </c>
      <c r="I351" s="5">
        <f>Table2[[#This Row],[Total Revenue]]*0.3</f>
        <v>875503.2</v>
      </c>
      <c r="J351" s="6">
        <f t="shared" si="11"/>
        <v>0.3</v>
      </c>
      <c r="K351" t="str">
        <f>VLOOKUP(Table2[[#This Row],[ProductID]],Products!$A$1:C355,2)</f>
        <v>Monitor</v>
      </c>
      <c r="L351" t="str">
        <f>VLOOKUP(D351,Products!$A$1:C355,3)</f>
        <v>Accessories</v>
      </c>
      <c r="M351" t="str">
        <f>VLOOKUP(Table2[[#This Row],[AgentID]],Sales_Agents!$A$1:C354,2)</f>
        <v>Blessing</v>
      </c>
      <c r="N351" t="str">
        <f>VLOOKUP(Table2[[#This Row],[AgentID]],Sales_Agents!$A$1:C354,3)</f>
        <v>East</v>
      </c>
    </row>
    <row r="352" spans="1:14" x14ac:dyDescent="0.25">
      <c r="A352">
        <v>351</v>
      </c>
      <c r="B352" s="1">
        <v>45620</v>
      </c>
      <c r="C352" s="8" t="str">
        <f>TEXT(Table2[[#This Row],[OrderDate]],"mmm")</f>
        <v>Nov</v>
      </c>
      <c r="D352">
        <v>3</v>
      </c>
      <c r="E352">
        <v>4</v>
      </c>
      <c r="F352">
        <v>4</v>
      </c>
      <c r="G352" s="3">
        <v>96730</v>
      </c>
      <c r="H352" s="3">
        <f t="shared" si="10"/>
        <v>386920</v>
      </c>
      <c r="I352" s="5">
        <f>Table2[[#This Row],[Total Revenue]]*0.3</f>
        <v>116076</v>
      </c>
      <c r="J352" s="6">
        <f t="shared" si="11"/>
        <v>0.3</v>
      </c>
      <c r="K352" t="str">
        <f>VLOOKUP(Table2[[#This Row],[ProductID]],Products!$A$1:C356,2)</f>
        <v>Tablet</v>
      </c>
      <c r="L352" t="str">
        <f>VLOOKUP(D352,Products!$A$1:C356,3)</f>
        <v>Electronics</v>
      </c>
      <c r="M352" t="str">
        <f>VLOOKUP(Table2[[#This Row],[AgentID]],Sales_Agents!$A$1:C355,2)</f>
        <v>Zainab</v>
      </c>
      <c r="N352" t="str">
        <f>VLOOKUP(Table2[[#This Row],[AgentID]],Sales_Agents!$A$1:C355,3)</f>
        <v>North</v>
      </c>
    </row>
    <row r="353" spans="1:14" x14ac:dyDescent="0.25">
      <c r="A353">
        <v>352</v>
      </c>
      <c r="B353" s="1">
        <v>45460</v>
      </c>
      <c r="C353" s="8" t="str">
        <f>TEXT(Table2[[#This Row],[OrderDate]],"mmm")</f>
        <v>Jun</v>
      </c>
      <c r="D353">
        <v>5</v>
      </c>
      <c r="E353">
        <v>2</v>
      </c>
      <c r="F353">
        <v>7</v>
      </c>
      <c r="G353" s="3">
        <v>298589</v>
      </c>
      <c r="H353" s="3">
        <f t="shared" si="10"/>
        <v>2090123</v>
      </c>
      <c r="I353" s="5">
        <f>Table2[[#This Row],[Total Revenue]]*0.3</f>
        <v>627036.9</v>
      </c>
      <c r="J353" s="6">
        <f t="shared" si="11"/>
        <v>0.3</v>
      </c>
      <c r="K353" t="str">
        <f>VLOOKUP(Table2[[#This Row],[ProductID]],Products!$A$1:C357,2)</f>
        <v>Monitor</v>
      </c>
      <c r="L353" t="str">
        <f>VLOOKUP(D353,Products!$A$1:C357,3)</f>
        <v>Accessories</v>
      </c>
      <c r="M353" t="str">
        <f>VLOOKUP(Table2[[#This Row],[AgentID]],Sales_Agents!$A$1:C356,2)</f>
        <v>Blessing</v>
      </c>
      <c r="N353" t="str">
        <f>VLOOKUP(Table2[[#This Row],[AgentID]],Sales_Agents!$A$1:C356,3)</f>
        <v>East</v>
      </c>
    </row>
    <row r="354" spans="1:14" x14ac:dyDescent="0.25">
      <c r="A354">
        <v>353</v>
      </c>
      <c r="B354" s="1">
        <v>45534</v>
      </c>
      <c r="C354" s="8" t="str">
        <f>TEXT(Table2[[#This Row],[OrderDate]],"mmm")</f>
        <v>Aug</v>
      </c>
      <c r="D354">
        <v>3</v>
      </c>
      <c r="E354">
        <v>3</v>
      </c>
      <c r="F354">
        <v>4</v>
      </c>
      <c r="G354" s="3">
        <v>369857</v>
      </c>
      <c r="H354" s="3">
        <f t="shared" si="10"/>
        <v>1479428</v>
      </c>
      <c r="I354" s="5">
        <f>Table2[[#This Row],[Total Revenue]]*0.3</f>
        <v>443828.39999999997</v>
      </c>
      <c r="J354" s="6">
        <f t="shared" si="11"/>
        <v>0.3</v>
      </c>
      <c r="K354" t="str">
        <f>VLOOKUP(Table2[[#This Row],[ProductID]],Products!$A$1:C358,2)</f>
        <v>Tablet</v>
      </c>
      <c r="L354" t="str">
        <f>VLOOKUP(D354,Products!$A$1:C358,3)</f>
        <v>Electronics</v>
      </c>
      <c r="M354" t="str">
        <f>VLOOKUP(Table2[[#This Row],[AgentID]],Sales_Agents!$A$1:C357,2)</f>
        <v>Chinedu</v>
      </c>
      <c r="N354" t="str">
        <f>VLOOKUP(Table2[[#This Row],[AgentID]],Sales_Agents!$A$1:C357,3)</f>
        <v>South</v>
      </c>
    </row>
    <row r="355" spans="1:14" x14ac:dyDescent="0.25">
      <c r="A355">
        <v>354</v>
      </c>
      <c r="B355" s="1">
        <v>45497</v>
      </c>
      <c r="C355" s="8" t="str">
        <f>TEXT(Table2[[#This Row],[OrderDate]],"mmm")</f>
        <v>Jul</v>
      </c>
      <c r="D355">
        <v>3</v>
      </c>
      <c r="E355">
        <v>1</v>
      </c>
      <c r="F355">
        <v>13</v>
      </c>
      <c r="G355" s="3">
        <v>288157</v>
      </c>
      <c r="H355" s="3">
        <f t="shared" si="10"/>
        <v>3746041</v>
      </c>
      <c r="I355" s="5">
        <f>Table2[[#This Row],[Total Revenue]]*0.3</f>
        <v>1123812.3</v>
      </c>
      <c r="J355" s="6">
        <f t="shared" si="11"/>
        <v>0.3</v>
      </c>
      <c r="K355" t="str">
        <f>VLOOKUP(Table2[[#This Row],[ProductID]],Products!$A$1:C359,2)</f>
        <v>Tablet</v>
      </c>
      <c r="L355" t="str">
        <f>VLOOKUP(D355,Products!$A$1:C359,3)</f>
        <v>Electronics</v>
      </c>
      <c r="M355" t="str">
        <f>VLOOKUP(Table2[[#This Row],[AgentID]],Sales_Agents!$A$1:C358,2)</f>
        <v>Akin</v>
      </c>
      <c r="N355" t="str">
        <f>VLOOKUP(Table2[[#This Row],[AgentID]],Sales_Agents!$A$1:C358,3)</f>
        <v>West</v>
      </c>
    </row>
    <row r="356" spans="1:14" x14ac:dyDescent="0.25">
      <c r="A356">
        <v>355</v>
      </c>
      <c r="B356" s="1">
        <v>45386</v>
      </c>
      <c r="C356" s="8" t="str">
        <f>TEXT(Table2[[#This Row],[OrderDate]],"mmm")</f>
        <v>Apr</v>
      </c>
      <c r="D356">
        <v>1</v>
      </c>
      <c r="E356">
        <v>1</v>
      </c>
      <c r="F356">
        <v>12</v>
      </c>
      <c r="G356" s="3">
        <v>87299</v>
      </c>
      <c r="H356" s="3">
        <f t="shared" si="10"/>
        <v>1047588</v>
      </c>
      <c r="I356" s="5">
        <f>Table2[[#This Row],[Total Revenue]]*0.3</f>
        <v>314276.39999999997</v>
      </c>
      <c r="J356" s="6">
        <f t="shared" si="11"/>
        <v>0.3</v>
      </c>
      <c r="K356" t="str">
        <f>VLOOKUP(Table2[[#This Row],[ProductID]],Products!$A$1:C360,2)</f>
        <v>Laptop</v>
      </c>
      <c r="L356" t="str">
        <f>VLOOKUP(D356,Products!$A$1:C360,3)</f>
        <v>Electronics</v>
      </c>
      <c r="M356" t="str">
        <f>VLOOKUP(Table2[[#This Row],[AgentID]],Sales_Agents!$A$1:C359,2)</f>
        <v>Akin</v>
      </c>
      <c r="N356" t="str">
        <f>VLOOKUP(Table2[[#This Row],[AgentID]],Sales_Agents!$A$1:C359,3)</f>
        <v>West</v>
      </c>
    </row>
    <row r="357" spans="1:14" x14ac:dyDescent="0.25">
      <c r="A357">
        <v>356</v>
      </c>
      <c r="B357" s="1">
        <v>45308</v>
      </c>
      <c r="C357" s="8" t="str">
        <f>TEXT(Table2[[#This Row],[OrderDate]],"mmm")</f>
        <v>Jan</v>
      </c>
      <c r="D357">
        <v>2</v>
      </c>
      <c r="E357">
        <v>1</v>
      </c>
      <c r="F357">
        <v>11</v>
      </c>
      <c r="G357" s="3">
        <v>195749</v>
      </c>
      <c r="H357" s="3">
        <f t="shared" si="10"/>
        <v>2153239</v>
      </c>
      <c r="I357" s="5">
        <f>Table2[[#This Row],[Total Revenue]]*0.3</f>
        <v>645971.69999999995</v>
      </c>
      <c r="J357" s="6">
        <f t="shared" si="11"/>
        <v>0.3</v>
      </c>
      <c r="K357" t="str">
        <f>VLOOKUP(Table2[[#This Row],[ProductID]],Products!$A$1:C361,2)</f>
        <v>Phone</v>
      </c>
      <c r="L357" t="str">
        <f>VLOOKUP(D357,Products!$A$1:C361,3)</f>
        <v>Electronics</v>
      </c>
      <c r="M357" t="str">
        <f>VLOOKUP(Table2[[#This Row],[AgentID]],Sales_Agents!$A$1:C360,2)</f>
        <v>Akin</v>
      </c>
      <c r="N357" t="str">
        <f>VLOOKUP(Table2[[#This Row],[AgentID]],Sales_Agents!$A$1:C360,3)</f>
        <v>West</v>
      </c>
    </row>
    <row r="358" spans="1:14" x14ac:dyDescent="0.25">
      <c r="A358">
        <v>357</v>
      </c>
      <c r="B358" s="1">
        <v>45558</v>
      </c>
      <c r="C358" s="8" t="str">
        <f>TEXT(Table2[[#This Row],[OrderDate]],"mmm")</f>
        <v>Sept</v>
      </c>
      <c r="D358">
        <v>4</v>
      </c>
      <c r="E358">
        <v>2</v>
      </c>
      <c r="F358">
        <v>8</v>
      </c>
      <c r="G358" s="3">
        <v>383959</v>
      </c>
      <c r="H358" s="3">
        <f t="shared" si="10"/>
        <v>3071672</v>
      </c>
      <c r="I358" s="5">
        <f>Table2[[#This Row],[Total Revenue]]*0.3</f>
        <v>921501.6</v>
      </c>
      <c r="J358" s="6">
        <f t="shared" si="11"/>
        <v>0.3</v>
      </c>
      <c r="K358" t="str">
        <f>VLOOKUP(Table2[[#This Row],[ProductID]],Products!$A$1:C362,2)</f>
        <v>Printer</v>
      </c>
      <c r="L358" t="str">
        <f>VLOOKUP(D358,Products!$A$1:C362,3)</f>
        <v>Accessories</v>
      </c>
      <c r="M358" t="str">
        <f>VLOOKUP(Table2[[#This Row],[AgentID]],Sales_Agents!$A$1:C361,2)</f>
        <v>Blessing</v>
      </c>
      <c r="N358" t="str">
        <f>VLOOKUP(Table2[[#This Row],[AgentID]],Sales_Agents!$A$1:C361,3)</f>
        <v>East</v>
      </c>
    </row>
    <row r="359" spans="1:14" x14ac:dyDescent="0.25">
      <c r="A359">
        <v>358</v>
      </c>
      <c r="B359" s="1">
        <v>45477</v>
      </c>
      <c r="C359" s="8" t="str">
        <f>TEXT(Table2[[#This Row],[OrderDate]],"mmm")</f>
        <v>Jul</v>
      </c>
      <c r="D359">
        <v>5</v>
      </c>
      <c r="E359">
        <v>4</v>
      </c>
      <c r="F359">
        <v>18</v>
      </c>
      <c r="G359" s="3">
        <v>277082</v>
      </c>
      <c r="H359" s="3">
        <f t="shared" si="10"/>
        <v>4987476</v>
      </c>
      <c r="I359" s="5">
        <f>Table2[[#This Row],[Total Revenue]]*0.3</f>
        <v>1496242.8</v>
      </c>
      <c r="J359" s="6">
        <f t="shared" si="11"/>
        <v>0.3</v>
      </c>
      <c r="K359" t="str">
        <f>VLOOKUP(Table2[[#This Row],[ProductID]],Products!$A$1:C363,2)</f>
        <v>Monitor</v>
      </c>
      <c r="L359" t="str">
        <f>VLOOKUP(D359,Products!$A$1:C363,3)</f>
        <v>Accessories</v>
      </c>
      <c r="M359" t="str">
        <f>VLOOKUP(Table2[[#This Row],[AgentID]],Sales_Agents!$A$1:C362,2)</f>
        <v>Zainab</v>
      </c>
      <c r="N359" t="str">
        <f>VLOOKUP(Table2[[#This Row],[AgentID]],Sales_Agents!$A$1:C362,3)</f>
        <v>North</v>
      </c>
    </row>
    <row r="360" spans="1:14" x14ac:dyDescent="0.25">
      <c r="A360">
        <v>359</v>
      </c>
      <c r="B360" s="1">
        <v>45609</v>
      </c>
      <c r="C360" s="8" t="str">
        <f>TEXT(Table2[[#This Row],[OrderDate]],"mmm")</f>
        <v>Nov</v>
      </c>
      <c r="D360">
        <v>4</v>
      </c>
      <c r="E360">
        <v>4</v>
      </c>
      <c r="F360">
        <v>12</v>
      </c>
      <c r="G360" s="3">
        <v>165960</v>
      </c>
      <c r="H360" s="3">
        <f t="shared" si="10"/>
        <v>1991520</v>
      </c>
      <c r="I360" s="5">
        <f>Table2[[#This Row],[Total Revenue]]*0.3</f>
        <v>597456</v>
      </c>
      <c r="J360" s="6">
        <f t="shared" si="11"/>
        <v>0.3</v>
      </c>
      <c r="K360" t="str">
        <f>VLOOKUP(Table2[[#This Row],[ProductID]],Products!$A$1:C364,2)</f>
        <v>Printer</v>
      </c>
      <c r="L360" t="str">
        <f>VLOOKUP(D360,Products!$A$1:C364,3)</f>
        <v>Accessories</v>
      </c>
      <c r="M360" t="str">
        <f>VLOOKUP(Table2[[#This Row],[AgentID]],Sales_Agents!$A$1:C363,2)</f>
        <v>Zainab</v>
      </c>
      <c r="N360" t="str">
        <f>VLOOKUP(Table2[[#This Row],[AgentID]],Sales_Agents!$A$1:C363,3)</f>
        <v>North</v>
      </c>
    </row>
    <row r="361" spans="1:14" x14ac:dyDescent="0.25">
      <c r="A361">
        <v>360</v>
      </c>
      <c r="B361" s="1">
        <v>45530</v>
      </c>
      <c r="C361" s="8" t="str">
        <f>TEXT(Table2[[#This Row],[OrderDate]],"mmm")</f>
        <v>Aug</v>
      </c>
      <c r="D361">
        <v>1</v>
      </c>
      <c r="E361">
        <v>3</v>
      </c>
      <c r="F361">
        <v>8</v>
      </c>
      <c r="G361" s="3">
        <v>69475</v>
      </c>
      <c r="H361" s="3">
        <f t="shared" si="10"/>
        <v>555800</v>
      </c>
      <c r="I361" s="5">
        <f>Table2[[#This Row],[Total Revenue]]*0.3</f>
        <v>166740</v>
      </c>
      <c r="J361" s="6">
        <f t="shared" si="11"/>
        <v>0.3</v>
      </c>
      <c r="K361" t="str">
        <f>VLOOKUP(Table2[[#This Row],[ProductID]],Products!$A$1:C365,2)</f>
        <v>Laptop</v>
      </c>
      <c r="L361" t="str">
        <f>VLOOKUP(D361,Products!$A$1:C365,3)</f>
        <v>Electronics</v>
      </c>
      <c r="M361" t="str">
        <f>VLOOKUP(Table2[[#This Row],[AgentID]],Sales_Agents!$A$1:C364,2)</f>
        <v>Chinedu</v>
      </c>
      <c r="N361" t="str">
        <f>VLOOKUP(Table2[[#This Row],[AgentID]],Sales_Agents!$A$1:C364,3)</f>
        <v>South</v>
      </c>
    </row>
    <row r="362" spans="1:14" x14ac:dyDescent="0.25">
      <c r="A362">
        <v>361</v>
      </c>
      <c r="B362" s="1">
        <v>45460</v>
      </c>
      <c r="C362" s="8" t="str">
        <f>TEXT(Table2[[#This Row],[OrderDate]],"mmm")</f>
        <v>Jun</v>
      </c>
      <c r="D362">
        <v>1</v>
      </c>
      <c r="E362">
        <v>2</v>
      </c>
      <c r="F362">
        <v>3</v>
      </c>
      <c r="G362" s="3">
        <v>245489</v>
      </c>
      <c r="H362" s="3">
        <f t="shared" si="10"/>
        <v>736467</v>
      </c>
      <c r="I362" s="5">
        <f>Table2[[#This Row],[Total Revenue]]*0.3</f>
        <v>220940.1</v>
      </c>
      <c r="J362" s="6">
        <f t="shared" si="11"/>
        <v>0.3</v>
      </c>
      <c r="K362" t="str">
        <f>VLOOKUP(Table2[[#This Row],[ProductID]],Products!$A$1:C366,2)</f>
        <v>Laptop</v>
      </c>
      <c r="L362" t="str">
        <f>VLOOKUP(D362,Products!$A$1:C366,3)</f>
        <v>Electronics</v>
      </c>
      <c r="M362" t="str">
        <f>VLOOKUP(Table2[[#This Row],[AgentID]],Sales_Agents!$A$1:C365,2)</f>
        <v>Blessing</v>
      </c>
      <c r="N362" t="str">
        <f>VLOOKUP(Table2[[#This Row],[AgentID]],Sales_Agents!$A$1:C365,3)</f>
        <v>East</v>
      </c>
    </row>
    <row r="363" spans="1:14" x14ac:dyDescent="0.25">
      <c r="A363">
        <v>362</v>
      </c>
      <c r="B363" s="1">
        <v>45303</v>
      </c>
      <c r="C363" s="8" t="str">
        <f>TEXT(Table2[[#This Row],[OrderDate]],"mmm")</f>
        <v>Jan</v>
      </c>
      <c r="D363">
        <v>1</v>
      </c>
      <c r="E363">
        <v>1</v>
      </c>
      <c r="F363">
        <v>13</v>
      </c>
      <c r="G363" s="3">
        <v>210153</v>
      </c>
      <c r="H363" s="3">
        <f t="shared" si="10"/>
        <v>2731989</v>
      </c>
      <c r="I363" s="5">
        <f>Table2[[#This Row],[Total Revenue]]*0.3</f>
        <v>819596.7</v>
      </c>
      <c r="J363" s="6">
        <f t="shared" si="11"/>
        <v>0.3</v>
      </c>
      <c r="K363" t="str">
        <f>VLOOKUP(Table2[[#This Row],[ProductID]],Products!$A$1:C367,2)</f>
        <v>Laptop</v>
      </c>
      <c r="L363" t="str">
        <f>VLOOKUP(D363,Products!$A$1:C367,3)</f>
        <v>Electronics</v>
      </c>
      <c r="M363" t="str">
        <f>VLOOKUP(Table2[[#This Row],[AgentID]],Sales_Agents!$A$1:C366,2)</f>
        <v>Akin</v>
      </c>
      <c r="N363" t="str">
        <f>VLOOKUP(Table2[[#This Row],[AgentID]],Sales_Agents!$A$1:C366,3)</f>
        <v>West</v>
      </c>
    </row>
    <row r="364" spans="1:14" x14ac:dyDescent="0.25">
      <c r="A364">
        <v>363</v>
      </c>
      <c r="B364" s="1">
        <v>45588</v>
      </c>
      <c r="C364" s="8" t="str">
        <f>TEXT(Table2[[#This Row],[OrderDate]],"mmm")</f>
        <v>Oct</v>
      </c>
      <c r="D364">
        <v>5</v>
      </c>
      <c r="E364">
        <v>3</v>
      </c>
      <c r="F364">
        <v>16</v>
      </c>
      <c r="G364" s="3">
        <v>296406</v>
      </c>
      <c r="H364" s="3">
        <f t="shared" si="10"/>
        <v>4742496</v>
      </c>
      <c r="I364" s="5">
        <f>Table2[[#This Row],[Total Revenue]]*0.3</f>
        <v>1422748.8</v>
      </c>
      <c r="J364" s="6">
        <f t="shared" si="11"/>
        <v>0.3</v>
      </c>
      <c r="K364" t="str">
        <f>VLOOKUP(Table2[[#This Row],[ProductID]],Products!$A$1:C368,2)</f>
        <v>Monitor</v>
      </c>
      <c r="L364" t="str">
        <f>VLOOKUP(D364,Products!$A$1:C368,3)</f>
        <v>Accessories</v>
      </c>
      <c r="M364" t="str">
        <f>VLOOKUP(Table2[[#This Row],[AgentID]],Sales_Agents!$A$1:C367,2)</f>
        <v>Chinedu</v>
      </c>
      <c r="N364" t="str">
        <f>VLOOKUP(Table2[[#This Row],[AgentID]],Sales_Agents!$A$1:C367,3)</f>
        <v>South</v>
      </c>
    </row>
    <row r="365" spans="1:14" x14ac:dyDescent="0.25">
      <c r="A365">
        <v>364</v>
      </c>
      <c r="B365" s="1">
        <v>45306</v>
      </c>
      <c r="C365" s="8" t="str">
        <f>TEXT(Table2[[#This Row],[OrderDate]],"mmm")</f>
        <v>Jan</v>
      </c>
      <c r="D365">
        <v>3</v>
      </c>
      <c r="E365">
        <v>1</v>
      </c>
      <c r="F365">
        <v>20</v>
      </c>
      <c r="G365" s="3">
        <v>318605</v>
      </c>
      <c r="H365" s="3">
        <f t="shared" si="10"/>
        <v>6372100</v>
      </c>
      <c r="I365" s="5">
        <f>Table2[[#This Row],[Total Revenue]]*0.3</f>
        <v>1911630</v>
      </c>
      <c r="J365" s="6">
        <f t="shared" si="11"/>
        <v>0.3</v>
      </c>
      <c r="K365" t="str">
        <f>VLOOKUP(Table2[[#This Row],[ProductID]],Products!$A$1:C369,2)</f>
        <v>Tablet</v>
      </c>
      <c r="L365" t="str">
        <f>VLOOKUP(D365,Products!$A$1:C369,3)</f>
        <v>Electronics</v>
      </c>
      <c r="M365" t="str">
        <f>VLOOKUP(Table2[[#This Row],[AgentID]],Sales_Agents!$A$1:C368,2)</f>
        <v>Akin</v>
      </c>
      <c r="N365" t="str">
        <f>VLOOKUP(Table2[[#This Row],[AgentID]],Sales_Agents!$A$1:C368,3)</f>
        <v>West</v>
      </c>
    </row>
    <row r="366" spans="1:14" x14ac:dyDescent="0.25">
      <c r="A366">
        <v>365</v>
      </c>
      <c r="B366" s="1">
        <v>45438</v>
      </c>
      <c r="C366" s="8" t="str">
        <f>TEXT(Table2[[#This Row],[OrderDate]],"mmm")</f>
        <v>May</v>
      </c>
      <c r="D366">
        <v>3</v>
      </c>
      <c r="E366">
        <v>2</v>
      </c>
      <c r="F366">
        <v>3</v>
      </c>
      <c r="G366" s="3">
        <v>183910</v>
      </c>
      <c r="H366" s="3">
        <f t="shared" si="10"/>
        <v>551730</v>
      </c>
      <c r="I366" s="5">
        <f>Table2[[#This Row],[Total Revenue]]*0.3</f>
        <v>165519</v>
      </c>
      <c r="J366" s="6">
        <f t="shared" si="11"/>
        <v>0.3</v>
      </c>
      <c r="K366" t="str">
        <f>VLOOKUP(Table2[[#This Row],[ProductID]],Products!$A$1:C370,2)</f>
        <v>Tablet</v>
      </c>
      <c r="L366" t="str">
        <f>VLOOKUP(D366,Products!$A$1:C370,3)</f>
        <v>Electronics</v>
      </c>
      <c r="M366" t="str">
        <f>VLOOKUP(Table2[[#This Row],[AgentID]],Sales_Agents!$A$1:C369,2)</f>
        <v>Blessing</v>
      </c>
      <c r="N366" t="str">
        <f>VLOOKUP(Table2[[#This Row],[AgentID]],Sales_Agents!$A$1:C369,3)</f>
        <v>East</v>
      </c>
    </row>
    <row r="367" spans="1:14" x14ac:dyDescent="0.25">
      <c r="A367">
        <v>366</v>
      </c>
      <c r="B367" s="1">
        <v>45615</v>
      </c>
      <c r="C367" s="8" t="str">
        <f>TEXT(Table2[[#This Row],[OrderDate]],"mmm")</f>
        <v>Nov</v>
      </c>
      <c r="D367">
        <v>2</v>
      </c>
      <c r="E367">
        <v>1</v>
      </c>
      <c r="F367">
        <v>10</v>
      </c>
      <c r="G367" s="3">
        <v>54986</v>
      </c>
      <c r="H367" s="3">
        <f t="shared" si="10"/>
        <v>549860</v>
      </c>
      <c r="I367" s="5">
        <f>Table2[[#This Row],[Total Revenue]]*0.3</f>
        <v>164958</v>
      </c>
      <c r="J367" s="6">
        <f t="shared" si="11"/>
        <v>0.3</v>
      </c>
      <c r="K367" t="str">
        <f>VLOOKUP(Table2[[#This Row],[ProductID]],Products!$A$1:C371,2)</f>
        <v>Phone</v>
      </c>
      <c r="L367" t="str">
        <f>VLOOKUP(D367,Products!$A$1:C371,3)</f>
        <v>Electronics</v>
      </c>
      <c r="M367" t="str">
        <f>VLOOKUP(Table2[[#This Row],[AgentID]],Sales_Agents!$A$1:C370,2)</f>
        <v>Akin</v>
      </c>
      <c r="N367" t="str">
        <f>VLOOKUP(Table2[[#This Row],[AgentID]],Sales_Agents!$A$1:C370,3)</f>
        <v>West</v>
      </c>
    </row>
    <row r="368" spans="1:14" x14ac:dyDescent="0.25">
      <c r="A368">
        <v>367</v>
      </c>
      <c r="B368" s="1">
        <v>45411</v>
      </c>
      <c r="C368" s="8" t="str">
        <f>TEXT(Table2[[#This Row],[OrderDate]],"mmm")</f>
        <v>Apr</v>
      </c>
      <c r="D368">
        <v>4</v>
      </c>
      <c r="E368">
        <v>2</v>
      </c>
      <c r="F368">
        <v>1</v>
      </c>
      <c r="G368" s="3">
        <v>126109</v>
      </c>
      <c r="H368" s="3">
        <f t="shared" si="10"/>
        <v>126109</v>
      </c>
      <c r="I368" s="5">
        <f>Table2[[#This Row],[Total Revenue]]*0.3</f>
        <v>37832.699999999997</v>
      </c>
      <c r="J368" s="6">
        <f t="shared" si="11"/>
        <v>0.3</v>
      </c>
      <c r="K368" t="str">
        <f>VLOOKUP(Table2[[#This Row],[ProductID]],Products!$A$1:C372,2)</f>
        <v>Printer</v>
      </c>
      <c r="L368" t="str">
        <f>VLOOKUP(D368,Products!$A$1:C372,3)</f>
        <v>Accessories</v>
      </c>
      <c r="M368" t="str">
        <f>VLOOKUP(Table2[[#This Row],[AgentID]],Sales_Agents!$A$1:C371,2)</f>
        <v>Blessing</v>
      </c>
      <c r="N368" t="str">
        <f>VLOOKUP(Table2[[#This Row],[AgentID]],Sales_Agents!$A$1:C371,3)</f>
        <v>East</v>
      </c>
    </row>
    <row r="369" spans="1:14" x14ac:dyDescent="0.25">
      <c r="A369">
        <v>368</v>
      </c>
      <c r="B369" s="1">
        <v>45334</v>
      </c>
      <c r="C369" s="8" t="str">
        <f>TEXT(Table2[[#This Row],[OrderDate]],"mmm")</f>
        <v>Feb</v>
      </c>
      <c r="D369">
        <v>2</v>
      </c>
      <c r="E369">
        <v>4</v>
      </c>
      <c r="F369">
        <v>5</v>
      </c>
      <c r="G369" s="3">
        <v>116423</v>
      </c>
      <c r="H369" s="3">
        <f t="shared" si="10"/>
        <v>582115</v>
      </c>
      <c r="I369" s="5">
        <f>Table2[[#This Row],[Total Revenue]]*0.3</f>
        <v>174634.5</v>
      </c>
      <c r="J369" s="6">
        <f t="shared" si="11"/>
        <v>0.3</v>
      </c>
      <c r="K369" t="str">
        <f>VLOOKUP(Table2[[#This Row],[ProductID]],Products!$A$1:C373,2)</f>
        <v>Phone</v>
      </c>
      <c r="L369" t="str">
        <f>VLOOKUP(D369,Products!$A$1:C373,3)</f>
        <v>Electronics</v>
      </c>
      <c r="M369" t="str">
        <f>VLOOKUP(Table2[[#This Row],[AgentID]],Sales_Agents!$A$1:C372,2)</f>
        <v>Zainab</v>
      </c>
      <c r="N369" t="str">
        <f>VLOOKUP(Table2[[#This Row],[AgentID]],Sales_Agents!$A$1:C372,3)</f>
        <v>North</v>
      </c>
    </row>
    <row r="370" spans="1:14" x14ac:dyDescent="0.25">
      <c r="A370">
        <v>369</v>
      </c>
      <c r="B370" s="1">
        <v>45635</v>
      </c>
      <c r="C370" s="8" t="str">
        <f>TEXT(Table2[[#This Row],[OrderDate]],"mmm")</f>
        <v>Dec</v>
      </c>
      <c r="D370">
        <v>2</v>
      </c>
      <c r="E370">
        <v>4</v>
      </c>
      <c r="F370">
        <v>17</v>
      </c>
      <c r="G370" s="3">
        <v>272782</v>
      </c>
      <c r="H370" s="3">
        <f t="shared" si="10"/>
        <v>4637294</v>
      </c>
      <c r="I370" s="5">
        <f>Table2[[#This Row],[Total Revenue]]*0.3</f>
        <v>1391188.2</v>
      </c>
      <c r="J370" s="6">
        <f t="shared" si="11"/>
        <v>0.3</v>
      </c>
      <c r="K370" t="str">
        <f>VLOOKUP(Table2[[#This Row],[ProductID]],Products!$A$1:C374,2)</f>
        <v>Phone</v>
      </c>
      <c r="L370" t="str">
        <f>VLOOKUP(D370,Products!$A$1:C374,3)</f>
        <v>Electronics</v>
      </c>
      <c r="M370" t="str">
        <f>VLOOKUP(Table2[[#This Row],[AgentID]],Sales_Agents!$A$1:C373,2)</f>
        <v>Zainab</v>
      </c>
      <c r="N370" t="str">
        <f>VLOOKUP(Table2[[#This Row],[AgentID]],Sales_Agents!$A$1:C373,3)</f>
        <v>North</v>
      </c>
    </row>
    <row r="371" spans="1:14" x14ac:dyDescent="0.25">
      <c r="A371">
        <v>370</v>
      </c>
      <c r="B371" s="1">
        <v>45580</v>
      </c>
      <c r="C371" s="8" t="str">
        <f>TEXT(Table2[[#This Row],[OrderDate]],"mmm")</f>
        <v>Oct</v>
      </c>
      <c r="D371">
        <v>2</v>
      </c>
      <c r="E371">
        <v>4</v>
      </c>
      <c r="F371">
        <v>17</v>
      </c>
      <c r="G371" s="3">
        <v>99175</v>
      </c>
      <c r="H371" s="3">
        <f t="shared" si="10"/>
        <v>1685975</v>
      </c>
      <c r="I371" s="5">
        <f>Table2[[#This Row],[Total Revenue]]*0.3</f>
        <v>505792.5</v>
      </c>
      <c r="J371" s="6">
        <f t="shared" si="11"/>
        <v>0.3</v>
      </c>
      <c r="K371" t="str">
        <f>VLOOKUP(Table2[[#This Row],[ProductID]],Products!$A$1:C375,2)</f>
        <v>Phone</v>
      </c>
      <c r="L371" t="str">
        <f>VLOOKUP(D371,Products!$A$1:C375,3)</f>
        <v>Electronics</v>
      </c>
      <c r="M371" t="str">
        <f>VLOOKUP(Table2[[#This Row],[AgentID]],Sales_Agents!$A$1:C374,2)</f>
        <v>Zainab</v>
      </c>
      <c r="N371" t="str">
        <f>VLOOKUP(Table2[[#This Row],[AgentID]],Sales_Agents!$A$1:C374,3)</f>
        <v>North</v>
      </c>
    </row>
    <row r="372" spans="1:14" x14ac:dyDescent="0.25">
      <c r="A372">
        <v>371</v>
      </c>
      <c r="B372" s="1">
        <v>45562</v>
      </c>
      <c r="C372" s="8" t="str">
        <f>TEXT(Table2[[#This Row],[OrderDate]],"mmm")</f>
        <v>Sept</v>
      </c>
      <c r="D372">
        <v>3</v>
      </c>
      <c r="E372">
        <v>2</v>
      </c>
      <c r="F372">
        <v>12</v>
      </c>
      <c r="G372" s="3">
        <v>130639</v>
      </c>
      <c r="H372" s="3">
        <f t="shared" si="10"/>
        <v>1567668</v>
      </c>
      <c r="I372" s="5">
        <f>Table2[[#This Row],[Total Revenue]]*0.3</f>
        <v>470300.39999999997</v>
      </c>
      <c r="J372" s="6">
        <f t="shared" si="11"/>
        <v>0.3</v>
      </c>
      <c r="K372" t="str">
        <f>VLOOKUP(Table2[[#This Row],[ProductID]],Products!$A$1:C376,2)</f>
        <v>Tablet</v>
      </c>
      <c r="L372" t="str">
        <f>VLOOKUP(D372,Products!$A$1:C376,3)</f>
        <v>Electronics</v>
      </c>
      <c r="M372" t="str">
        <f>VLOOKUP(Table2[[#This Row],[AgentID]],Sales_Agents!$A$1:C375,2)</f>
        <v>Blessing</v>
      </c>
      <c r="N372" t="str">
        <f>VLOOKUP(Table2[[#This Row],[AgentID]],Sales_Agents!$A$1:C375,3)</f>
        <v>East</v>
      </c>
    </row>
    <row r="373" spans="1:14" x14ac:dyDescent="0.25">
      <c r="A373">
        <v>372</v>
      </c>
      <c r="B373" s="1">
        <v>45355</v>
      </c>
      <c r="C373" s="8" t="str">
        <f>TEXT(Table2[[#This Row],[OrderDate]],"mmm")</f>
        <v>Mar</v>
      </c>
      <c r="D373">
        <v>4</v>
      </c>
      <c r="E373">
        <v>4</v>
      </c>
      <c r="F373">
        <v>19</v>
      </c>
      <c r="G373" s="3">
        <v>61645</v>
      </c>
      <c r="H373" s="3">
        <f t="shared" si="10"/>
        <v>1171255</v>
      </c>
      <c r="I373" s="5">
        <f>Table2[[#This Row],[Total Revenue]]*0.3</f>
        <v>351376.5</v>
      </c>
      <c r="J373" s="6">
        <f t="shared" si="11"/>
        <v>0.3</v>
      </c>
      <c r="K373" t="str">
        <f>VLOOKUP(Table2[[#This Row],[ProductID]],Products!$A$1:C377,2)</f>
        <v>Printer</v>
      </c>
      <c r="L373" t="str">
        <f>VLOOKUP(D373,Products!$A$1:C377,3)</f>
        <v>Accessories</v>
      </c>
      <c r="M373" t="str">
        <f>VLOOKUP(Table2[[#This Row],[AgentID]],Sales_Agents!$A$1:C376,2)</f>
        <v>Zainab</v>
      </c>
      <c r="N373" t="str">
        <f>VLOOKUP(Table2[[#This Row],[AgentID]],Sales_Agents!$A$1:C376,3)</f>
        <v>North</v>
      </c>
    </row>
    <row r="374" spans="1:14" x14ac:dyDescent="0.25">
      <c r="A374">
        <v>373</v>
      </c>
      <c r="B374" s="1">
        <v>45324</v>
      </c>
      <c r="C374" s="8" t="str">
        <f>TEXT(Table2[[#This Row],[OrderDate]],"mmm")</f>
        <v>Feb</v>
      </c>
      <c r="D374">
        <v>5</v>
      </c>
      <c r="E374">
        <v>4</v>
      </c>
      <c r="F374">
        <v>20</v>
      </c>
      <c r="G374" s="3">
        <v>77964</v>
      </c>
      <c r="H374" s="3">
        <f t="shared" si="10"/>
        <v>1559280</v>
      </c>
      <c r="I374" s="5">
        <f>Table2[[#This Row],[Total Revenue]]*0.3</f>
        <v>467784</v>
      </c>
      <c r="J374" s="6">
        <f t="shared" si="11"/>
        <v>0.3</v>
      </c>
      <c r="K374" t="str">
        <f>VLOOKUP(Table2[[#This Row],[ProductID]],Products!$A$1:C378,2)</f>
        <v>Monitor</v>
      </c>
      <c r="L374" t="str">
        <f>VLOOKUP(D374,Products!$A$1:C378,3)</f>
        <v>Accessories</v>
      </c>
      <c r="M374" t="str">
        <f>VLOOKUP(Table2[[#This Row],[AgentID]],Sales_Agents!$A$1:C377,2)</f>
        <v>Zainab</v>
      </c>
      <c r="N374" t="str">
        <f>VLOOKUP(Table2[[#This Row],[AgentID]],Sales_Agents!$A$1:C377,3)</f>
        <v>North</v>
      </c>
    </row>
    <row r="375" spans="1:14" x14ac:dyDescent="0.25">
      <c r="A375">
        <v>374</v>
      </c>
      <c r="B375" s="1">
        <v>45490</v>
      </c>
      <c r="C375" s="8" t="str">
        <f>TEXT(Table2[[#This Row],[OrderDate]],"mmm")</f>
        <v>Jul</v>
      </c>
      <c r="D375">
        <v>3</v>
      </c>
      <c r="E375">
        <v>1</v>
      </c>
      <c r="F375">
        <v>12</v>
      </c>
      <c r="G375" s="3">
        <v>283744</v>
      </c>
      <c r="H375" s="3">
        <f t="shared" si="10"/>
        <v>3404928</v>
      </c>
      <c r="I375" s="5">
        <f>Table2[[#This Row],[Total Revenue]]*0.3</f>
        <v>1021478.3999999999</v>
      </c>
      <c r="J375" s="6">
        <f t="shared" si="11"/>
        <v>0.3</v>
      </c>
      <c r="K375" t="str">
        <f>VLOOKUP(Table2[[#This Row],[ProductID]],Products!$A$1:C379,2)</f>
        <v>Tablet</v>
      </c>
      <c r="L375" t="str">
        <f>VLOOKUP(D375,Products!$A$1:C379,3)</f>
        <v>Electronics</v>
      </c>
      <c r="M375" t="str">
        <f>VLOOKUP(Table2[[#This Row],[AgentID]],Sales_Agents!$A$1:C378,2)</f>
        <v>Akin</v>
      </c>
      <c r="N375" t="str">
        <f>VLOOKUP(Table2[[#This Row],[AgentID]],Sales_Agents!$A$1:C378,3)</f>
        <v>West</v>
      </c>
    </row>
    <row r="376" spans="1:14" x14ac:dyDescent="0.25">
      <c r="A376">
        <v>375</v>
      </c>
      <c r="B376" s="1">
        <v>45459</v>
      </c>
      <c r="C376" s="8" t="str">
        <f>TEXT(Table2[[#This Row],[OrderDate]],"mmm")</f>
        <v>Jun</v>
      </c>
      <c r="D376">
        <v>1</v>
      </c>
      <c r="E376">
        <v>3</v>
      </c>
      <c r="F376">
        <v>17</v>
      </c>
      <c r="G376" s="3">
        <v>353398</v>
      </c>
      <c r="H376" s="3">
        <f t="shared" si="10"/>
        <v>6007766</v>
      </c>
      <c r="I376" s="5">
        <f>Table2[[#This Row],[Total Revenue]]*0.3</f>
        <v>1802329.8</v>
      </c>
      <c r="J376" s="6">
        <f t="shared" si="11"/>
        <v>0.3</v>
      </c>
      <c r="K376" t="str">
        <f>VLOOKUP(Table2[[#This Row],[ProductID]],Products!$A$1:C380,2)</f>
        <v>Laptop</v>
      </c>
      <c r="L376" t="str">
        <f>VLOOKUP(D376,Products!$A$1:C380,3)</f>
        <v>Electronics</v>
      </c>
      <c r="M376" t="str">
        <f>VLOOKUP(Table2[[#This Row],[AgentID]],Sales_Agents!$A$1:C379,2)</f>
        <v>Chinedu</v>
      </c>
      <c r="N376" t="str">
        <f>VLOOKUP(Table2[[#This Row],[AgentID]],Sales_Agents!$A$1:C379,3)</f>
        <v>South</v>
      </c>
    </row>
    <row r="377" spans="1:14" x14ac:dyDescent="0.25">
      <c r="A377">
        <v>376</v>
      </c>
      <c r="B377" s="1">
        <v>45472</v>
      </c>
      <c r="C377" s="8" t="str">
        <f>TEXT(Table2[[#This Row],[OrderDate]],"mmm")</f>
        <v>Jun</v>
      </c>
      <c r="D377">
        <v>3</v>
      </c>
      <c r="E377">
        <v>4</v>
      </c>
      <c r="F377">
        <v>7</v>
      </c>
      <c r="G377" s="3">
        <v>115575</v>
      </c>
      <c r="H377" s="3">
        <f t="shared" si="10"/>
        <v>809025</v>
      </c>
      <c r="I377" s="5">
        <f>Table2[[#This Row],[Total Revenue]]*0.3</f>
        <v>242707.5</v>
      </c>
      <c r="J377" s="6">
        <f t="shared" si="11"/>
        <v>0.3</v>
      </c>
      <c r="K377" t="str">
        <f>VLOOKUP(Table2[[#This Row],[ProductID]],Products!$A$1:C381,2)</f>
        <v>Tablet</v>
      </c>
      <c r="L377" t="str">
        <f>VLOOKUP(D377,Products!$A$1:C381,3)</f>
        <v>Electronics</v>
      </c>
      <c r="M377" t="str">
        <f>VLOOKUP(Table2[[#This Row],[AgentID]],Sales_Agents!$A$1:C380,2)</f>
        <v>Zainab</v>
      </c>
      <c r="N377" t="str">
        <f>VLOOKUP(Table2[[#This Row],[AgentID]],Sales_Agents!$A$1:C380,3)</f>
        <v>North</v>
      </c>
    </row>
    <row r="378" spans="1:14" x14ac:dyDescent="0.25">
      <c r="A378">
        <v>377</v>
      </c>
      <c r="B378" s="1">
        <v>45413</v>
      </c>
      <c r="C378" s="8" t="str">
        <f>TEXT(Table2[[#This Row],[OrderDate]],"mmm")</f>
        <v>May</v>
      </c>
      <c r="D378">
        <v>2</v>
      </c>
      <c r="E378">
        <v>4</v>
      </c>
      <c r="F378">
        <v>20</v>
      </c>
      <c r="G378" s="3">
        <v>150818</v>
      </c>
      <c r="H378" s="3">
        <f t="shared" si="10"/>
        <v>3016360</v>
      </c>
      <c r="I378" s="5">
        <f>Table2[[#This Row],[Total Revenue]]*0.3</f>
        <v>904908</v>
      </c>
      <c r="J378" s="6">
        <f t="shared" si="11"/>
        <v>0.3</v>
      </c>
      <c r="K378" t="str">
        <f>VLOOKUP(Table2[[#This Row],[ProductID]],Products!$A$1:C382,2)</f>
        <v>Phone</v>
      </c>
      <c r="L378" t="str">
        <f>VLOOKUP(D378,Products!$A$1:C382,3)</f>
        <v>Electronics</v>
      </c>
      <c r="M378" t="str">
        <f>VLOOKUP(Table2[[#This Row],[AgentID]],Sales_Agents!$A$1:C381,2)</f>
        <v>Zainab</v>
      </c>
      <c r="N378" t="str">
        <f>VLOOKUP(Table2[[#This Row],[AgentID]],Sales_Agents!$A$1:C381,3)</f>
        <v>North</v>
      </c>
    </row>
    <row r="379" spans="1:14" x14ac:dyDescent="0.25">
      <c r="A379">
        <v>378</v>
      </c>
      <c r="B379" s="1">
        <v>45502</v>
      </c>
      <c r="C379" s="8" t="str">
        <f>TEXT(Table2[[#This Row],[OrderDate]],"mmm")</f>
        <v>Jul</v>
      </c>
      <c r="D379">
        <v>5</v>
      </c>
      <c r="E379">
        <v>1</v>
      </c>
      <c r="F379">
        <v>3</v>
      </c>
      <c r="G379" s="3">
        <v>232597</v>
      </c>
      <c r="H379" s="3">
        <f t="shared" si="10"/>
        <v>697791</v>
      </c>
      <c r="I379" s="5">
        <f>Table2[[#This Row],[Total Revenue]]*0.3</f>
        <v>209337.3</v>
      </c>
      <c r="J379" s="6">
        <f t="shared" si="11"/>
        <v>0.3</v>
      </c>
      <c r="K379" t="str">
        <f>VLOOKUP(Table2[[#This Row],[ProductID]],Products!$A$1:C383,2)</f>
        <v>Monitor</v>
      </c>
      <c r="L379" t="str">
        <f>VLOOKUP(D379,Products!$A$1:C383,3)</f>
        <v>Accessories</v>
      </c>
      <c r="M379" t="str">
        <f>VLOOKUP(Table2[[#This Row],[AgentID]],Sales_Agents!$A$1:C382,2)</f>
        <v>Akin</v>
      </c>
      <c r="N379" t="str">
        <f>VLOOKUP(Table2[[#This Row],[AgentID]],Sales_Agents!$A$1:C382,3)</f>
        <v>West</v>
      </c>
    </row>
    <row r="380" spans="1:14" x14ac:dyDescent="0.25">
      <c r="A380">
        <v>379</v>
      </c>
      <c r="B380" s="1">
        <v>45526</v>
      </c>
      <c r="C380" s="8" t="str">
        <f>TEXT(Table2[[#This Row],[OrderDate]],"mmm")</f>
        <v>Aug</v>
      </c>
      <c r="D380">
        <v>2</v>
      </c>
      <c r="E380">
        <v>3</v>
      </c>
      <c r="F380">
        <v>6</v>
      </c>
      <c r="G380" s="3">
        <v>81988</v>
      </c>
      <c r="H380" s="3">
        <f t="shared" si="10"/>
        <v>491928</v>
      </c>
      <c r="I380" s="5">
        <f>Table2[[#This Row],[Total Revenue]]*0.3</f>
        <v>147578.4</v>
      </c>
      <c r="J380" s="6">
        <f t="shared" si="11"/>
        <v>0.3</v>
      </c>
      <c r="K380" t="str">
        <f>VLOOKUP(Table2[[#This Row],[ProductID]],Products!$A$1:C384,2)</f>
        <v>Phone</v>
      </c>
      <c r="L380" t="str">
        <f>VLOOKUP(D380,Products!$A$1:C384,3)</f>
        <v>Electronics</v>
      </c>
      <c r="M380" t="str">
        <f>VLOOKUP(Table2[[#This Row],[AgentID]],Sales_Agents!$A$1:C383,2)</f>
        <v>Chinedu</v>
      </c>
      <c r="N380" t="str">
        <f>VLOOKUP(Table2[[#This Row],[AgentID]],Sales_Agents!$A$1:C383,3)</f>
        <v>South</v>
      </c>
    </row>
    <row r="381" spans="1:14" x14ac:dyDescent="0.25">
      <c r="A381">
        <v>380</v>
      </c>
      <c r="B381" s="1">
        <v>45351</v>
      </c>
      <c r="C381" s="8" t="str">
        <f>TEXT(Table2[[#This Row],[OrderDate]],"mmm")</f>
        <v>Feb</v>
      </c>
      <c r="D381">
        <v>5</v>
      </c>
      <c r="E381">
        <v>3</v>
      </c>
      <c r="F381">
        <v>12</v>
      </c>
      <c r="G381" s="3">
        <v>149340</v>
      </c>
      <c r="H381" s="3">
        <f t="shared" si="10"/>
        <v>1792080</v>
      </c>
      <c r="I381" s="5">
        <f>Table2[[#This Row],[Total Revenue]]*0.3</f>
        <v>537624</v>
      </c>
      <c r="J381" s="6">
        <f t="shared" si="11"/>
        <v>0.3</v>
      </c>
      <c r="K381" t="str">
        <f>VLOOKUP(Table2[[#This Row],[ProductID]],Products!$A$1:C385,2)</f>
        <v>Monitor</v>
      </c>
      <c r="L381" t="str">
        <f>VLOOKUP(D381,Products!$A$1:C385,3)</f>
        <v>Accessories</v>
      </c>
      <c r="M381" t="str">
        <f>VLOOKUP(Table2[[#This Row],[AgentID]],Sales_Agents!$A$1:C384,2)</f>
        <v>Chinedu</v>
      </c>
      <c r="N381" t="str">
        <f>VLOOKUP(Table2[[#This Row],[AgentID]],Sales_Agents!$A$1:C384,3)</f>
        <v>South</v>
      </c>
    </row>
    <row r="382" spans="1:14" x14ac:dyDescent="0.25">
      <c r="A382">
        <v>381</v>
      </c>
      <c r="B382" s="1">
        <v>45431</v>
      </c>
      <c r="C382" s="8" t="str">
        <f>TEXT(Table2[[#This Row],[OrderDate]],"mmm")</f>
        <v>May</v>
      </c>
      <c r="D382">
        <v>5</v>
      </c>
      <c r="E382">
        <v>4</v>
      </c>
      <c r="F382">
        <v>9</v>
      </c>
      <c r="G382" s="3">
        <v>265680</v>
      </c>
      <c r="H382" s="3">
        <f t="shared" si="10"/>
        <v>2391120</v>
      </c>
      <c r="I382" s="5">
        <f>Table2[[#This Row],[Total Revenue]]*0.3</f>
        <v>717336</v>
      </c>
      <c r="J382" s="6">
        <f t="shared" si="11"/>
        <v>0.3</v>
      </c>
      <c r="K382" t="str">
        <f>VLOOKUP(Table2[[#This Row],[ProductID]],Products!$A$1:C386,2)</f>
        <v>Monitor</v>
      </c>
      <c r="L382" t="str">
        <f>VLOOKUP(D382,Products!$A$1:C386,3)</f>
        <v>Accessories</v>
      </c>
      <c r="M382" t="str">
        <f>VLOOKUP(Table2[[#This Row],[AgentID]],Sales_Agents!$A$1:C385,2)</f>
        <v>Zainab</v>
      </c>
      <c r="N382" t="str">
        <f>VLOOKUP(Table2[[#This Row],[AgentID]],Sales_Agents!$A$1:C385,3)</f>
        <v>North</v>
      </c>
    </row>
    <row r="383" spans="1:14" x14ac:dyDescent="0.25">
      <c r="A383">
        <v>382</v>
      </c>
      <c r="B383" s="1">
        <v>45356</v>
      </c>
      <c r="C383" s="8" t="str">
        <f>TEXT(Table2[[#This Row],[OrderDate]],"mmm")</f>
        <v>Mar</v>
      </c>
      <c r="D383">
        <v>5</v>
      </c>
      <c r="E383">
        <v>3</v>
      </c>
      <c r="F383">
        <v>3</v>
      </c>
      <c r="G383" s="3">
        <v>63723</v>
      </c>
      <c r="H383" s="3">
        <f t="shared" si="10"/>
        <v>191169</v>
      </c>
      <c r="I383" s="5">
        <f>Table2[[#This Row],[Total Revenue]]*0.3</f>
        <v>57350.7</v>
      </c>
      <c r="J383" s="6">
        <f t="shared" si="11"/>
        <v>0.3</v>
      </c>
      <c r="K383" t="str">
        <f>VLOOKUP(Table2[[#This Row],[ProductID]],Products!$A$1:C387,2)</f>
        <v>Monitor</v>
      </c>
      <c r="L383" t="str">
        <f>VLOOKUP(D383,Products!$A$1:C387,3)</f>
        <v>Accessories</v>
      </c>
      <c r="M383" t="str">
        <f>VLOOKUP(Table2[[#This Row],[AgentID]],Sales_Agents!$A$1:C386,2)</f>
        <v>Chinedu</v>
      </c>
      <c r="N383" t="str">
        <f>VLOOKUP(Table2[[#This Row],[AgentID]],Sales_Agents!$A$1:C386,3)</f>
        <v>South</v>
      </c>
    </row>
    <row r="384" spans="1:14" x14ac:dyDescent="0.25">
      <c r="A384">
        <v>383</v>
      </c>
      <c r="B384" s="1">
        <v>45428</v>
      </c>
      <c r="C384" s="8" t="str">
        <f>TEXT(Table2[[#This Row],[OrderDate]],"mmm")</f>
        <v>May</v>
      </c>
      <c r="D384">
        <v>3</v>
      </c>
      <c r="E384">
        <v>2</v>
      </c>
      <c r="F384">
        <v>1</v>
      </c>
      <c r="G384" s="3">
        <v>87829</v>
      </c>
      <c r="H384" s="3">
        <f t="shared" si="10"/>
        <v>87829</v>
      </c>
      <c r="I384" s="5">
        <f>Table2[[#This Row],[Total Revenue]]*0.3</f>
        <v>26348.7</v>
      </c>
      <c r="J384" s="6">
        <f t="shared" si="11"/>
        <v>0.3</v>
      </c>
      <c r="K384" t="str">
        <f>VLOOKUP(Table2[[#This Row],[ProductID]],Products!$A$1:C388,2)</f>
        <v>Tablet</v>
      </c>
      <c r="L384" t="str">
        <f>VLOOKUP(D384,Products!$A$1:C388,3)</f>
        <v>Electronics</v>
      </c>
      <c r="M384" t="str">
        <f>VLOOKUP(Table2[[#This Row],[AgentID]],Sales_Agents!$A$1:C387,2)</f>
        <v>Blessing</v>
      </c>
      <c r="N384" t="str">
        <f>VLOOKUP(Table2[[#This Row],[AgentID]],Sales_Agents!$A$1:C387,3)</f>
        <v>East</v>
      </c>
    </row>
    <row r="385" spans="1:14" x14ac:dyDescent="0.25">
      <c r="A385">
        <v>384</v>
      </c>
      <c r="B385" s="1">
        <v>45504</v>
      </c>
      <c r="C385" s="8" t="str">
        <f>TEXT(Table2[[#This Row],[OrderDate]],"mmm")</f>
        <v>Jul</v>
      </c>
      <c r="D385">
        <v>1</v>
      </c>
      <c r="E385">
        <v>1</v>
      </c>
      <c r="F385">
        <v>8</v>
      </c>
      <c r="G385" s="3">
        <v>392211</v>
      </c>
      <c r="H385" s="3">
        <f t="shared" si="10"/>
        <v>3137688</v>
      </c>
      <c r="I385" s="5">
        <f>Table2[[#This Row],[Total Revenue]]*0.3</f>
        <v>941306.4</v>
      </c>
      <c r="J385" s="6">
        <f t="shared" si="11"/>
        <v>0.3</v>
      </c>
      <c r="K385" t="str">
        <f>VLOOKUP(Table2[[#This Row],[ProductID]],Products!$A$1:C389,2)</f>
        <v>Laptop</v>
      </c>
      <c r="L385" t="str">
        <f>VLOOKUP(D385,Products!$A$1:C389,3)</f>
        <v>Electronics</v>
      </c>
      <c r="M385" t="str">
        <f>VLOOKUP(Table2[[#This Row],[AgentID]],Sales_Agents!$A$1:C388,2)</f>
        <v>Akin</v>
      </c>
      <c r="N385" t="str">
        <f>VLOOKUP(Table2[[#This Row],[AgentID]],Sales_Agents!$A$1:C388,3)</f>
        <v>West</v>
      </c>
    </row>
    <row r="386" spans="1:14" x14ac:dyDescent="0.25">
      <c r="A386">
        <v>385</v>
      </c>
      <c r="B386" s="1">
        <v>45644</v>
      </c>
      <c r="C386" s="8" t="str">
        <f>TEXT(Table2[[#This Row],[OrderDate]],"mmm")</f>
        <v>Dec</v>
      </c>
      <c r="D386">
        <v>2</v>
      </c>
      <c r="E386">
        <v>2</v>
      </c>
      <c r="F386">
        <v>5</v>
      </c>
      <c r="G386" s="3">
        <v>283356</v>
      </c>
      <c r="H386" s="3">
        <f t="shared" ref="H386:H449" si="12">G386*F386</f>
        <v>1416780</v>
      </c>
      <c r="I386" s="5">
        <f>Table2[[#This Row],[Total Revenue]]*0.3</f>
        <v>425034</v>
      </c>
      <c r="J386" s="6">
        <f t="shared" ref="J386:J449" si="13">I386/H386</f>
        <v>0.3</v>
      </c>
      <c r="K386" t="str">
        <f>VLOOKUP(Table2[[#This Row],[ProductID]],Products!$A$1:C390,2)</f>
        <v>Phone</v>
      </c>
      <c r="L386" t="str">
        <f>VLOOKUP(D386,Products!$A$1:C390,3)</f>
        <v>Electronics</v>
      </c>
      <c r="M386" t="str">
        <f>VLOOKUP(Table2[[#This Row],[AgentID]],Sales_Agents!$A$1:C389,2)</f>
        <v>Blessing</v>
      </c>
      <c r="N386" t="str">
        <f>VLOOKUP(Table2[[#This Row],[AgentID]],Sales_Agents!$A$1:C389,3)</f>
        <v>East</v>
      </c>
    </row>
    <row r="387" spans="1:14" x14ac:dyDescent="0.25">
      <c r="A387">
        <v>386</v>
      </c>
      <c r="B387" s="1">
        <v>45601</v>
      </c>
      <c r="C387" s="8" t="str">
        <f>TEXT(Table2[[#This Row],[OrderDate]],"mmm")</f>
        <v>Nov</v>
      </c>
      <c r="D387">
        <v>4</v>
      </c>
      <c r="E387">
        <v>2</v>
      </c>
      <c r="F387">
        <v>13</v>
      </c>
      <c r="G387" s="3">
        <v>391057</v>
      </c>
      <c r="H387" s="3">
        <f t="shared" si="12"/>
        <v>5083741</v>
      </c>
      <c r="I387" s="5">
        <f>Table2[[#This Row],[Total Revenue]]*0.3</f>
        <v>1525122.3</v>
      </c>
      <c r="J387" s="6">
        <f t="shared" si="13"/>
        <v>0.3</v>
      </c>
      <c r="K387" t="str">
        <f>VLOOKUP(Table2[[#This Row],[ProductID]],Products!$A$1:C391,2)</f>
        <v>Printer</v>
      </c>
      <c r="L387" t="str">
        <f>VLOOKUP(D387,Products!$A$1:C391,3)</f>
        <v>Accessories</v>
      </c>
      <c r="M387" t="str">
        <f>VLOOKUP(Table2[[#This Row],[AgentID]],Sales_Agents!$A$1:C390,2)</f>
        <v>Blessing</v>
      </c>
      <c r="N387" t="str">
        <f>VLOOKUP(Table2[[#This Row],[AgentID]],Sales_Agents!$A$1:C390,3)</f>
        <v>East</v>
      </c>
    </row>
    <row r="388" spans="1:14" x14ac:dyDescent="0.25">
      <c r="A388">
        <v>387</v>
      </c>
      <c r="B388" s="1">
        <v>45559</v>
      </c>
      <c r="C388" s="8" t="str">
        <f>TEXT(Table2[[#This Row],[OrderDate]],"mmm")</f>
        <v>Sept</v>
      </c>
      <c r="D388">
        <v>5</v>
      </c>
      <c r="E388">
        <v>1</v>
      </c>
      <c r="F388">
        <v>18</v>
      </c>
      <c r="G388" s="3">
        <v>238312</v>
      </c>
      <c r="H388" s="3">
        <f t="shared" si="12"/>
        <v>4289616</v>
      </c>
      <c r="I388" s="5">
        <f>Table2[[#This Row],[Total Revenue]]*0.3</f>
        <v>1286884.8</v>
      </c>
      <c r="J388" s="6">
        <f t="shared" si="13"/>
        <v>0.3</v>
      </c>
      <c r="K388" t="str">
        <f>VLOOKUP(Table2[[#This Row],[ProductID]],Products!$A$1:C392,2)</f>
        <v>Monitor</v>
      </c>
      <c r="L388" t="str">
        <f>VLOOKUP(D388,Products!$A$1:C392,3)</f>
        <v>Accessories</v>
      </c>
      <c r="M388" t="str">
        <f>VLOOKUP(Table2[[#This Row],[AgentID]],Sales_Agents!$A$1:C391,2)</f>
        <v>Akin</v>
      </c>
      <c r="N388" t="str">
        <f>VLOOKUP(Table2[[#This Row],[AgentID]],Sales_Agents!$A$1:C391,3)</f>
        <v>West</v>
      </c>
    </row>
    <row r="389" spans="1:14" x14ac:dyDescent="0.25">
      <c r="A389">
        <v>388</v>
      </c>
      <c r="B389" s="1">
        <v>45552</v>
      </c>
      <c r="C389" s="8" t="str">
        <f>TEXT(Table2[[#This Row],[OrderDate]],"mmm")</f>
        <v>Sept</v>
      </c>
      <c r="D389">
        <v>2</v>
      </c>
      <c r="E389">
        <v>4</v>
      </c>
      <c r="F389">
        <v>4</v>
      </c>
      <c r="G389" s="3">
        <v>198196</v>
      </c>
      <c r="H389" s="3">
        <f t="shared" si="12"/>
        <v>792784</v>
      </c>
      <c r="I389" s="5">
        <f>Table2[[#This Row],[Total Revenue]]*0.3</f>
        <v>237835.19999999998</v>
      </c>
      <c r="J389" s="6">
        <f t="shared" si="13"/>
        <v>0.3</v>
      </c>
      <c r="K389" t="str">
        <f>VLOOKUP(Table2[[#This Row],[ProductID]],Products!$A$1:C393,2)</f>
        <v>Phone</v>
      </c>
      <c r="L389" t="str">
        <f>VLOOKUP(D389,Products!$A$1:C393,3)</f>
        <v>Electronics</v>
      </c>
      <c r="M389" t="str">
        <f>VLOOKUP(Table2[[#This Row],[AgentID]],Sales_Agents!$A$1:C392,2)</f>
        <v>Zainab</v>
      </c>
      <c r="N389" t="str">
        <f>VLOOKUP(Table2[[#This Row],[AgentID]],Sales_Agents!$A$1:C392,3)</f>
        <v>North</v>
      </c>
    </row>
    <row r="390" spans="1:14" x14ac:dyDescent="0.25">
      <c r="A390">
        <v>389</v>
      </c>
      <c r="B390" s="1">
        <v>45608</v>
      </c>
      <c r="C390" s="8" t="str">
        <f>TEXT(Table2[[#This Row],[OrderDate]],"mmm")</f>
        <v>Nov</v>
      </c>
      <c r="D390">
        <v>2</v>
      </c>
      <c r="E390">
        <v>1</v>
      </c>
      <c r="F390">
        <v>11</v>
      </c>
      <c r="G390" s="3">
        <v>140071</v>
      </c>
      <c r="H390" s="3">
        <f t="shared" si="12"/>
        <v>1540781</v>
      </c>
      <c r="I390" s="5">
        <f>Table2[[#This Row],[Total Revenue]]*0.3</f>
        <v>462234.3</v>
      </c>
      <c r="J390" s="6">
        <f t="shared" si="13"/>
        <v>0.3</v>
      </c>
      <c r="K390" t="str">
        <f>VLOOKUP(Table2[[#This Row],[ProductID]],Products!$A$1:C394,2)</f>
        <v>Phone</v>
      </c>
      <c r="L390" t="str">
        <f>VLOOKUP(D390,Products!$A$1:C394,3)</f>
        <v>Electronics</v>
      </c>
      <c r="M390" t="str">
        <f>VLOOKUP(Table2[[#This Row],[AgentID]],Sales_Agents!$A$1:C393,2)</f>
        <v>Akin</v>
      </c>
      <c r="N390" t="str">
        <f>VLOOKUP(Table2[[#This Row],[AgentID]],Sales_Agents!$A$1:C393,3)</f>
        <v>West</v>
      </c>
    </row>
    <row r="391" spans="1:14" x14ac:dyDescent="0.25">
      <c r="A391">
        <v>390</v>
      </c>
      <c r="B391" s="1">
        <v>45619</v>
      </c>
      <c r="C391" s="8" t="str">
        <f>TEXT(Table2[[#This Row],[OrderDate]],"mmm")</f>
        <v>Nov</v>
      </c>
      <c r="D391">
        <v>2</v>
      </c>
      <c r="E391">
        <v>2</v>
      </c>
      <c r="F391">
        <v>14</v>
      </c>
      <c r="G391" s="3">
        <v>55930</v>
      </c>
      <c r="H391" s="3">
        <f t="shared" si="12"/>
        <v>783020</v>
      </c>
      <c r="I391" s="5">
        <f>Table2[[#This Row],[Total Revenue]]*0.3</f>
        <v>234906</v>
      </c>
      <c r="J391" s="6">
        <f t="shared" si="13"/>
        <v>0.3</v>
      </c>
      <c r="K391" t="str">
        <f>VLOOKUP(Table2[[#This Row],[ProductID]],Products!$A$1:C395,2)</f>
        <v>Phone</v>
      </c>
      <c r="L391" t="str">
        <f>VLOOKUP(D391,Products!$A$1:C395,3)</f>
        <v>Electronics</v>
      </c>
      <c r="M391" t="str">
        <f>VLOOKUP(Table2[[#This Row],[AgentID]],Sales_Agents!$A$1:C394,2)</f>
        <v>Blessing</v>
      </c>
      <c r="N391" t="str">
        <f>VLOOKUP(Table2[[#This Row],[AgentID]],Sales_Agents!$A$1:C394,3)</f>
        <v>East</v>
      </c>
    </row>
    <row r="392" spans="1:14" x14ac:dyDescent="0.25">
      <c r="A392">
        <v>391</v>
      </c>
      <c r="B392" s="1">
        <v>45339</v>
      </c>
      <c r="C392" s="8" t="str">
        <f>TEXT(Table2[[#This Row],[OrderDate]],"mmm")</f>
        <v>Feb</v>
      </c>
      <c r="D392">
        <v>5</v>
      </c>
      <c r="E392">
        <v>2</v>
      </c>
      <c r="F392">
        <v>14</v>
      </c>
      <c r="G392" s="3">
        <v>332269</v>
      </c>
      <c r="H392" s="3">
        <f t="shared" si="12"/>
        <v>4651766</v>
      </c>
      <c r="I392" s="5">
        <f>Table2[[#This Row],[Total Revenue]]*0.3</f>
        <v>1395529.8</v>
      </c>
      <c r="J392" s="6">
        <f t="shared" si="13"/>
        <v>0.3</v>
      </c>
      <c r="K392" t="str">
        <f>VLOOKUP(Table2[[#This Row],[ProductID]],Products!$A$1:C396,2)</f>
        <v>Monitor</v>
      </c>
      <c r="L392" t="str">
        <f>VLOOKUP(D392,Products!$A$1:C396,3)</f>
        <v>Accessories</v>
      </c>
      <c r="M392" t="str">
        <f>VLOOKUP(Table2[[#This Row],[AgentID]],Sales_Agents!$A$1:C395,2)</f>
        <v>Blessing</v>
      </c>
      <c r="N392" t="str">
        <f>VLOOKUP(Table2[[#This Row],[AgentID]],Sales_Agents!$A$1:C395,3)</f>
        <v>East</v>
      </c>
    </row>
    <row r="393" spans="1:14" x14ac:dyDescent="0.25">
      <c r="A393">
        <v>392</v>
      </c>
      <c r="B393" s="1">
        <v>45572</v>
      </c>
      <c r="C393" s="8" t="str">
        <f>TEXT(Table2[[#This Row],[OrderDate]],"mmm")</f>
        <v>Oct</v>
      </c>
      <c r="D393">
        <v>1</v>
      </c>
      <c r="E393">
        <v>1</v>
      </c>
      <c r="F393">
        <v>5</v>
      </c>
      <c r="G393" s="3">
        <v>53480</v>
      </c>
      <c r="H393" s="3">
        <f t="shared" si="12"/>
        <v>267400</v>
      </c>
      <c r="I393" s="5">
        <f>Table2[[#This Row],[Total Revenue]]*0.3</f>
        <v>80220</v>
      </c>
      <c r="J393" s="6">
        <f t="shared" si="13"/>
        <v>0.3</v>
      </c>
      <c r="K393" t="str">
        <f>VLOOKUP(Table2[[#This Row],[ProductID]],Products!$A$1:C397,2)</f>
        <v>Laptop</v>
      </c>
      <c r="L393" t="str">
        <f>VLOOKUP(D393,Products!$A$1:C397,3)</f>
        <v>Electronics</v>
      </c>
      <c r="M393" t="str">
        <f>VLOOKUP(Table2[[#This Row],[AgentID]],Sales_Agents!$A$1:C396,2)</f>
        <v>Akin</v>
      </c>
      <c r="N393" t="str">
        <f>VLOOKUP(Table2[[#This Row],[AgentID]],Sales_Agents!$A$1:C396,3)</f>
        <v>West</v>
      </c>
    </row>
    <row r="394" spans="1:14" x14ac:dyDescent="0.25">
      <c r="A394">
        <v>393</v>
      </c>
      <c r="B394" s="1">
        <v>45578</v>
      </c>
      <c r="C394" s="8" t="str">
        <f>TEXT(Table2[[#This Row],[OrderDate]],"mmm")</f>
        <v>Oct</v>
      </c>
      <c r="D394">
        <v>4</v>
      </c>
      <c r="E394">
        <v>2</v>
      </c>
      <c r="F394">
        <v>20</v>
      </c>
      <c r="G394" s="3">
        <v>373956</v>
      </c>
      <c r="H394" s="3">
        <f t="shared" si="12"/>
        <v>7479120</v>
      </c>
      <c r="I394" s="5">
        <f>Table2[[#This Row],[Total Revenue]]*0.3</f>
        <v>2243736</v>
      </c>
      <c r="J394" s="6">
        <f t="shared" si="13"/>
        <v>0.3</v>
      </c>
      <c r="K394" t="str">
        <f>VLOOKUP(Table2[[#This Row],[ProductID]],Products!$A$1:C398,2)</f>
        <v>Printer</v>
      </c>
      <c r="L394" t="str">
        <f>VLOOKUP(D394,Products!$A$1:C398,3)</f>
        <v>Accessories</v>
      </c>
      <c r="M394" t="str">
        <f>VLOOKUP(Table2[[#This Row],[AgentID]],Sales_Agents!$A$1:C397,2)</f>
        <v>Blessing</v>
      </c>
      <c r="N394" t="str">
        <f>VLOOKUP(Table2[[#This Row],[AgentID]],Sales_Agents!$A$1:C397,3)</f>
        <v>East</v>
      </c>
    </row>
    <row r="395" spans="1:14" x14ac:dyDescent="0.25">
      <c r="A395">
        <v>394</v>
      </c>
      <c r="B395" s="1">
        <v>45495</v>
      </c>
      <c r="C395" s="8" t="str">
        <f>TEXT(Table2[[#This Row],[OrderDate]],"mmm")</f>
        <v>Jul</v>
      </c>
      <c r="D395">
        <v>5</v>
      </c>
      <c r="E395">
        <v>4</v>
      </c>
      <c r="F395">
        <v>14</v>
      </c>
      <c r="G395" s="3">
        <v>255685</v>
      </c>
      <c r="H395" s="3">
        <f t="shared" si="12"/>
        <v>3579590</v>
      </c>
      <c r="I395" s="5">
        <f>Table2[[#This Row],[Total Revenue]]*0.3</f>
        <v>1073877</v>
      </c>
      <c r="J395" s="6">
        <f t="shared" si="13"/>
        <v>0.3</v>
      </c>
      <c r="K395" t="str">
        <f>VLOOKUP(Table2[[#This Row],[ProductID]],Products!$A$1:C399,2)</f>
        <v>Monitor</v>
      </c>
      <c r="L395" t="str">
        <f>VLOOKUP(D395,Products!$A$1:C399,3)</f>
        <v>Accessories</v>
      </c>
      <c r="M395" t="str">
        <f>VLOOKUP(Table2[[#This Row],[AgentID]],Sales_Agents!$A$1:C398,2)</f>
        <v>Zainab</v>
      </c>
      <c r="N395" t="str">
        <f>VLOOKUP(Table2[[#This Row],[AgentID]],Sales_Agents!$A$1:C398,3)</f>
        <v>North</v>
      </c>
    </row>
    <row r="396" spans="1:14" x14ac:dyDescent="0.25">
      <c r="A396">
        <v>395</v>
      </c>
      <c r="B396" s="1">
        <v>45566</v>
      </c>
      <c r="C396" s="8" t="str">
        <f>TEXT(Table2[[#This Row],[OrderDate]],"mmm")</f>
        <v>Oct</v>
      </c>
      <c r="D396">
        <v>5</v>
      </c>
      <c r="E396">
        <v>4</v>
      </c>
      <c r="F396">
        <v>12</v>
      </c>
      <c r="G396" s="3">
        <v>109408</v>
      </c>
      <c r="H396" s="3">
        <f t="shared" si="12"/>
        <v>1312896</v>
      </c>
      <c r="I396" s="5">
        <f>Table2[[#This Row],[Total Revenue]]*0.3</f>
        <v>393868.79999999999</v>
      </c>
      <c r="J396" s="6">
        <f t="shared" si="13"/>
        <v>0.3</v>
      </c>
      <c r="K396" t="str">
        <f>VLOOKUP(Table2[[#This Row],[ProductID]],Products!$A$1:C400,2)</f>
        <v>Monitor</v>
      </c>
      <c r="L396" t="str">
        <f>VLOOKUP(D396,Products!$A$1:C400,3)</f>
        <v>Accessories</v>
      </c>
      <c r="M396" t="str">
        <f>VLOOKUP(Table2[[#This Row],[AgentID]],Sales_Agents!$A$1:C399,2)</f>
        <v>Zainab</v>
      </c>
      <c r="N396" t="str">
        <f>VLOOKUP(Table2[[#This Row],[AgentID]],Sales_Agents!$A$1:C399,3)</f>
        <v>North</v>
      </c>
    </row>
    <row r="397" spans="1:14" x14ac:dyDescent="0.25">
      <c r="A397">
        <v>396</v>
      </c>
      <c r="B397" s="1">
        <v>45583</v>
      </c>
      <c r="C397" s="8" t="str">
        <f>TEXT(Table2[[#This Row],[OrderDate]],"mmm")</f>
        <v>Oct</v>
      </c>
      <c r="D397">
        <v>2</v>
      </c>
      <c r="E397">
        <v>3</v>
      </c>
      <c r="F397">
        <v>2</v>
      </c>
      <c r="G397" s="3">
        <v>286189</v>
      </c>
      <c r="H397" s="3">
        <f t="shared" si="12"/>
        <v>572378</v>
      </c>
      <c r="I397" s="5">
        <f>Table2[[#This Row],[Total Revenue]]*0.3</f>
        <v>171713.4</v>
      </c>
      <c r="J397" s="6">
        <f t="shared" si="13"/>
        <v>0.3</v>
      </c>
      <c r="K397" t="str">
        <f>VLOOKUP(Table2[[#This Row],[ProductID]],Products!$A$1:C401,2)</f>
        <v>Phone</v>
      </c>
      <c r="L397" t="str">
        <f>VLOOKUP(D397,Products!$A$1:C401,3)</f>
        <v>Electronics</v>
      </c>
      <c r="M397" t="str">
        <f>VLOOKUP(Table2[[#This Row],[AgentID]],Sales_Agents!$A$1:C400,2)</f>
        <v>Chinedu</v>
      </c>
      <c r="N397" t="str">
        <f>VLOOKUP(Table2[[#This Row],[AgentID]],Sales_Agents!$A$1:C400,3)</f>
        <v>South</v>
      </c>
    </row>
    <row r="398" spans="1:14" x14ac:dyDescent="0.25">
      <c r="A398">
        <v>397</v>
      </c>
      <c r="B398" s="1">
        <v>45357</v>
      </c>
      <c r="C398" s="8" t="str">
        <f>TEXT(Table2[[#This Row],[OrderDate]],"mmm")</f>
        <v>Mar</v>
      </c>
      <c r="D398">
        <v>5</v>
      </c>
      <c r="E398">
        <v>3</v>
      </c>
      <c r="F398">
        <v>4</v>
      </c>
      <c r="G398" s="3">
        <v>63462</v>
      </c>
      <c r="H398" s="3">
        <f t="shared" si="12"/>
        <v>253848</v>
      </c>
      <c r="I398" s="5">
        <f>Table2[[#This Row],[Total Revenue]]*0.3</f>
        <v>76154.399999999994</v>
      </c>
      <c r="J398" s="6">
        <f t="shared" si="13"/>
        <v>0.3</v>
      </c>
      <c r="K398" t="str">
        <f>VLOOKUP(Table2[[#This Row],[ProductID]],Products!$A$1:C402,2)</f>
        <v>Monitor</v>
      </c>
      <c r="L398" t="str">
        <f>VLOOKUP(D398,Products!$A$1:C402,3)</f>
        <v>Accessories</v>
      </c>
      <c r="M398" t="str">
        <f>VLOOKUP(Table2[[#This Row],[AgentID]],Sales_Agents!$A$1:C401,2)</f>
        <v>Chinedu</v>
      </c>
      <c r="N398" t="str">
        <f>VLOOKUP(Table2[[#This Row],[AgentID]],Sales_Agents!$A$1:C401,3)</f>
        <v>South</v>
      </c>
    </row>
    <row r="399" spans="1:14" x14ac:dyDescent="0.25">
      <c r="A399">
        <v>398</v>
      </c>
      <c r="B399" s="1">
        <v>45628</v>
      </c>
      <c r="C399" s="8" t="str">
        <f>TEXT(Table2[[#This Row],[OrderDate]],"mmm")</f>
        <v>Dec</v>
      </c>
      <c r="D399">
        <v>2</v>
      </c>
      <c r="E399">
        <v>4</v>
      </c>
      <c r="F399">
        <v>15</v>
      </c>
      <c r="G399" s="3">
        <v>363480</v>
      </c>
      <c r="H399" s="3">
        <f t="shared" si="12"/>
        <v>5452200</v>
      </c>
      <c r="I399" s="5">
        <f>Table2[[#This Row],[Total Revenue]]*0.3</f>
        <v>1635660</v>
      </c>
      <c r="J399" s="6">
        <f t="shared" si="13"/>
        <v>0.3</v>
      </c>
      <c r="K399" t="str">
        <f>VLOOKUP(Table2[[#This Row],[ProductID]],Products!$A$1:C403,2)</f>
        <v>Phone</v>
      </c>
      <c r="L399" t="str">
        <f>VLOOKUP(D399,Products!$A$1:C403,3)</f>
        <v>Electronics</v>
      </c>
      <c r="M399" t="str">
        <f>VLOOKUP(Table2[[#This Row],[AgentID]],Sales_Agents!$A$1:C402,2)</f>
        <v>Zainab</v>
      </c>
      <c r="N399" t="str">
        <f>VLOOKUP(Table2[[#This Row],[AgentID]],Sales_Agents!$A$1:C402,3)</f>
        <v>North</v>
      </c>
    </row>
    <row r="400" spans="1:14" x14ac:dyDescent="0.25">
      <c r="A400">
        <v>399</v>
      </c>
      <c r="B400" s="1">
        <v>45383</v>
      </c>
      <c r="C400" s="8" t="str">
        <f>TEXT(Table2[[#This Row],[OrderDate]],"mmm")</f>
        <v>Apr</v>
      </c>
      <c r="D400">
        <v>2</v>
      </c>
      <c r="E400">
        <v>1</v>
      </c>
      <c r="F400">
        <v>14</v>
      </c>
      <c r="G400" s="3">
        <v>238759</v>
      </c>
      <c r="H400" s="3">
        <f t="shared" si="12"/>
        <v>3342626</v>
      </c>
      <c r="I400" s="5">
        <f>Table2[[#This Row],[Total Revenue]]*0.3</f>
        <v>1002787.7999999999</v>
      </c>
      <c r="J400" s="6">
        <f t="shared" si="13"/>
        <v>0.3</v>
      </c>
      <c r="K400" t="str">
        <f>VLOOKUP(Table2[[#This Row],[ProductID]],Products!$A$1:C404,2)</f>
        <v>Phone</v>
      </c>
      <c r="L400" t="str">
        <f>VLOOKUP(D400,Products!$A$1:C404,3)</f>
        <v>Electronics</v>
      </c>
      <c r="M400" t="str">
        <f>VLOOKUP(Table2[[#This Row],[AgentID]],Sales_Agents!$A$1:C403,2)</f>
        <v>Akin</v>
      </c>
      <c r="N400" t="str">
        <f>VLOOKUP(Table2[[#This Row],[AgentID]],Sales_Agents!$A$1:C403,3)</f>
        <v>West</v>
      </c>
    </row>
    <row r="401" spans="1:14" x14ac:dyDescent="0.25">
      <c r="A401">
        <v>400</v>
      </c>
      <c r="B401" s="1">
        <v>45652</v>
      </c>
      <c r="C401" s="8" t="str">
        <f>TEXT(Table2[[#This Row],[OrderDate]],"mmm")</f>
        <v>Dec</v>
      </c>
      <c r="D401">
        <v>2</v>
      </c>
      <c r="E401">
        <v>2</v>
      </c>
      <c r="F401">
        <v>14</v>
      </c>
      <c r="G401" s="3">
        <v>209777</v>
      </c>
      <c r="H401" s="3">
        <f t="shared" si="12"/>
        <v>2936878</v>
      </c>
      <c r="I401" s="5">
        <f>Table2[[#This Row],[Total Revenue]]*0.3</f>
        <v>881063.4</v>
      </c>
      <c r="J401" s="6">
        <f t="shared" si="13"/>
        <v>0.3</v>
      </c>
      <c r="K401" t="str">
        <f>VLOOKUP(Table2[[#This Row],[ProductID]],Products!$A$1:C405,2)</f>
        <v>Phone</v>
      </c>
      <c r="L401" t="str">
        <f>VLOOKUP(D401,Products!$A$1:C405,3)</f>
        <v>Electronics</v>
      </c>
      <c r="M401" t="str">
        <f>VLOOKUP(Table2[[#This Row],[AgentID]],Sales_Agents!$A$1:C404,2)</f>
        <v>Blessing</v>
      </c>
      <c r="N401" t="str">
        <f>VLOOKUP(Table2[[#This Row],[AgentID]],Sales_Agents!$A$1:C404,3)</f>
        <v>East</v>
      </c>
    </row>
    <row r="402" spans="1:14" x14ac:dyDescent="0.25">
      <c r="A402">
        <v>401</v>
      </c>
      <c r="B402" s="1">
        <v>45389</v>
      </c>
      <c r="C402" s="8" t="str">
        <f>TEXT(Table2[[#This Row],[OrderDate]],"mmm")</f>
        <v>Apr</v>
      </c>
      <c r="D402">
        <v>1</v>
      </c>
      <c r="E402">
        <v>2</v>
      </c>
      <c r="F402">
        <v>12</v>
      </c>
      <c r="G402" s="3">
        <v>337979</v>
      </c>
      <c r="H402" s="3">
        <f t="shared" si="12"/>
        <v>4055748</v>
      </c>
      <c r="I402" s="5">
        <f>Table2[[#This Row],[Total Revenue]]*0.3</f>
        <v>1216724.3999999999</v>
      </c>
      <c r="J402" s="6">
        <f t="shared" si="13"/>
        <v>0.3</v>
      </c>
      <c r="K402" t="str">
        <f>VLOOKUP(Table2[[#This Row],[ProductID]],Products!$A$1:C406,2)</f>
        <v>Laptop</v>
      </c>
      <c r="L402" t="str">
        <f>VLOOKUP(D402,Products!$A$1:C406,3)</f>
        <v>Electronics</v>
      </c>
      <c r="M402" t="str">
        <f>VLOOKUP(Table2[[#This Row],[AgentID]],Sales_Agents!$A$1:C405,2)</f>
        <v>Blessing</v>
      </c>
      <c r="N402" t="str">
        <f>VLOOKUP(Table2[[#This Row],[AgentID]],Sales_Agents!$A$1:C405,3)</f>
        <v>East</v>
      </c>
    </row>
    <row r="403" spans="1:14" x14ac:dyDescent="0.25">
      <c r="A403">
        <v>402</v>
      </c>
      <c r="B403" s="1">
        <v>45374</v>
      </c>
      <c r="C403" s="8" t="str">
        <f>TEXT(Table2[[#This Row],[OrderDate]],"mmm")</f>
        <v>Mar</v>
      </c>
      <c r="D403">
        <v>5</v>
      </c>
      <c r="E403">
        <v>2</v>
      </c>
      <c r="F403">
        <v>16</v>
      </c>
      <c r="G403" s="3">
        <v>97113</v>
      </c>
      <c r="H403" s="3">
        <f t="shared" si="12"/>
        <v>1553808</v>
      </c>
      <c r="I403" s="5">
        <f>Table2[[#This Row],[Total Revenue]]*0.3</f>
        <v>466142.39999999997</v>
      </c>
      <c r="J403" s="6">
        <f t="shared" si="13"/>
        <v>0.3</v>
      </c>
      <c r="K403" t="str">
        <f>VLOOKUP(Table2[[#This Row],[ProductID]],Products!$A$1:C407,2)</f>
        <v>Monitor</v>
      </c>
      <c r="L403" t="str">
        <f>VLOOKUP(D403,Products!$A$1:C407,3)</f>
        <v>Accessories</v>
      </c>
      <c r="M403" t="str">
        <f>VLOOKUP(Table2[[#This Row],[AgentID]],Sales_Agents!$A$1:C406,2)</f>
        <v>Blessing</v>
      </c>
      <c r="N403" t="str">
        <f>VLOOKUP(Table2[[#This Row],[AgentID]],Sales_Agents!$A$1:C406,3)</f>
        <v>East</v>
      </c>
    </row>
    <row r="404" spans="1:14" x14ac:dyDescent="0.25">
      <c r="A404">
        <v>403</v>
      </c>
      <c r="B404" s="1">
        <v>45633</v>
      </c>
      <c r="C404" s="8" t="str">
        <f>TEXT(Table2[[#This Row],[OrderDate]],"mmm")</f>
        <v>Dec</v>
      </c>
      <c r="D404">
        <v>3</v>
      </c>
      <c r="E404">
        <v>4</v>
      </c>
      <c r="F404">
        <v>11</v>
      </c>
      <c r="G404" s="3">
        <v>133651</v>
      </c>
      <c r="H404" s="3">
        <f t="shared" si="12"/>
        <v>1470161</v>
      </c>
      <c r="I404" s="5">
        <f>Table2[[#This Row],[Total Revenue]]*0.3</f>
        <v>441048.3</v>
      </c>
      <c r="J404" s="6">
        <f t="shared" si="13"/>
        <v>0.3</v>
      </c>
      <c r="K404" t="str">
        <f>VLOOKUP(Table2[[#This Row],[ProductID]],Products!$A$1:C408,2)</f>
        <v>Tablet</v>
      </c>
      <c r="L404" t="str">
        <f>VLOOKUP(D404,Products!$A$1:C408,3)</f>
        <v>Electronics</v>
      </c>
      <c r="M404" t="str">
        <f>VLOOKUP(Table2[[#This Row],[AgentID]],Sales_Agents!$A$1:C407,2)</f>
        <v>Zainab</v>
      </c>
      <c r="N404" t="str">
        <f>VLOOKUP(Table2[[#This Row],[AgentID]],Sales_Agents!$A$1:C407,3)</f>
        <v>North</v>
      </c>
    </row>
    <row r="405" spans="1:14" x14ac:dyDescent="0.25">
      <c r="A405">
        <v>404</v>
      </c>
      <c r="B405" s="1">
        <v>45491</v>
      </c>
      <c r="C405" s="8" t="str">
        <f>TEXT(Table2[[#This Row],[OrderDate]],"mmm")</f>
        <v>Jul</v>
      </c>
      <c r="D405">
        <v>1</v>
      </c>
      <c r="E405">
        <v>2</v>
      </c>
      <c r="F405">
        <v>1</v>
      </c>
      <c r="G405" s="3">
        <v>323511</v>
      </c>
      <c r="H405" s="3">
        <f t="shared" si="12"/>
        <v>323511</v>
      </c>
      <c r="I405" s="5">
        <f>Table2[[#This Row],[Total Revenue]]*0.3</f>
        <v>97053.3</v>
      </c>
      <c r="J405" s="6">
        <f t="shared" si="13"/>
        <v>0.3</v>
      </c>
      <c r="K405" t="str">
        <f>VLOOKUP(Table2[[#This Row],[ProductID]],Products!$A$1:C409,2)</f>
        <v>Laptop</v>
      </c>
      <c r="L405" t="str">
        <f>VLOOKUP(D405,Products!$A$1:C409,3)</f>
        <v>Electronics</v>
      </c>
      <c r="M405" t="str">
        <f>VLOOKUP(Table2[[#This Row],[AgentID]],Sales_Agents!$A$1:C408,2)</f>
        <v>Blessing</v>
      </c>
      <c r="N405" t="str">
        <f>VLOOKUP(Table2[[#This Row],[AgentID]],Sales_Agents!$A$1:C408,3)</f>
        <v>East</v>
      </c>
    </row>
    <row r="406" spans="1:14" x14ac:dyDescent="0.25">
      <c r="A406">
        <v>405</v>
      </c>
      <c r="B406" s="1">
        <v>45467</v>
      </c>
      <c r="C406" s="8" t="str">
        <f>TEXT(Table2[[#This Row],[OrderDate]],"mmm")</f>
        <v>Jun</v>
      </c>
      <c r="D406">
        <v>3</v>
      </c>
      <c r="E406">
        <v>4</v>
      </c>
      <c r="F406">
        <v>20</v>
      </c>
      <c r="G406" s="3">
        <v>205840</v>
      </c>
      <c r="H406" s="3">
        <f t="shared" si="12"/>
        <v>4116800</v>
      </c>
      <c r="I406" s="5">
        <f>Table2[[#This Row],[Total Revenue]]*0.3</f>
        <v>1235040</v>
      </c>
      <c r="J406" s="6">
        <f t="shared" si="13"/>
        <v>0.3</v>
      </c>
      <c r="K406" t="str">
        <f>VLOOKUP(Table2[[#This Row],[ProductID]],Products!$A$1:C410,2)</f>
        <v>Tablet</v>
      </c>
      <c r="L406" t="str">
        <f>VLOOKUP(D406,Products!$A$1:C410,3)</f>
        <v>Electronics</v>
      </c>
      <c r="M406" t="str">
        <f>VLOOKUP(Table2[[#This Row],[AgentID]],Sales_Agents!$A$1:C409,2)</f>
        <v>Zainab</v>
      </c>
      <c r="N406" t="str">
        <f>VLOOKUP(Table2[[#This Row],[AgentID]],Sales_Agents!$A$1:C409,3)</f>
        <v>North</v>
      </c>
    </row>
    <row r="407" spans="1:14" x14ac:dyDescent="0.25">
      <c r="A407">
        <v>406</v>
      </c>
      <c r="B407" s="1">
        <v>45509</v>
      </c>
      <c r="C407" s="8" t="str">
        <f>TEXT(Table2[[#This Row],[OrderDate]],"mmm")</f>
        <v>Aug</v>
      </c>
      <c r="D407">
        <v>4</v>
      </c>
      <c r="E407">
        <v>3</v>
      </c>
      <c r="F407">
        <v>8</v>
      </c>
      <c r="G407" s="3">
        <v>168578</v>
      </c>
      <c r="H407" s="3">
        <f t="shared" si="12"/>
        <v>1348624</v>
      </c>
      <c r="I407" s="5">
        <f>Table2[[#This Row],[Total Revenue]]*0.3</f>
        <v>404587.2</v>
      </c>
      <c r="J407" s="6">
        <f t="shared" si="13"/>
        <v>0.3</v>
      </c>
      <c r="K407" t="str">
        <f>VLOOKUP(Table2[[#This Row],[ProductID]],Products!$A$1:C411,2)</f>
        <v>Printer</v>
      </c>
      <c r="L407" t="str">
        <f>VLOOKUP(D407,Products!$A$1:C411,3)</f>
        <v>Accessories</v>
      </c>
      <c r="M407" t="str">
        <f>VLOOKUP(Table2[[#This Row],[AgentID]],Sales_Agents!$A$1:C410,2)</f>
        <v>Chinedu</v>
      </c>
      <c r="N407" t="str">
        <f>VLOOKUP(Table2[[#This Row],[AgentID]],Sales_Agents!$A$1:C410,3)</f>
        <v>South</v>
      </c>
    </row>
    <row r="408" spans="1:14" x14ac:dyDescent="0.25">
      <c r="A408">
        <v>407</v>
      </c>
      <c r="B408" s="1">
        <v>45299</v>
      </c>
      <c r="C408" s="8" t="str">
        <f>TEXT(Table2[[#This Row],[OrderDate]],"mmm")</f>
        <v>Jan</v>
      </c>
      <c r="D408">
        <v>4</v>
      </c>
      <c r="E408">
        <v>4</v>
      </c>
      <c r="F408">
        <v>8</v>
      </c>
      <c r="G408" s="3">
        <v>282557</v>
      </c>
      <c r="H408" s="3">
        <f t="shared" si="12"/>
        <v>2260456</v>
      </c>
      <c r="I408" s="5">
        <f>Table2[[#This Row],[Total Revenue]]*0.3</f>
        <v>678136.79999999993</v>
      </c>
      <c r="J408" s="6">
        <f t="shared" si="13"/>
        <v>0.3</v>
      </c>
      <c r="K408" t="str">
        <f>VLOOKUP(Table2[[#This Row],[ProductID]],Products!$A$1:C412,2)</f>
        <v>Printer</v>
      </c>
      <c r="L408" t="str">
        <f>VLOOKUP(D408,Products!$A$1:C412,3)</f>
        <v>Accessories</v>
      </c>
      <c r="M408" t="str">
        <f>VLOOKUP(Table2[[#This Row],[AgentID]],Sales_Agents!$A$1:C411,2)</f>
        <v>Zainab</v>
      </c>
      <c r="N408" t="str">
        <f>VLOOKUP(Table2[[#This Row],[AgentID]],Sales_Agents!$A$1:C411,3)</f>
        <v>North</v>
      </c>
    </row>
    <row r="409" spans="1:14" x14ac:dyDescent="0.25">
      <c r="A409">
        <v>408</v>
      </c>
      <c r="B409" s="1">
        <v>45350</v>
      </c>
      <c r="C409" s="8" t="str">
        <f>TEXT(Table2[[#This Row],[OrderDate]],"mmm")</f>
        <v>Feb</v>
      </c>
      <c r="D409">
        <v>4</v>
      </c>
      <c r="E409">
        <v>1</v>
      </c>
      <c r="F409">
        <v>16</v>
      </c>
      <c r="G409" s="3">
        <v>162542</v>
      </c>
      <c r="H409" s="3">
        <f t="shared" si="12"/>
        <v>2600672</v>
      </c>
      <c r="I409" s="5">
        <f>Table2[[#This Row],[Total Revenue]]*0.3</f>
        <v>780201.6</v>
      </c>
      <c r="J409" s="6">
        <f t="shared" si="13"/>
        <v>0.3</v>
      </c>
      <c r="K409" t="str">
        <f>VLOOKUP(Table2[[#This Row],[ProductID]],Products!$A$1:C413,2)</f>
        <v>Printer</v>
      </c>
      <c r="L409" t="str">
        <f>VLOOKUP(D409,Products!$A$1:C413,3)</f>
        <v>Accessories</v>
      </c>
      <c r="M409" t="str">
        <f>VLOOKUP(Table2[[#This Row],[AgentID]],Sales_Agents!$A$1:C412,2)</f>
        <v>Akin</v>
      </c>
      <c r="N409" t="str">
        <f>VLOOKUP(Table2[[#This Row],[AgentID]],Sales_Agents!$A$1:C412,3)</f>
        <v>West</v>
      </c>
    </row>
    <row r="410" spans="1:14" x14ac:dyDescent="0.25">
      <c r="A410">
        <v>409</v>
      </c>
      <c r="B410" s="1">
        <v>45432</v>
      </c>
      <c r="C410" s="8" t="str">
        <f>TEXT(Table2[[#This Row],[OrderDate]],"mmm")</f>
        <v>May</v>
      </c>
      <c r="D410">
        <v>1</v>
      </c>
      <c r="E410">
        <v>2</v>
      </c>
      <c r="F410">
        <v>8</v>
      </c>
      <c r="G410" s="3">
        <v>192538</v>
      </c>
      <c r="H410" s="3">
        <f t="shared" si="12"/>
        <v>1540304</v>
      </c>
      <c r="I410" s="5">
        <f>Table2[[#This Row],[Total Revenue]]*0.3</f>
        <v>462091.2</v>
      </c>
      <c r="J410" s="6">
        <f t="shared" si="13"/>
        <v>0.3</v>
      </c>
      <c r="K410" t="str">
        <f>VLOOKUP(Table2[[#This Row],[ProductID]],Products!$A$1:C414,2)</f>
        <v>Laptop</v>
      </c>
      <c r="L410" t="str">
        <f>VLOOKUP(D410,Products!$A$1:C414,3)</f>
        <v>Electronics</v>
      </c>
      <c r="M410" t="str">
        <f>VLOOKUP(Table2[[#This Row],[AgentID]],Sales_Agents!$A$1:C413,2)</f>
        <v>Blessing</v>
      </c>
      <c r="N410" t="str">
        <f>VLOOKUP(Table2[[#This Row],[AgentID]],Sales_Agents!$A$1:C413,3)</f>
        <v>East</v>
      </c>
    </row>
    <row r="411" spans="1:14" x14ac:dyDescent="0.25">
      <c r="A411">
        <v>410</v>
      </c>
      <c r="B411" s="1">
        <v>45526</v>
      </c>
      <c r="C411" s="8" t="str">
        <f>TEXT(Table2[[#This Row],[OrderDate]],"mmm")</f>
        <v>Aug</v>
      </c>
      <c r="D411">
        <v>3</v>
      </c>
      <c r="E411">
        <v>3</v>
      </c>
      <c r="F411">
        <v>9</v>
      </c>
      <c r="G411" s="3">
        <v>136868</v>
      </c>
      <c r="H411" s="3">
        <f t="shared" si="12"/>
        <v>1231812</v>
      </c>
      <c r="I411" s="5">
        <f>Table2[[#This Row],[Total Revenue]]*0.3</f>
        <v>369543.6</v>
      </c>
      <c r="J411" s="6">
        <f t="shared" si="13"/>
        <v>0.3</v>
      </c>
      <c r="K411" t="str">
        <f>VLOOKUP(Table2[[#This Row],[ProductID]],Products!$A$1:C415,2)</f>
        <v>Tablet</v>
      </c>
      <c r="L411" t="str">
        <f>VLOOKUP(D411,Products!$A$1:C415,3)</f>
        <v>Electronics</v>
      </c>
      <c r="M411" t="str">
        <f>VLOOKUP(Table2[[#This Row],[AgentID]],Sales_Agents!$A$1:C414,2)</f>
        <v>Chinedu</v>
      </c>
      <c r="N411" t="str">
        <f>VLOOKUP(Table2[[#This Row],[AgentID]],Sales_Agents!$A$1:C414,3)</f>
        <v>South</v>
      </c>
    </row>
    <row r="412" spans="1:14" x14ac:dyDescent="0.25">
      <c r="A412">
        <v>411</v>
      </c>
      <c r="B412" s="1">
        <v>45576</v>
      </c>
      <c r="C412" s="8" t="str">
        <f>TEXT(Table2[[#This Row],[OrderDate]],"mmm")</f>
        <v>Oct</v>
      </c>
      <c r="D412">
        <v>2</v>
      </c>
      <c r="E412">
        <v>1</v>
      </c>
      <c r="F412">
        <v>12</v>
      </c>
      <c r="G412" s="3">
        <v>85672</v>
      </c>
      <c r="H412" s="3">
        <f t="shared" si="12"/>
        <v>1028064</v>
      </c>
      <c r="I412" s="5">
        <f>Table2[[#This Row],[Total Revenue]]*0.3</f>
        <v>308419.20000000001</v>
      </c>
      <c r="J412" s="6">
        <f t="shared" si="13"/>
        <v>0.3</v>
      </c>
      <c r="K412" t="str">
        <f>VLOOKUP(Table2[[#This Row],[ProductID]],Products!$A$1:C416,2)</f>
        <v>Phone</v>
      </c>
      <c r="L412" t="str">
        <f>VLOOKUP(D412,Products!$A$1:C416,3)</f>
        <v>Electronics</v>
      </c>
      <c r="M412" t="str">
        <f>VLOOKUP(Table2[[#This Row],[AgentID]],Sales_Agents!$A$1:C415,2)</f>
        <v>Akin</v>
      </c>
      <c r="N412" t="str">
        <f>VLOOKUP(Table2[[#This Row],[AgentID]],Sales_Agents!$A$1:C415,3)</f>
        <v>West</v>
      </c>
    </row>
    <row r="413" spans="1:14" x14ac:dyDescent="0.25">
      <c r="A413">
        <v>412</v>
      </c>
      <c r="B413" s="1">
        <v>45643</v>
      </c>
      <c r="C413" s="8" t="str">
        <f>TEXT(Table2[[#This Row],[OrderDate]],"mmm")</f>
        <v>Dec</v>
      </c>
      <c r="D413">
        <v>5</v>
      </c>
      <c r="E413">
        <v>3</v>
      </c>
      <c r="F413">
        <v>10</v>
      </c>
      <c r="G413" s="3">
        <v>381204</v>
      </c>
      <c r="H413" s="3">
        <f t="shared" si="12"/>
        <v>3812040</v>
      </c>
      <c r="I413" s="5">
        <f>Table2[[#This Row],[Total Revenue]]*0.3</f>
        <v>1143612</v>
      </c>
      <c r="J413" s="6">
        <f t="shared" si="13"/>
        <v>0.3</v>
      </c>
      <c r="K413" t="str">
        <f>VLOOKUP(Table2[[#This Row],[ProductID]],Products!$A$1:C417,2)</f>
        <v>Monitor</v>
      </c>
      <c r="L413" t="str">
        <f>VLOOKUP(D413,Products!$A$1:C417,3)</f>
        <v>Accessories</v>
      </c>
      <c r="M413" t="str">
        <f>VLOOKUP(Table2[[#This Row],[AgentID]],Sales_Agents!$A$1:C416,2)</f>
        <v>Chinedu</v>
      </c>
      <c r="N413" t="str">
        <f>VLOOKUP(Table2[[#This Row],[AgentID]],Sales_Agents!$A$1:C416,3)</f>
        <v>South</v>
      </c>
    </row>
    <row r="414" spans="1:14" x14ac:dyDescent="0.25">
      <c r="A414">
        <v>413</v>
      </c>
      <c r="B414" s="1">
        <v>45474</v>
      </c>
      <c r="C414" s="8" t="str">
        <f>TEXT(Table2[[#This Row],[OrderDate]],"mmm")</f>
        <v>Jul</v>
      </c>
      <c r="D414">
        <v>4</v>
      </c>
      <c r="E414">
        <v>2</v>
      </c>
      <c r="F414">
        <v>1</v>
      </c>
      <c r="G414" s="3">
        <v>76885</v>
      </c>
      <c r="H414" s="3">
        <f t="shared" si="12"/>
        <v>76885</v>
      </c>
      <c r="I414" s="5">
        <f>Table2[[#This Row],[Total Revenue]]*0.3</f>
        <v>23065.5</v>
      </c>
      <c r="J414" s="6">
        <f t="shared" si="13"/>
        <v>0.3</v>
      </c>
      <c r="K414" t="str">
        <f>VLOOKUP(Table2[[#This Row],[ProductID]],Products!$A$1:C418,2)</f>
        <v>Printer</v>
      </c>
      <c r="L414" t="str">
        <f>VLOOKUP(D414,Products!$A$1:C418,3)</f>
        <v>Accessories</v>
      </c>
      <c r="M414" t="str">
        <f>VLOOKUP(Table2[[#This Row],[AgentID]],Sales_Agents!$A$1:C417,2)</f>
        <v>Blessing</v>
      </c>
      <c r="N414" t="str">
        <f>VLOOKUP(Table2[[#This Row],[AgentID]],Sales_Agents!$A$1:C417,3)</f>
        <v>East</v>
      </c>
    </row>
    <row r="415" spans="1:14" x14ac:dyDescent="0.25">
      <c r="A415">
        <v>414</v>
      </c>
      <c r="B415" s="1">
        <v>45522</v>
      </c>
      <c r="C415" s="8" t="str">
        <f>TEXT(Table2[[#This Row],[OrderDate]],"mmm")</f>
        <v>Aug</v>
      </c>
      <c r="D415">
        <v>5</v>
      </c>
      <c r="E415">
        <v>3</v>
      </c>
      <c r="F415">
        <v>5</v>
      </c>
      <c r="G415" s="3">
        <v>101497</v>
      </c>
      <c r="H415" s="3">
        <f t="shared" si="12"/>
        <v>507485</v>
      </c>
      <c r="I415" s="5">
        <f>Table2[[#This Row],[Total Revenue]]*0.3</f>
        <v>152245.5</v>
      </c>
      <c r="J415" s="6">
        <f t="shared" si="13"/>
        <v>0.3</v>
      </c>
      <c r="K415" t="str">
        <f>VLOOKUP(Table2[[#This Row],[ProductID]],Products!$A$1:C419,2)</f>
        <v>Monitor</v>
      </c>
      <c r="L415" t="str">
        <f>VLOOKUP(D415,Products!$A$1:C419,3)</f>
        <v>Accessories</v>
      </c>
      <c r="M415" t="str">
        <f>VLOOKUP(Table2[[#This Row],[AgentID]],Sales_Agents!$A$1:C418,2)</f>
        <v>Chinedu</v>
      </c>
      <c r="N415" t="str">
        <f>VLOOKUP(Table2[[#This Row],[AgentID]],Sales_Agents!$A$1:C418,3)</f>
        <v>South</v>
      </c>
    </row>
    <row r="416" spans="1:14" x14ac:dyDescent="0.25">
      <c r="A416">
        <v>415</v>
      </c>
      <c r="B416" s="1">
        <v>45449</v>
      </c>
      <c r="C416" s="8" t="str">
        <f>TEXT(Table2[[#This Row],[OrderDate]],"mmm")</f>
        <v>Jun</v>
      </c>
      <c r="D416">
        <v>3</v>
      </c>
      <c r="E416">
        <v>3</v>
      </c>
      <c r="F416">
        <v>14</v>
      </c>
      <c r="G416" s="3">
        <v>208498</v>
      </c>
      <c r="H416" s="3">
        <f t="shared" si="12"/>
        <v>2918972</v>
      </c>
      <c r="I416" s="5">
        <f>Table2[[#This Row],[Total Revenue]]*0.3</f>
        <v>875691.6</v>
      </c>
      <c r="J416" s="6">
        <f t="shared" si="13"/>
        <v>0.3</v>
      </c>
      <c r="K416" t="str">
        <f>VLOOKUP(Table2[[#This Row],[ProductID]],Products!$A$1:C420,2)</f>
        <v>Tablet</v>
      </c>
      <c r="L416" t="str">
        <f>VLOOKUP(D416,Products!$A$1:C420,3)</f>
        <v>Electronics</v>
      </c>
      <c r="M416" t="str">
        <f>VLOOKUP(Table2[[#This Row],[AgentID]],Sales_Agents!$A$1:C419,2)</f>
        <v>Chinedu</v>
      </c>
      <c r="N416" t="str">
        <f>VLOOKUP(Table2[[#This Row],[AgentID]],Sales_Agents!$A$1:C419,3)</f>
        <v>South</v>
      </c>
    </row>
    <row r="417" spans="1:14" x14ac:dyDescent="0.25">
      <c r="A417">
        <v>416</v>
      </c>
      <c r="B417" s="1">
        <v>45401</v>
      </c>
      <c r="C417" s="8" t="str">
        <f>TEXT(Table2[[#This Row],[OrderDate]],"mmm")</f>
        <v>Apr</v>
      </c>
      <c r="D417">
        <v>3</v>
      </c>
      <c r="E417">
        <v>1</v>
      </c>
      <c r="F417">
        <v>3</v>
      </c>
      <c r="G417" s="3">
        <v>109166</v>
      </c>
      <c r="H417" s="3">
        <f t="shared" si="12"/>
        <v>327498</v>
      </c>
      <c r="I417" s="5">
        <f>Table2[[#This Row],[Total Revenue]]*0.3</f>
        <v>98249.4</v>
      </c>
      <c r="J417" s="6">
        <f t="shared" si="13"/>
        <v>0.3</v>
      </c>
      <c r="K417" t="str">
        <f>VLOOKUP(Table2[[#This Row],[ProductID]],Products!$A$1:C421,2)</f>
        <v>Tablet</v>
      </c>
      <c r="L417" t="str">
        <f>VLOOKUP(D417,Products!$A$1:C421,3)</f>
        <v>Electronics</v>
      </c>
      <c r="M417" t="str">
        <f>VLOOKUP(Table2[[#This Row],[AgentID]],Sales_Agents!$A$1:C420,2)</f>
        <v>Akin</v>
      </c>
      <c r="N417" t="str">
        <f>VLOOKUP(Table2[[#This Row],[AgentID]],Sales_Agents!$A$1:C420,3)</f>
        <v>West</v>
      </c>
    </row>
    <row r="418" spans="1:14" x14ac:dyDescent="0.25">
      <c r="A418">
        <v>417</v>
      </c>
      <c r="B418" s="1">
        <v>45442</v>
      </c>
      <c r="C418" s="8" t="str">
        <f>TEXT(Table2[[#This Row],[OrderDate]],"mmm")</f>
        <v>May</v>
      </c>
      <c r="D418">
        <v>1</v>
      </c>
      <c r="E418">
        <v>4</v>
      </c>
      <c r="F418">
        <v>14</v>
      </c>
      <c r="G418" s="3">
        <v>273934</v>
      </c>
      <c r="H418" s="3">
        <f t="shared" si="12"/>
        <v>3835076</v>
      </c>
      <c r="I418" s="5">
        <f>Table2[[#This Row],[Total Revenue]]*0.3</f>
        <v>1150522.8</v>
      </c>
      <c r="J418" s="6">
        <f t="shared" si="13"/>
        <v>0.3</v>
      </c>
      <c r="K418" t="str">
        <f>VLOOKUP(Table2[[#This Row],[ProductID]],Products!$A$1:C422,2)</f>
        <v>Laptop</v>
      </c>
      <c r="L418" t="str">
        <f>VLOOKUP(D418,Products!$A$1:C422,3)</f>
        <v>Electronics</v>
      </c>
      <c r="M418" t="str">
        <f>VLOOKUP(Table2[[#This Row],[AgentID]],Sales_Agents!$A$1:C421,2)</f>
        <v>Zainab</v>
      </c>
      <c r="N418" t="str">
        <f>VLOOKUP(Table2[[#This Row],[AgentID]],Sales_Agents!$A$1:C421,3)</f>
        <v>North</v>
      </c>
    </row>
    <row r="419" spans="1:14" x14ac:dyDescent="0.25">
      <c r="A419">
        <v>418</v>
      </c>
      <c r="B419" s="1">
        <v>45304</v>
      </c>
      <c r="C419" s="8" t="str">
        <f>TEXT(Table2[[#This Row],[OrderDate]],"mmm")</f>
        <v>Jan</v>
      </c>
      <c r="D419">
        <v>3</v>
      </c>
      <c r="E419">
        <v>3</v>
      </c>
      <c r="F419">
        <v>8</v>
      </c>
      <c r="G419" s="3">
        <v>140512</v>
      </c>
      <c r="H419" s="3">
        <f t="shared" si="12"/>
        <v>1124096</v>
      </c>
      <c r="I419" s="5">
        <f>Table2[[#This Row],[Total Revenue]]*0.3</f>
        <v>337228.79999999999</v>
      </c>
      <c r="J419" s="6">
        <f t="shared" si="13"/>
        <v>0.3</v>
      </c>
      <c r="K419" t="str">
        <f>VLOOKUP(Table2[[#This Row],[ProductID]],Products!$A$1:C423,2)</f>
        <v>Tablet</v>
      </c>
      <c r="L419" t="str">
        <f>VLOOKUP(D419,Products!$A$1:C423,3)</f>
        <v>Electronics</v>
      </c>
      <c r="M419" t="str">
        <f>VLOOKUP(Table2[[#This Row],[AgentID]],Sales_Agents!$A$1:C422,2)</f>
        <v>Chinedu</v>
      </c>
      <c r="N419" t="str">
        <f>VLOOKUP(Table2[[#This Row],[AgentID]],Sales_Agents!$A$1:C422,3)</f>
        <v>South</v>
      </c>
    </row>
    <row r="420" spans="1:14" x14ac:dyDescent="0.25">
      <c r="A420">
        <v>419</v>
      </c>
      <c r="B420" s="1">
        <v>45487</v>
      </c>
      <c r="C420" s="8" t="str">
        <f>TEXT(Table2[[#This Row],[OrderDate]],"mmm")</f>
        <v>Jul</v>
      </c>
      <c r="D420">
        <v>3</v>
      </c>
      <c r="E420">
        <v>2</v>
      </c>
      <c r="F420">
        <v>3</v>
      </c>
      <c r="G420" s="3">
        <v>100434</v>
      </c>
      <c r="H420" s="3">
        <f t="shared" si="12"/>
        <v>301302</v>
      </c>
      <c r="I420" s="5">
        <f>Table2[[#This Row],[Total Revenue]]*0.3</f>
        <v>90390.599999999991</v>
      </c>
      <c r="J420" s="6">
        <f t="shared" si="13"/>
        <v>0.3</v>
      </c>
      <c r="K420" t="str">
        <f>VLOOKUP(Table2[[#This Row],[ProductID]],Products!$A$1:C424,2)</f>
        <v>Tablet</v>
      </c>
      <c r="L420" t="str">
        <f>VLOOKUP(D420,Products!$A$1:C424,3)</f>
        <v>Electronics</v>
      </c>
      <c r="M420" t="str">
        <f>VLOOKUP(Table2[[#This Row],[AgentID]],Sales_Agents!$A$1:C423,2)</f>
        <v>Blessing</v>
      </c>
      <c r="N420" t="str">
        <f>VLOOKUP(Table2[[#This Row],[AgentID]],Sales_Agents!$A$1:C423,3)</f>
        <v>East</v>
      </c>
    </row>
    <row r="421" spans="1:14" x14ac:dyDescent="0.25">
      <c r="A421">
        <v>420</v>
      </c>
      <c r="B421" s="1">
        <v>45506</v>
      </c>
      <c r="C421" s="8" t="str">
        <f>TEXT(Table2[[#This Row],[OrderDate]],"mmm")</f>
        <v>Aug</v>
      </c>
      <c r="D421">
        <v>4</v>
      </c>
      <c r="E421">
        <v>1</v>
      </c>
      <c r="F421">
        <v>10</v>
      </c>
      <c r="G421" s="3">
        <v>196231</v>
      </c>
      <c r="H421" s="3">
        <f t="shared" si="12"/>
        <v>1962310</v>
      </c>
      <c r="I421" s="5">
        <f>Table2[[#This Row],[Total Revenue]]*0.3</f>
        <v>588693</v>
      </c>
      <c r="J421" s="6">
        <f t="shared" si="13"/>
        <v>0.3</v>
      </c>
      <c r="K421" t="str">
        <f>VLOOKUP(Table2[[#This Row],[ProductID]],Products!$A$1:C425,2)</f>
        <v>Printer</v>
      </c>
      <c r="L421" t="str">
        <f>VLOOKUP(D421,Products!$A$1:C425,3)</f>
        <v>Accessories</v>
      </c>
      <c r="M421" t="str">
        <f>VLOOKUP(Table2[[#This Row],[AgentID]],Sales_Agents!$A$1:C424,2)</f>
        <v>Akin</v>
      </c>
      <c r="N421" t="str">
        <f>VLOOKUP(Table2[[#This Row],[AgentID]],Sales_Agents!$A$1:C424,3)</f>
        <v>West</v>
      </c>
    </row>
    <row r="422" spans="1:14" x14ac:dyDescent="0.25">
      <c r="A422">
        <v>421</v>
      </c>
      <c r="B422" s="1">
        <v>45555</v>
      </c>
      <c r="C422" s="8" t="str">
        <f>TEXT(Table2[[#This Row],[OrderDate]],"mmm")</f>
        <v>Sept</v>
      </c>
      <c r="D422">
        <v>5</v>
      </c>
      <c r="E422">
        <v>2</v>
      </c>
      <c r="F422">
        <v>4</v>
      </c>
      <c r="G422" s="3">
        <v>119617</v>
      </c>
      <c r="H422" s="3">
        <f t="shared" si="12"/>
        <v>478468</v>
      </c>
      <c r="I422" s="5">
        <f>Table2[[#This Row],[Total Revenue]]*0.3</f>
        <v>143540.4</v>
      </c>
      <c r="J422" s="6">
        <f t="shared" si="13"/>
        <v>0.3</v>
      </c>
      <c r="K422" t="str">
        <f>VLOOKUP(Table2[[#This Row],[ProductID]],Products!$A$1:C426,2)</f>
        <v>Monitor</v>
      </c>
      <c r="L422" t="str">
        <f>VLOOKUP(D422,Products!$A$1:C426,3)</f>
        <v>Accessories</v>
      </c>
      <c r="M422" t="str">
        <f>VLOOKUP(Table2[[#This Row],[AgentID]],Sales_Agents!$A$1:C425,2)</f>
        <v>Blessing</v>
      </c>
      <c r="N422" t="str">
        <f>VLOOKUP(Table2[[#This Row],[AgentID]],Sales_Agents!$A$1:C425,3)</f>
        <v>East</v>
      </c>
    </row>
    <row r="423" spans="1:14" x14ac:dyDescent="0.25">
      <c r="A423">
        <v>422</v>
      </c>
      <c r="B423" s="1">
        <v>45336</v>
      </c>
      <c r="C423" s="8" t="str">
        <f>TEXT(Table2[[#This Row],[OrderDate]],"mmm")</f>
        <v>Feb</v>
      </c>
      <c r="D423">
        <v>1</v>
      </c>
      <c r="E423">
        <v>2</v>
      </c>
      <c r="F423">
        <v>10</v>
      </c>
      <c r="G423" s="3">
        <v>384888</v>
      </c>
      <c r="H423" s="3">
        <f t="shared" si="12"/>
        <v>3848880</v>
      </c>
      <c r="I423" s="5">
        <f>Table2[[#This Row],[Total Revenue]]*0.3</f>
        <v>1154664</v>
      </c>
      <c r="J423" s="6">
        <f t="shared" si="13"/>
        <v>0.3</v>
      </c>
      <c r="K423" t="str">
        <f>VLOOKUP(Table2[[#This Row],[ProductID]],Products!$A$1:C427,2)</f>
        <v>Laptop</v>
      </c>
      <c r="L423" t="str">
        <f>VLOOKUP(D423,Products!$A$1:C427,3)</f>
        <v>Electronics</v>
      </c>
      <c r="M423" t="str">
        <f>VLOOKUP(Table2[[#This Row],[AgentID]],Sales_Agents!$A$1:C426,2)</f>
        <v>Blessing</v>
      </c>
      <c r="N423" t="str">
        <f>VLOOKUP(Table2[[#This Row],[AgentID]],Sales_Agents!$A$1:C426,3)</f>
        <v>East</v>
      </c>
    </row>
    <row r="424" spans="1:14" x14ac:dyDescent="0.25">
      <c r="A424">
        <v>423</v>
      </c>
      <c r="B424" s="1">
        <v>45450</v>
      </c>
      <c r="C424" s="8" t="str">
        <f>TEXT(Table2[[#This Row],[OrderDate]],"mmm")</f>
        <v>Jun</v>
      </c>
      <c r="D424">
        <v>3</v>
      </c>
      <c r="E424">
        <v>1</v>
      </c>
      <c r="F424">
        <v>8</v>
      </c>
      <c r="G424" s="3">
        <v>184440</v>
      </c>
      <c r="H424" s="3">
        <f t="shared" si="12"/>
        <v>1475520</v>
      </c>
      <c r="I424" s="5">
        <f>Table2[[#This Row],[Total Revenue]]*0.3</f>
        <v>442656</v>
      </c>
      <c r="J424" s="6">
        <f t="shared" si="13"/>
        <v>0.3</v>
      </c>
      <c r="K424" t="str">
        <f>VLOOKUP(Table2[[#This Row],[ProductID]],Products!$A$1:C428,2)</f>
        <v>Tablet</v>
      </c>
      <c r="L424" t="str">
        <f>VLOOKUP(D424,Products!$A$1:C428,3)</f>
        <v>Electronics</v>
      </c>
      <c r="M424" t="str">
        <f>VLOOKUP(Table2[[#This Row],[AgentID]],Sales_Agents!$A$1:C427,2)</f>
        <v>Akin</v>
      </c>
      <c r="N424" t="str">
        <f>VLOOKUP(Table2[[#This Row],[AgentID]],Sales_Agents!$A$1:C427,3)</f>
        <v>West</v>
      </c>
    </row>
    <row r="425" spans="1:14" x14ac:dyDescent="0.25">
      <c r="A425">
        <v>424</v>
      </c>
      <c r="B425" s="1">
        <v>45404</v>
      </c>
      <c r="C425" s="8" t="str">
        <f>TEXT(Table2[[#This Row],[OrderDate]],"mmm")</f>
        <v>Apr</v>
      </c>
      <c r="D425">
        <v>4</v>
      </c>
      <c r="E425">
        <v>2</v>
      </c>
      <c r="F425">
        <v>20</v>
      </c>
      <c r="G425" s="3">
        <v>67721</v>
      </c>
      <c r="H425" s="3">
        <f t="shared" si="12"/>
        <v>1354420</v>
      </c>
      <c r="I425" s="5">
        <f>Table2[[#This Row],[Total Revenue]]*0.3</f>
        <v>406326</v>
      </c>
      <c r="J425" s="6">
        <f t="shared" si="13"/>
        <v>0.3</v>
      </c>
      <c r="K425" t="str">
        <f>VLOOKUP(Table2[[#This Row],[ProductID]],Products!$A$1:C429,2)</f>
        <v>Printer</v>
      </c>
      <c r="L425" t="str">
        <f>VLOOKUP(D425,Products!$A$1:C429,3)</f>
        <v>Accessories</v>
      </c>
      <c r="M425" t="str">
        <f>VLOOKUP(Table2[[#This Row],[AgentID]],Sales_Agents!$A$1:C428,2)</f>
        <v>Blessing</v>
      </c>
      <c r="N425" t="str">
        <f>VLOOKUP(Table2[[#This Row],[AgentID]],Sales_Agents!$A$1:C428,3)</f>
        <v>East</v>
      </c>
    </row>
    <row r="426" spans="1:14" x14ac:dyDescent="0.25">
      <c r="A426">
        <v>425</v>
      </c>
      <c r="B426" s="1">
        <v>45635</v>
      </c>
      <c r="C426" s="8" t="str">
        <f>TEXT(Table2[[#This Row],[OrderDate]],"mmm")</f>
        <v>Dec</v>
      </c>
      <c r="D426">
        <v>3</v>
      </c>
      <c r="E426">
        <v>1</v>
      </c>
      <c r="F426">
        <v>8</v>
      </c>
      <c r="G426" s="3">
        <v>210899</v>
      </c>
      <c r="H426" s="3">
        <f t="shared" si="12"/>
        <v>1687192</v>
      </c>
      <c r="I426" s="5">
        <f>Table2[[#This Row],[Total Revenue]]*0.3</f>
        <v>506157.6</v>
      </c>
      <c r="J426" s="6">
        <f t="shared" si="13"/>
        <v>0.3</v>
      </c>
      <c r="K426" t="str">
        <f>VLOOKUP(Table2[[#This Row],[ProductID]],Products!$A$1:C430,2)</f>
        <v>Tablet</v>
      </c>
      <c r="L426" t="str">
        <f>VLOOKUP(D426,Products!$A$1:C430,3)</f>
        <v>Electronics</v>
      </c>
      <c r="M426" t="str">
        <f>VLOOKUP(Table2[[#This Row],[AgentID]],Sales_Agents!$A$1:C429,2)</f>
        <v>Akin</v>
      </c>
      <c r="N426" t="str">
        <f>VLOOKUP(Table2[[#This Row],[AgentID]],Sales_Agents!$A$1:C429,3)</f>
        <v>West</v>
      </c>
    </row>
    <row r="427" spans="1:14" x14ac:dyDescent="0.25">
      <c r="A427">
        <v>426</v>
      </c>
      <c r="B427" s="1">
        <v>45522</v>
      </c>
      <c r="C427" s="8" t="str">
        <f>TEXT(Table2[[#This Row],[OrderDate]],"mmm")</f>
        <v>Aug</v>
      </c>
      <c r="D427">
        <v>1</v>
      </c>
      <c r="E427">
        <v>2</v>
      </c>
      <c r="F427">
        <v>6</v>
      </c>
      <c r="G427" s="3">
        <v>346395</v>
      </c>
      <c r="H427" s="3">
        <f t="shared" si="12"/>
        <v>2078370</v>
      </c>
      <c r="I427" s="5">
        <f>Table2[[#This Row],[Total Revenue]]*0.3</f>
        <v>623511</v>
      </c>
      <c r="J427" s="6">
        <f t="shared" si="13"/>
        <v>0.3</v>
      </c>
      <c r="K427" t="str">
        <f>VLOOKUP(Table2[[#This Row],[ProductID]],Products!$A$1:C431,2)</f>
        <v>Laptop</v>
      </c>
      <c r="L427" t="str">
        <f>VLOOKUP(D427,Products!$A$1:C431,3)</f>
        <v>Electronics</v>
      </c>
      <c r="M427" t="str">
        <f>VLOOKUP(Table2[[#This Row],[AgentID]],Sales_Agents!$A$1:C430,2)</f>
        <v>Blessing</v>
      </c>
      <c r="N427" t="str">
        <f>VLOOKUP(Table2[[#This Row],[AgentID]],Sales_Agents!$A$1:C430,3)</f>
        <v>East</v>
      </c>
    </row>
    <row r="428" spans="1:14" x14ac:dyDescent="0.25">
      <c r="A428">
        <v>427</v>
      </c>
      <c r="B428" s="1">
        <v>45496</v>
      </c>
      <c r="C428" s="8" t="str">
        <f>TEXT(Table2[[#This Row],[OrderDate]],"mmm")</f>
        <v>Jul</v>
      </c>
      <c r="D428">
        <v>5</v>
      </c>
      <c r="E428">
        <v>2</v>
      </c>
      <c r="F428">
        <v>11</v>
      </c>
      <c r="G428" s="3">
        <v>324720</v>
      </c>
      <c r="H428" s="3">
        <f t="shared" si="12"/>
        <v>3571920</v>
      </c>
      <c r="I428" s="5">
        <f>Table2[[#This Row],[Total Revenue]]*0.3</f>
        <v>1071576</v>
      </c>
      <c r="J428" s="6">
        <f t="shared" si="13"/>
        <v>0.3</v>
      </c>
      <c r="K428" t="str">
        <f>VLOOKUP(Table2[[#This Row],[ProductID]],Products!$A$1:C432,2)</f>
        <v>Monitor</v>
      </c>
      <c r="L428" t="str">
        <f>VLOOKUP(D428,Products!$A$1:C432,3)</f>
        <v>Accessories</v>
      </c>
      <c r="M428" t="str">
        <f>VLOOKUP(Table2[[#This Row],[AgentID]],Sales_Agents!$A$1:C431,2)</f>
        <v>Blessing</v>
      </c>
      <c r="N428" t="str">
        <f>VLOOKUP(Table2[[#This Row],[AgentID]],Sales_Agents!$A$1:C431,3)</f>
        <v>East</v>
      </c>
    </row>
    <row r="429" spans="1:14" x14ac:dyDescent="0.25">
      <c r="A429">
        <v>428</v>
      </c>
      <c r="B429" s="1">
        <v>45342</v>
      </c>
      <c r="C429" s="8" t="str">
        <f>TEXT(Table2[[#This Row],[OrderDate]],"mmm")</f>
        <v>Feb</v>
      </c>
      <c r="D429">
        <v>2</v>
      </c>
      <c r="E429">
        <v>2</v>
      </c>
      <c r="F429">
        <v>7</v>
      </c>
      <c r="G429" s="3">
        <v>234649</v>
      </c>
      <c r="H429" s="3">
        <f t="shared" si="12"/>
        <v>1642543</v>
      </c>
      <c r="I429" s="5">
        <f>Table2[[#This Row],[Total Revenue]]*0.3</f>
        <v>492762.89999999997</v>
      </c>
      <c r="J429" s="6">
        <f t="shared" si="13"/>
        <v>0.3</v>
      </c>
      <c r="K429" t="str">
        <f>VLOOKUP(Table2[[#This Row],[ProductID]],Products!$A$1:C433,2)</f>
        <v>Phone</v>
      </c>
      <c r="L429" t="str">
        <f>VLOOKUP(D429,Products!$A$1:C433,3)</f>
        <v>Electronics</v>
      </c>
      <c r="M429" t="str">
        <f>VLOOKUP(Table2[[#This Row],[AgentID]],Sales_Agents!$A$1:C432,2)</f>
        <v>Blessing</v>
      </c>
      <c r="N429" t="str">
        <f>VLOOKUP(Table2[[#This Row],[AgentID]],Sales_Agents!$A$1:C432,3)</f>
        <v>East</v>
      </c>
    </row>
    <row r="430" spans="1:14" x14ac:dyDescent="0.25">
      <c r="A430">
        <v>429</v>
      </c>
      <c r="B430" s="1">
        <v>45580</v>
      </c>
      <c r="C430" s="8" t="str">
        <f>TEXT(Table2[[#This Row],[OrderDate]],"mmm")</f>
        <v>Oct</v>
      </c>
      <c r="D430">
        <v>3</v>
      </c>
      <c r="E430">
        <v>2</v>
      </c>
      <c r="F430">
        <v>15</v>
      </c>
      <c r="G430" s="3">
        <v>64577</v>
      </c>
      <c r="H430" s="3">
        <f t="shared" si="12"/>
        <v>968655</v>
      </c>
      <c r="I430" s="5">
        <f>Table2[[#This Row],[Total Revenue]]*0.3</f>
        <v>290596.5</v>
      </c>
      <c r="J430" s="6">
        <f t="shared" si="13"/>
        <v>0.3</v>
      </c>
      <c r="K430" t="str">
        <f>VLOOKUP(Table2[[#This Row],[ProductID]],Products!$A$1:C434,2)</f>
        <v>Tablet</v>
      </c>
      <c r="L430" t="str">
        <f>VLOOKUP(D430,Products!$A$1:C434,3)</f>
        <v>Electronics</v>
      </c>
      <c r="M430" t="str">
        <f>VLOOKUP(Table2[[#This Row],[AgentID]],Sales_Agents!$A$1:C433,2)</f>
        <v>Blessing</v>
      </c>
      <c r="N430" t="str">
        <f>VLOOKUP(Table2[[#This Row],[AgentID]],Sales_Agents!$A$1:C433,3)</f>
        <v>East</v>
      </c>
    </row>
    <row r="431" spans="1:14" x14ac:dyDescent="0.25">
      <c r="A431">
        <v>430</v>
      </c>
      <c r="B431" s="1">
        <v>45318</v>
      </c>
      <c r="C431" s="8" t="str">
        <f>TEXT(Table2[[#This Row],[OrderDate]],"mmm")</f>
        <v>Jan</v>
      </c>
      <c r="D431">
        <v>4</v>
      </c>
      <c r="E431">
        <v>4</v>
      </c>
      <c r="F431">
        <v>7</v>
      </c>
      <c r="G431" s="3">
        <v>176908</v>
      </c>
      <c r="H431" s="3">
        <f t="shared" si="12"/>
        <v>1238356</v>
      </c>
      <c r="I431" s="5">
        <f>Table2[[#This Row],[Total Revenue]]*0.3</f>
        <v>371506.8</v>
      </c>
      <c r="J431" s="6">
        <f t="shared" si="13"/>
        <v>0.3</v>
      </c>
      <c r="K431" t="str">
        <f>VLOOKUP(Table2[[#This Row],[ProductID]],Products!$A$1:C435,2)</f>
        <v>Printer</v>
      </c>
      <c r="L431" t="str">
        <f>VLOOKUP(D431,Products!$A$1:C435,3)</f>
        <v>Accessories</v>
      </c>
      <c r="M431" t="str">
        <f>VLOOKUP(Table2[[#This Row],[AgentID]],Sales_Agents!$A$1:C434,2)</f>
        <v>Zainab</v>
      </c>
      <c r="N431" t="str">
        <f>VLOOKUP(Table2[[#This Row],[AgentID]],Sales_Agents!$A$1:C434,3)</f>
        <v>North</v>
      </c>
    </row>
    <row r="432" spans="1:14" x14ac:dyDescent="0.25">
      <c r="A432">
        <v>431</v>
      </c>
      <c r="B432" s="1">
        <v>45398</v>
      </c>
      <c r="C432" s="8" t="str">
        <f>TEXT(Table2[[#This Row],[OrderDate]],"mmm")</f>
        <v>Apr</v>
      </c>
      <c r="D432">
        <v>3</v>
      </c>
      <c r="E432">
        <v>3</v>
      </c>
      <c r="F432">
        <v>15</v>
      </c>
      <c r="G432" s="3">
        <v>174287</v>
      </c>
      <c r="H432" s="3">
        <f t="shared" si="12"/>
        <v>2614305</v>
      </c>
      <c r="I432" s="5">
        <f>Table2[[#This Row],[Total Revenue]]*0.3</f>
        <v>784291.5</v>
      </c>
      <c r="J432" s="6">
        <f t="shared" si="13"/>
        <v>0.3</v>
      </c>
      <c r="K432" t="str">
        <f>VLOOKUP(Table2[[#This Row],[ProductID]],Products!$A$1:C436,2)</f>
        <v>Tablet</v>
      </c>
      <c r="L432" t="str">
        <f>VLOOKUP(D432,Products!$A$1:C436,3)</f>
        <v>Electronics</v>
      </c>
      <c r="M432" t="str">
        <f>VLOOKUP(Table2[[#This Row],[AgentID]],Sales_Agents!$A$1:C435,2)</f>
        <v>Chinedu</v>
      </c>
      <c r="N432" t="str">
        <f>VLOOKUP(Table2[[#This Row],[AgentID]],Sales_Agents!$A$1:C435,3)</f>
        <v>South</v>
      </c>
    </row>
    <row r="433" spans="1:14" x14ac:dyDescent="0.25">
      <c r="A433">
        <v>432</v>
      </c>
      <c r="B433" s="1">
        <v>45301</v>
      </c>
      <c r="C433" s="8" t="str">
        <f>TEXT(Table2[[#This Row],[OrderDate]],"mmm")</f>
        <v>Jan</v>
      </c>
      <c r="D433">
        <v>5</v>
      </c>
      <c r="E433">
        <v>4</v>
      </c>
      <c r="F433">
        <v>8</v>
      </c>
      <c r="G433" s="3">
        <v>304320</v>
      </c>
      <c r="H433" s="3">
        <f t="shared" si="12"/>
        <v>2434560</v>
      </c>
      <c r="I433" s="5">
        <f>Table2[[#This Row],[Total Revenue]]*0.3</f>
        <v>730368</v>
      </c>
      <c r="J433" s="6">
        <f t="shared" si="13"/>
        <v>0.3</v>
      </c>
      <c r="K433" t="str">
        <f>VLOOKUP(Table2[[#This Row],[ProductID]],Products!$A$1:C437,2)</f>
        <v>Monitor</v>
      </c>
      <c r="L433" t="str">
        <f>VLOOKUP(D433,Products!$A$1:C437,3)</f>
        <v>Accessories</v>
      </c>
      <c r="M433" t="str">
        <f>VLOOKUP(Table2[[#This Row],[AgentID]],Sales_Agents!$A$1:C436,2)</f>
        <v>Zainab</v>
      </c>
      <c r="N433" t="str">
        <f>VLOOKUP(Table2[[#This Row],[AgentID]],Sales_Agents!$A$1:C436,3)</f>
        <v>North</v>
      </c>
    </row>
    <row r="434" spans="1:14" x14ac:dyDescent="0.25">
      <c r="A434">
        <v>433</v>
      </c>
      <c r="B434" s="1">
        <v>45366</v>
      </c>
      <c r="C434" s="8" t="str">
        <f>TEXT(Table2[[#This Row],[OrderDate]],"mmm")</f>
        <v>Mar</v>
      </c>
      <c r="D434">
        <v>2</v>
      </c>
      <c r="E434">
        <v>2</v>
      </c>
      <c r="F434">
        <v>19</v>
      </c>
      <c r="G434" s="3">
        <v>225523</v>
      </c>
      <c r="H434" s="3">
        <f t="shared" si="12"/>
        <v>4284937</v>
      </c>
      <c r="I434" s="5">
        <f>Table2[[#This Row],[Total Revenue]]*0.3</f>
        <v>1285481.0999999999</v>
      </c>
      <c r="J434" s="6">
        <f t="shared" si="13"/>
        <v>0.3</v>
      </c>
      <c r="K434" t="str">
        <f>VLOOKUP(Table2[[#This Row],[ProductID]],Products!$A$1:C438,2)</f>
        <v>Phone</v>
      </c>
      <c r="L434" t="str">
        <f>VLOOKUP(D434,Products!$A$1:C438,3)</f>
        <v>Electronics</v>
      </c>
      <c r="M434" t="str">
        <f>VLOOKUP(Table2[[#This Row],[AgentID]],Sales_Agents!$A$1:C437,2)</f>
        <v>Blessing</v>
      </c>
      <c r="N434" t="str">
        <f>VLOOKUP(Table2[[#This Row],[AgentID]],Sales_Agents!$A$1:C437,3)</f>
        <v>East</v>
      </c>
    </row>
    <row r="435" spans="1:14" x14ac:dyDescent="0.25">
      <c r="A435">
        <v>434</v>
      </c>
      <c r="B435" s="1">
        <v>45594</v>
      </c>
      <c r="C435" s="8" t="str">
        <f>TEXT(Table2[[#This Row],[OrderDate]],"mmm")</f>
        <v>Oct</v>
      </c>
      <c r="D435">
        <v>1</v>
      </c>
      <c r="E435">
        <v>1</v>
      </c>
      <c r="F435">
        <v>4</v>
      </c>
      <c r="G435" s="3">
        <v>203630</v>
      </c>
      <c r="H435" s="3">
        <f t="shared" si="12"/>
        <v>814520</v>
      </c>
      <c r="I435" s="5">
        <f>Table2[[#This Row],[Total Revenue]]*0.3</f>
        <v>244356</v>
      </c>
      <c r="J435" s="6">
        <f t="shared" si="13"/>
        <v>0.3</v>
      </c>
      <c r="K435" t="str">
        <f>VLOOKUP(Table2[[#This Row],[ProductID]],Products!$A$1:C439,2)</f>
        <v>Laptop</v>
      </c>
      <c r="L435" t="str">
        <f>VLOOKUP(D435,Products!$A$1:C439,3)</f>
        <v>Electronics</v>
      </c>
      <c r="M435" t="str">
        <f>VLOOKUP(Table2[[#This Row],[AgentID]],Sales_Agents!$A$1:C438,2)</f>
        <v>Akin</v>
      </c>
      <c r="N435" t="str">
        <f>VLOOKUP(Table2[[#This Row],[AgentID]],Sales_Agents!$A$1:C438,3)</f>
        <v>West</v>
      </c>
    </row>
    <row r="436" spans="1:14" x14ac:dyDescent="0.25">
      <c r="A436">
        <v>435</v>
      </c>
      <c r="B436" s="1">
        <v>45451</v>
      </c>
      <c r="C436" s="8" t="str">
        <f>TEXT(Table2[[#This Row],[OrderDate]],"mmm")</f>
        <v>Jun</v>
      </c>
      <c r="D436">
        <v>1</v>
      </c>
      <c r="E436">
        <v>4</v>
      </c>
      <c r="F436">
        <v>10</v>
      </c>
      <c r="G436" s="3">
        <v>108437</v>
      </c>
      <c r="H436" s="3">
        <f t="shared" si="12"/>
        <v>1084370</v>
      </c>
      <c r="I436" s="5">
        <f>Table2[[#This Row],[Total Revenue]]*0.3</f>
        <v>325311</v>
      </c>
      <c r="J436" s="6">
        <f t="shared" si="13"/>
        <v>0.3</v>
      </c>
      <c r="K436" t="str">
        <f>VLOOKUP(Table2[[#This Row],[ProductID]],Products!$A$1:C440,2)</f>
        <v>Laptop</v>
      </c>
      <c r="L436" t="str">
        <f>VLOOKUP(D436,Products!$A$1:C440,3)</f>
        <v>Electronics</v>
      </c>
      <c r="M436" t="str">
        <f>VLOOKUP(Table2[[#This Row],[AgentID]],Sales_Agents!$A$1:C439,2)</f>
        <v>Zainab</v>
      </c>
      <c r="N436" t="str">
        <f>VLOOKUP(Table2[[#This Row],[AgentID]],Sales_Agents!$A$1:C439,3)</f>
        <v>North</v>
      </c>
    </row>
    <row r="437" spans="1:14" x14ac:dyDescent="0.25">
      <c r="A437">
        <v>436</v>
      </c>
      <c r="B437" s="1">
        <v>45560</v>
      </c>
      <c r="C437" s="8" t="str">
        <f>TEXT(Table2[[#This Row],[OrderDate]],"mmm")</f>
        <v>Sept</v>
      </c>
      <c r="D437">
        <v>3</v>
      </c>
      <c r="E437">
        <v>2</v>
      </c>
      <c r="F437">
        <v>4</v>
      </c>
      <c r="G437" s="3">
        <v>100361</v>
      </c>
      <c r="H437" s="3">
        <f t="shared" si="12"/>
        <v>401444</v>
      </c>
      <c r="I437" s="5">
        <f>Table2[[#This Row],[Total Revenue]]*0.3</f>
        <v>120433.2</v>
      </c>
      <c r="J437" s="6">
        <f t="shared" si="13"/>
        <v>0.3</v>
      </c>
      <c r="K437" t="str">
        <f>VLOOKUP(Table2[[#This Row],[ProductID]],Products!$A$1:C441,2)</f>
        <v>Tablet</v>
      </c>
      <c r="L437" t="str">
        <f>VLOOKUP(D437,Products!$A$1:C441,3)</f>
        <v>Electronics</v>
      </c>
      <c r="M437" t="str">
        <f>VLOOKUP(Table2[[#This Row],[AgentID]],Sales_Agents!$A$1:C440,2)</f>
        <v>Blessing</v>
      </c>
      <c r="N437" t="str">
        <f>VLOOKUP(Table2[[#This Row],[AgentID]],Sales_Agents!$A$1:C440,3)</f>
        <v>East</v>
      </c>
    </row>
    <row r="438" spans="1:14" x14ac:dyDescent="0.25">
      <c r="A438">
        <v>437</v>
      </c>
      <c r="B438" s="1">
        <v>45390</v>
      </c>
      <c r="C438" s="8" t="str">
        <f>TEXT(Table2[[#This Row],[OrderDate]],"mmm")</f>
        <v>Apr</v>
      </c>
      <c r="D438">
        <v>2</v>
      </c>
      <c r="E438">
        <v>1</v>
      </c>
      <c r="F438">
        <v>15</v>
      </c>
      <c r="G438" s="3">
        <v>394865</v>
      </c>
      <c r="H438" s="3">
        <f t="shared" si="12"/>
        <v>5922975</v>
      </c>
      <c r="I438" s="5">
        <f>Table2[[#This Row],[Total Revenue]]*0.3</f>
        <v>1776892.5</v>
      </c>
      <c r="J438" s="6">
        <f t="shared" si="13"/>
        <v>0.3</v>
      </c>
      <c r="K438" t="str">
        <f>VLOOKUP(Table2[[#This Row],[ProductID]],Products!$A$1:C442,2)</f>
        <v>Phone</v>
      </c>
      <c r="L438" t="str">
        <f>VLOOKUP(D438,Products!$A$1:C442,3)</f>
        <v>Electronics</v>
      </c>
      <c r="M438" t="str">
        <f>VLOOKUP(Table2[[#This Row],[AgentID]],Sales_Agents!$A$1:C441,2)</f>
        <v>Akin</v>
      </c>
      <c r="N438" t="str">
        <f>VLOOKUP(Table2[[#This Row],[AgentID]],Sales_Agents!$A$1:C441,3)</f>
        <v>West</v>
      </c>
    </row>
    <row r="439" spans="1:14" x14ac:dyDescent="0.25">
      <c r="A439">
        <v>438</v>
      </c>
      <c r="B439" s="1">
        <v>45322</v>
      </c>
      <c r="C439" s="8" t="str">
        <f>TEXT(Table2[[#This Row],[OrderDate]],"mmm")</f>
        <v>Jan</v>
      </c>
      <c r="D439">
        <v>2</v>
      </c>
      <c r="E439">
        <v>1</v>
      </c>
      <c r="F439">
        <v>7</v>
      </c>
      <c r="G439" s="3">
        <v>332956</v>
      </c>
      <c r="H439" s="3">
        <f t="shared" si="12"/>
        <v>2330692</v>
      </c>
      <c r="I439" s="5">
        <f>Table2[[#This Row],[Total Revenue]]*0.3</f>
        <v>699207.6</v>
      </c>
      <c r="J439" s="6">
        <f t="shared" si="13"/>
        <v>0.3</v>
      </c>
      <c r="K439" t="str">
        <f>VLOOKUP(Table2[[#This Row],[ProductID]],Products!$A$1:C443,2)</f>
        <v>Phone</v>
      </c>
      <c r="L439" t="str">
        <f>VLOOKUP(D439,Products!$A$1:C443,3)</f>
        <v>Electronics</v>
      </c>
      <c r="M439" t="str">
        <f>VLOOKUP(Table2[[#This Row],[AgentID]],Sales_Agents!$A$1:C442,2)</f>
        <v>Akin</v>
      </c>
      <c r="N439" t="str">
        <f>VLOOKUP(Table2[[#This Row],[AgentID]],Sales_Agents!$A$1:C442,3)</f>
        <v>West</v>
      </c>
    </row>
    <row r="440" spans="1:14" x14ac:dyDescent="0.25">
      <c r="A440">
        <v>439</v>
      </c>
      <c r="B440" s="1">
        <v>45514</v>
      </c>
      <c r="C440" s="8" t="str">
        <f>TEXT(Table2[[#This Row],[OrderDate]],"mmm")</f>
        <v>Aug</v>
      </c>
      <c r="D440">
        <v>5</v>
      </c>
      <c r="E440">
        <v>4</v>
      </c>
      <c r="F440">
        <v>11</v>
      </c>
      <c r="G440" s="3">
        <v>142149</v>
      </c>
      <c r="H440" s="3">
        <f t="shared" si="12"/>
        <v>1563639</v>
      </c>
      <c r="I440" s="5">
        <f>Table2[[#This Row],[Total Revenue]]*0.3</f>
        <v>469091.7</v>
      </c>
      <c r="J440" s="6">
        <f t="shared" si="13"/>
        <v>0.3</v>
      </c>
      <c r="K440" t="str">
        <f>VLOOKUP(Table2[[#This Row],[ProductID]],Products!$A$1:C444,2)</f>
        <v>Monitor</v>
      </c>
      <c r="L440" t="str">
        <f>VLOOKUP(D440,Products!$A$1:C444,3)</f>
        <v>Accessories</v>
      </c>
      <c r="M440" t="str">
        <f>VLOOKUP(Table2[[#This Row],[AgentID]],Sales_Agents!$A$1:C443,2)</f>
        <v>Zainab</v>
      </c>
      <c r="N440" t="str">
        <f>VLOOKUP(Table2[[#This Row],[AgentID]],Sales_Agents!$A$1:C443,3)</f>
        <v>North</v>
      </c>
    </row>
    <row r="441" spans="1:14" x14ac:dyDescent="0.25">
      <c r="A441">
        <v>440</v>
      </c>
      <c r="B441" s="1">
        <v>45478</v>
      </c>
      <c r="C441" s="8" t="str">
        <f>TEXT(Table2[[#This Row],[OrderDate]],"mmm")</f>
        <v>Jul</v>
      </c>
      <c r="D441">
        <v>5</v>
      </c>
      <c r="E441">
        <v>4</v>
      </c>
      <c r="F441">
        <v>14</v>
      </c>
      <c r="G441" s="3">
        <v>127223</v>
      </c>
      <c r="H441" s="3">
        <f t="shared" si="12"/>
        <v>1781122</v>
      </c>
      <c r="I441" s="5">
        <f>Table2[[#This Row],[Total Revenue]]*0.3</f>
        <v>534336.6</v>
      </c>
      <c r="J441" s="6">
        <f t="shared" si="13"/>
        <v>0.3</v>
      </c>
      <c r="K441" t="str">
        <f>VLOOKUP(Table2[[#This Row],[ProductID]],Products!$A$1:C445,2)</f>
        <v>Monitor</v>
      </c>
      <c r="L441" t="str">
        <f>VLOOKUP(D441,Products!$A$1:C445,3)</f>
        <v>Accessories</v>
      </c>
      <c r="M441" t="str">
        <f>VLOOKUP(Table2[[#This Row],[AgentID]],Sales_Agents!$A$1:C444,2)</f>
        <v>Zainab</v>
      </c>
      <c r="N441" t="str">
        <f>VLOOKUP(Table2[[#This Row],[AgentID]],Sales_Agents!$A$1:C444,3)</f>
        <v>North</v>
      </c>
    </row>
    <row r="442" spans="1:14" x14ac:dyDescent="0.25">
      <c r="A442">
        <v>441</v>
      </c>
      <c r="B442" s="1">
        <v>45467</v>
      </c>
      <c r="C442" s="8" t="str">
        <f>TEXT(Table2[[#This Row],[OrderDate]],"mmm")</f>
        <v>Jun</v>
      </c>
      <c r="D442">
        <v>1</v>
      </c>
      <c r="E442">
        <v>1</v>
      </c>
      <c r="F442">
        <v>4</v>
      </c>
      <c r="G442" s="3">
        <v>290486</v>
      </c>
      <c r="H442" s="3">
        <f t="shared" si="12"/>
        <v>1161944</v>
      </c>
      <c r="I442" s="5">
        <f>Table2[[#This Row],[Total Revenue]]*0.3</f>
        <v>348583.2</v>
      </c>
      <c r="J442" s="6">
        <f t="shared" si="13"/>
        <v>0.3</v>
      </c>
      <c r="K442" t="str">
        <f>VLOOKUP(Table2[[#This Row],[ProductID]],Products!$A$1:C446,2)</f>
        <v>Laptop</v>
      </c>
      <c r="L442" t="str">
        <f>VLOOKUP(D442,Products!$A$1:C446,3)</f>
        <v>Electronics</v>
      </c>
      <c r="M442" t="str">
        <f>VLOOKUP(Table2[[#This Row],[AgentID]],Sales_Agents!$A$1:C445,2)</f>
        <v>Akin</v>
      </c>
      <c r="N442" t="str">
        <f>VLOOKUP(Table2[[#This Row],[AgentID]],Sales_Agents!$A$1:C445,3)</f>
        <v>West</v>
      </c>
    </row>
    <row r="443" spans="1:14" x14ac:dyDescent="0.25">
      <c r="A443">
        <v>442</v>
      </c>
      <c r="B443" s="1">
        <v>45647</v>
      </c>
      <c r="C443" s="8" t="str">
        <f>TEXT(Table2[[#This Row],[OrderDate]],"mmm")</f>
        <v>Dec</v>
      </c>
      <c r="D443">
        <v>1</v>
      </c>
      <c r="E443">
        <v>1</v>
      </c>
      <c r="F443">
        <v>9</v>
      </c>
      <c r="G443" s="3">
        <v>58142</v>
      </c>
      <c r="H443" s="3">
        <f t="shared" si="12"/>
        <v>523278</v>
      </c>
      <c r="I443" s="5">
        <f>Table2[[#This Row],[Total Revenue]]*0.3</f>
        <v>156983.4</v>
      </c>
      <c r="J443" s="6">
        <f t="shared" si="13"/>
        <v>0.3</v>
      </c>
      <c r="K443" t="str">
        <f>VLOOKUP(Table2[[#This Row],[ProductID]],Products!$A$1:C447,2)</f>
        <v>Laptop</v>
      </c>
      <c r="L443" t="str">
        <f>VLOOKUP(D443,Products!$A$1:C447,3)</f>
        <v>Electronics</v>
      </c>
      <c r="M443" t="str">
        <f>VLOOKUP(Table2[[#This Row],[AgentID]],Sales_Agents!$A$1:C446,2)</f>
        <v>Akin</v>
      </c>
      <c r="N443" t="str">
        <f>VLOOKUP(Table2[[#This Row],[AgentID]],Sales_Agents!$A$1:C446,3)</f>
        <v>West</v>
      </c>
    </row>
    <row r="444" spans="1:14" x14ac:dyDescent="0.25">
      <c r="A444">
        <v>443</v>
      </c>
      <c r="B444" s="1">
        <v>45614</v>
      </c>
      <c r="C444" s="8" t="str">
        <f>TEXT(Table2[[#This Row],[OrderDate]],"mmm")</f>
        <v>Nov</v>
      </c>
      <c r="D444">
        <v>3</v>
      </c>
      <c r="E444">
        <v>1</v>
      </c>
      <c r="F444">
        <v>4</v>
      </c>
      <c r="G444" s="3">
        <v>122399</v>
      </c>
      <c r="H444" s="3">
        <f t="shared" si="12"/>
        <v>489596</v>
      </c>
      <c r="I444" s="5">
        <f>Table2[[#This Row],[Total Revenue]]*0.3</f>
        <v>146878.79999999999</v>
      </c>
      <c r="J444" s="6">
        <f t="shared" si="13"/>
        <v>0.3</v>
      </c>
      <c r="K444" t="str">
        <f>VLOOKUP(Table2[[#This Row],[ProductID]],Products!$A$1:C448,2)</f>
        <v>Tablet</v>
      </c>
      <c r="L444" t="str">
        <f>VLOOKUP(D444,Products!$A$1:C448,3)</f>
        <v>Electronics</v>
      </c>
      <c r="M444" t="str">
        <f>VLOOKUP(Table2[[#This Row],[AgentID]],Sales_Agents!$A$1:C447,2)</f>
        <v>Akin</v>
      </c>
      <c r="N444" t="str">
        <f>VLOOKUP(Table2[[#This Row],[AgentID]],Sales_Agents!$A$1:C447,3)</f>
        <v>West</v>
      </c>
    </row>
    <row r="445" spans="1:14" x14ac:dyDescent="0.25">
      <c r="A445">
        <v>444</v>
      </c>
      <c r="B445" s="1">
        <v>45429</v>
      </c>
      <c r="C445" s="8" t="str">
        <f>TEXT(Table2[[#This Row],[OrderDate]],"mmm")</f>
        <v>May</v>
      </c>
      <c r="D445">
        <v>5</v>
      </c>
      <c r="E445">
        <v>3</v>
      </c>
      <c r="F445">
        <v>15</v>
      </c>
      <c r="G445" s="3">
        <v>317156</v>
      </c>
      <c r="H445" s="3">
        <f t="shared" si="12"/>
        <v>4757340</v>
      </c>
      <c r="I445" s="5">
        <f>Table2[[#This Row],[Total Revenue]]*0.3</f>
        <v>1427202</v>
      </c>
      <c r="J445" s="6">
        <f t="shared" si="13"/>
        <v>0.3</v>
      </c>
      <c r="K445" t="str">
        <f>VLOOKUP(Table2[[#This Row],[ProductID]],Products!$A$1:C449,2)</f>
        <v>Monitor</v>
      </c>
      <c r="L445" t="str">
        <f>VLOOKUP(D445,Products!$A$1:C449,3)</f>
        <v>Accessories</v>
      </c>
      <c r="M445" t="str">
        <f>VLOOKUP(Table2[[#This Row],[AgentID]],Sales_Agents!$A$1:C448,2)</f>
        <v>Chinedu</v>
      </c>
      <c r="N445" t="str">
        <f>VLOOKUP(Table2[[#This Row],[AgentID]],Sales_Agents!$A$1:C448,3)</f>
        <v>South</v>
      </c>
    </row>
    <row r="446" spans="1:14" x14ac:dyDescent="0.25">
      <c r="A446">
        <v>445</v>
      </c>
      <c r="B446" s="1">
        <v>45339</v>
      </c>
      <c r="C446" s="8" t="str">
        <f>TEXT(Table2[[#This Row],[OrderDate]],"mmm")</f>
        <v>Feb</v>
      </c>
      <c r="D446">
        <v>2</v>
      </c>
      <c r="E446">
        <v>2</v>
      </c>
      <c r="F446">
        <v>6</v>
      </c>
      <c r="G446" s="3">
        <v>142596</v>
      </c>
      <c r="H446" s="3">
        <f t="shared" si="12"/>
        <v>855576</v>
      </c>
      <c r="I446" s="5">
        <f>Table2[[#This Row],[Total Revenue]]*0.3</f>
        <v>256672.8</v>
      </c>
      <c r="J446" s="6">
        <f t="shared" si="13"/>
        <v>0.3</v>
      </c>
      <c r="K446" t="str">
        <f>VLOOKUP(Table2[[#This Row],[ProductID]],Products!$A$1:C450,2)</f>
        <v>Phone</v>
      </c>
      <c r="L446" t="str">
        <f>VLOOKUP(D446,Products!$A$1:C450,3)</f>
        <v>Electronics</v>
      </c>
      <c r="M446" t="str">
        <f>VLOOKUP(Table2[[#This Row],[AgentID]],Sales_Agents!$A$1:C449,2)</f>
        <v>Blessing</v>
      </c>
      <c r="N446" t="str">
        <f>VLOOKUP(Table2[[#This Row],[AgentID]],Sales_Agents!$A$1:C449,3)</f>
        <v>East</v>
      </c>
    </row>
    <row r="447" spans="1:14" x14ac:dyDescent="0.25">
      <c r="A447">
        <v>446</v>
      </c>
      <c r="B447" s="1">
        <v>45350</v>
      </c>
      <c r="C447" s="8" t="str">
        <f>TEXT(Table2[[#This Row],[OrderDate]],"mmm")</f>
        <v>Feb</v>
      </c>
      <c r="D447">
        <v>1</v>
      </c>
      <c r="E447">
        <v>4</v>
      </c>
      <c r="F447">
        <v>17</v>
      </c>
      <c r="G447" s="3">
        <v>285838</v>
      </c>
      <c r="H447" s="3">
        <f t="shared" si="12"/>
        <v>4859246</v>
      </c>
      <c r="I447" s="5">
        <f>Table2[[#This Row],[Total Revenue]]*0.3</f>
        <v>1457773.8</v>
      </c>
      <c r="J447" s="6">
        <f t="shared" si="13"/>
        <v>0.3</v>
      </c>
      <c r="K447" t="str">
        <f>VLOOKUP(Table2[[#This Row],[ProductID]],Products!$A$1:C451,2)</f>
        <v>Laptop</v>
      </c>
      <c r="L447" t="str">
        <f>VLOOKUP(D447,Products!$A$1:C451,3)</f>
        <v>Electronics</v>
      </c>
      <c r="M447" t="str">
        <f>VLOOKUP(Table2[[#This Row],[AgentID]],Sales_Agents!$A$1:C450,2)</f>
        <v>Zainab</v>
      </c>
      <c r="N447" t="str">
        <f>VLOOKUP(Table2[[#This Row],[AgentID]],Sales_Agents!$A$1:C450,3)</f>
        <v>North</v>
      </c>
    </row>
    <row r="448" spans="1:14" x14ac:dyDescent="0.25">
      <c r="A448">
        <v>447</v>
      </c>
      <c r="B448" s="1">
        <v>45364</v>
      </c>
      <c r="C448" s="8" t="str">
        <f>TEXT(Table2[[#This Row],[OrderDate]],"mmm")</f>
        <v>Mar</v>
      </c>
      <c r="D448">
        <v>1</v>
      </c>
      <c r="E448">
        <v>4</v>
      </c>
      <c r="F448">
        <v>2</v>
      </c>
      <c r="G448" s="3">
        <v>224730</v>
      </c>
      <c r="H448" s="3">
        <f t="shared" si="12"/>
        <v>449460</v>
      </c>
      <c r="I448" s="5">
        <f>Table2[[#This Row],[Total Revenue]]*0.3</f>
        <v>134838</v>
      </c>
      <c r="J448" s="6">
        <f t="shared" si="13"/>
        <v>0.3</v>
      </c>
      <c r="K448" t="str">
        <f>VLOOKUP(Table2[[#This Row],[ProductID]],Products!$A$1:C452,2)</f>
        <v>Laptop</v>
      </c>
      <c r="L448" t="str">
        <f>VLOOKUP(D448,Products!$A$1:C452,3)</f>
        <v>Electronics</v>
      </c>
      <c r="M448" t="str">
        <f>VLOOKUP(Table2[[#This Row],[AgentID]],Sales_Agents!$A$1:C451,2)</f>
        <v>Zainab</v>
      </c>
      <c r="N448" t="str">
        <f>VLOOKUP(Table2[[#This Row],[AgentID]],Sales_Agents!$A$1:C451,3)</f>
        <v>North</v>
      </c>
    </row>
    <row r="449" spans="1:14" x14ac:dyDescent="0.25">
      <c r="A449">
        <v>448</v>
      </c>
      <c r="B449" s="1">
        <v>45498</v>
      </c>
      <c r="C449" s="8" t="str">
        <f>TEXT(Table2[[#This Row],[OrderDate]],"mmm")</f>
        <v>Jul</v>
      </c>
      <c r="D449">
        <v>5</v>
      </c>
      <c r="E449">
        <v>1</v>
      </c>
      <c r="F449">
        <v>15</v>
      </c>
      <c r="G449" s="3">
        <v>112458</v>
      </c>
      <c r="H449" s="3">
        <f t="shared" si="12"/>
        <v>1686870</v>
      </c>
      <c r="I449" s="5">
        <f>Table2[[#This Row],[Total Revenue]]*0.3</f>
        <v>506061</v>
      </c>
      <c r="J449" s="6">
        <f t="shared" si="13"/>
        <v>0.3</v>
      </c>
      <c r="K449" t="str">
        <f>VLOOKUP(Table2[[#This Row],[ProductID]],Products!$A$1:C453,2)</f>
        <v>Monitor</v>
      </c>
      <c r="L449" t="str">
        <f>VLOOKUP(D449,Products!$A$1:C453,3)</f>
        <v>Accessories</v>
      </c>
      <c r="M449" t="str">
        <f>VLOOKUP(Table2[[#This Row],[AgentID]],Sales_Agents!$A$1:C452,2)</f>
        <v>Akin</v>
      </c>
      <c r="N449" t="str">
        <f>VLOOKUP(Table2[[#This Row],[AgentID]],Sales_Agents!$A$1:C452,3)</f>
        <v>West</v>
      </c>
    </row>
    <row r="450" spans="1:14" x14ac:dyDescent="0.25">
      <c r="A450">
        <v>449</v>
      </c>
      <c r="B450" s="1">
        <v>45326</v>
      </c>
      <c r="C450" s="8" t="str">
        <f>TEXT(Table2[[#This Row],[OrderDate]],"mmm")</f>
        <v>Feb</v>
      </c>
      <c r="D450">
        <v>5</v>
      </c>
      <c r="E450">
        <v>1</v>
      </c>
      <c r="F450">
        <v>20</v>
      </c>
      <c r="G450" s="3">
        <v>321564</v>
      </c>
      <c r="H450" s="3">
        <f t="shared" ref="H450:H513" si="14">G450*F450</f>
        <v>6431280</v>
      </c>
      <c r="I450" s="5">
        <f>Table2[[#This Row],[Total Revenue]]*0.3</f>
        <v>1929384</v>
      </c>
      <c r="J450" s="6">
        <f t="shared" ref="J450:J513" si="15">I450/H450</f>
        <v>0.3</v>
      </c>
      <c r="K450" t="str">
        <f>VLOOKUP(Table2[[#This Row],[ProductID]],Products!$A$1:C454,2)</f>
        <v>Monitor</v>
      </c>
      <c r="L450" t="str">
        <f>VLOOKUP(D450,Products!$A$1:C454,3)</f>
        <v>Accessories</v>
      </c>
      <c r="M450" t="str">
        <f>VLOOKUP(Table2[[#This Row],[AgentID]],Sales_Agents!$A$1:C453,2)</f>
        <v>Akin</v>
      </c>
      <c r="N450" t="str">
        <f>VLOOKUP(Table2[[#This Row],[AgentID]],Sales_Agents!$A$1:C453,3)</f>
        <v>West</v>
      </c>
    </row>
    <row r="451" spans="1:14" x14ac:dyDescent="0.25">
      <c r="A451">
        <v>450</v>
      </c>
      <c r="B451" s="1">
        <v>45612</v>
      </c>
      <c r="C451" s="8" t="str">
        <f>TEXT(Table2[[#This Row],[OrderDate]],"mmm")</f>
        <v>Nov</v>
      </c>
      <c r="D451">
        <v>5</v>
      </c>
      <c r="E451">
        <v>4</v>
      </c>
      <c r="F451">
        <v>19</v>
      </c>
      <c r="G451" s="3">
        <v>58451</v>
      </c>
      <c r="H451" s="3">
        <f t="shared" si="14"/>
        <v>1110569</v>
      </c>
      <c r="I451" s="5">
        <f>Table2[[#This Row],[Total Revenue]]*0.3</f>
        <v>333170.7</v>
      </c>
      <c r="J451" s="6">
        <f t="shared" si="15"/>
        <v>0.3</v>
      </c>
      <c r="K451" t="str">
        <f>VLOOKUP(Table2[[#This Row],[ProductID]],Products!$A$1:C455,2)</f>
        <v>Monitor</v>
      </c>
      <c r="L451" t="str">
        <f>VLOOKUP(D451,Products!$A$1:C455,3)</f>
        <v>Accessories</v>
      </c>
      <c r="M451" t="str">
        <f>VLOOKUP(Table2[[#This Row],[AgentID]],Sales_Agents!$A$1:C454,2)</f>
        <v>Zainab</v>
      </c>
      <c r="N451" t="str">
        <f>VLOOKUP(Table2[[#This Row],[AgentID]],Sales_Agents!$A$1:C454,3)</f>
        <v>North</v>
      </c>
    </row>
    <row r="452" spans="1:14" x14ac:dyDescent="0.25">
      <c r="A452">
        <v>451</v>
      </c>
      <c r="B452" s="1">
        <v>45586</v>
      </c>
      <c r="C452" s="8" t="str">
        <f>TEXT(Table2[[#This Row],[OrderDate]],"mmm")</f>
        <v>Oct</v>
      </c>
      <c r="D452">
        <v>5</v>
      </c>
      <c r="E452">
        <v>3</v>
      </c>
      <c r="F452">
        <v>17</v>
      </c>
      <c r="G452" s="3">
        <v>245923</v>
      </c>
      <c r="H452" s="3">
        <f t="shared" si="14"/>
        <v>4180691</v>
      </c>
      <c r="I452" s="5">
        <f>Table2[[#This Row],[Total Revenue]]*0.3</f>
        <v>1254207.3</v>
      </c>
      <c r="J452" s="6">
        <f t="shared" si="15"/>
        <v>0.3</v>
      </c>
      <c r="K452" t="str">
        <f>VLOOKUP(Table2[[#This Row],[ProductID]],Products!$A$1:C456,2)</f>
        <v>Monitor</v>
      </c>
      <c r="L452" t="str">
        <f>VLOOKUP(D452,Products!$A$1:C456,3)</f>
        <v>Accessories</v>
      </c>
      <c r="M452" t="str">
        <f>VLOOKUP(Table2[[#This Row],[AgentID]],Sales_Agents!$A$1:C455,2)</f>
        <v>Chinedu</v>
      </c>
      <c r="N452" t="str">
        <f>VLOOKUP(Table2[[#This Row],[AgentID]],Sales_Agents!$A$1:C455,3)</f>
        <v>South</v>
      </c>
    </row>
    <row r="453" spans="1:14" x14ac:dyDescent="0.25">
      <c r="A453">
        <v>452</v>
      </c>
      <c r="B453" s="1">
        <v>45577</v>
      </c>
      <c r="C453" s="8" t="str">
        <f>TEXT(Table2[[#This Row],[OrderDate]],"mmm")</f>
        <v>Oct</v>
      </c>
      <c r="D453">
        <v>2</v>
      </c>
      <c r="E453">
        <v>2</v>
      </c>
      <c r="F453">
        <v>18</v>
      </c>
      <c r="G453" s="3">
        <v>369099</v>
      </c>
      <c r="H453" s="3">
        <f t="shared" si="14"/>
        <v>6643782</v>
      </c>
      <c r="I453" s="5">
        <f>Table2[[#This Row],[Total Revenue]]*0.3</f>
        <v>1993134.5999999999</v>
      </c>
      <c r="J453" s="6">
        <f t="shared" si="15"/>
        <v>0.3</v>
      </c>
      <c r="K453" t="str">
        <f>VLOOKUP(Table2[[#This Row],[ProductID]],Products!$A$1:C457,2)</f>
        <v>Phone</v>
      </c>
      <c r="L453" t="str">
        <f>VLOOKUP(D453,Products!$A$1:C457,3)</f>
        <v>Electronics</v>
      </c>
      <c r="M453" t="str">
        <f>VLOOKUP(Table2[[#This Row],[AgentID]],Sales_Agents!$A$1:C456,2)</f>
        <v>Blessing</v>
      </c>
      <c r="N453" t="str">
        <f>VLOOKUP(Table2[[#This Row],[AgentID]],Sales_Agents!$A$1:C456,3)</f>
        <v>East</v>
      </c>
    </row>
    <row r="454" spans="1:14" x14ac:dyDescent="0.25">
      <c r="A454">
        <v>453</v>
      </c>
      <c r="B454" s="1">
        <v>45468</v>
      </c>
      <c r="C454" s="8" t="str">
        <f>TEXT(Table2[[#This Row],[OrderDate]],"mmm")</f>
        <v>Jun</v>
      </c>
      <c r="D454">
        <v>2</v>
      </c>
      <c r="E454">
        <v>2</v>
      </c>
      <c r="F454">
        <v>7</v>
      </c>
      <c r="G454" s="3">
        <v>243598</v>
      </c>
      <c r="H454" s="3">
        <f t="shared" si="14"/>
        <v>1705186</v>
      </c>
      <c r="I454" s="5">
        <f>Table2[[#This Row],[Total Revenue]]*0.3</f>
        <v>511555.8</v>
      </c>
      <c r="J454" s="6">
        <f t="shared" si="15"/>
        <v>0.3</v>
      </c>
      <c r="K454" t="str">
        <f>VLOOKUP(Table2[[#This Row],[ProductID]],Products!$A$1:C458,2)</f>
        <v>Phone</v>
      </c>
      <c r="L454" t="str">
        <f>VLOOKUP(D454,Products!$A$1:C458,3)</f>
        <v>Electronics</v>
      </c>
      <c r="M454" t="str">
        <f>VLOOKUP(Table2[[#This Row],[AgentID]],Sales_Agents!$A$1:C457,2)</f>
        <v>Blessing</v>
      </c>
      <c r="N454" t="str">
        <f>VLOOKUP(Table2[[#This Row],[AgentID]],Sales_Agents!$A$1:C457,3)</f>
        <v>East</v>
      </c>
    </row>
    <row r="455" spans="1:14" x14ac:dyDescent="0.25">
      <c r="A455">
        <v>454</v>
      </c>
      <c r="B455" s="1">
        <v>45590</v>
      </c>
      <c r="C455" s="8" t="str">
        <f>TEXT(Table2[[#This Row],[OrderDate]],"mmm")</f>
        <v>Oct</v>
      </c>
      <c r="D455">
        <v>1</v>
      </c>
      <c r="E455">
        <v>4</v>
      </c>
      <c r="F455">
        <v>2</v>
      </c>
      <c r="G455" s="3">
        <v>292549</v>
      </c>
      <c r="H455" s="3">
        <f t="shared" si="14"/>
        <v>585098</v>
      </c>
      <c r="I455" s="5">
        <f>Table2[[#This Row],[Total Revenue]]*0.3</f>
        <v>175529.4</v>
      </c>
      <c r="J455" s="6">
        <f t="shared" si="15"/>
        <v>0.3</v>
      </c>
      <c r="K455" t="str">
        <f>VLOOKUP(Table2[[#This Row],[ProductID]],Products!$A$1:C459,2)</f>
        <v>Laptop</v>
      </c>
      <c r="L455" t="str">
        <f>VLOOKUP(D455,Products!$A$1:C459,3)</f>
        <v>Electronics</v>
      </c>
      <c r="M455" t="str">
        <f>VLOOKUP(Table2[[#This Row],[AgentID]],Sales_Agents!$A$1:C458,2)</f>
        <v>Zainab</v>
      </c>
      <c r="N455" t="str">
        <f>VLOOKUP(Table2[[#This Row],[AgentID]],Sales_Agents!$A$1:C458,3)</f>
        <v>North</v>
      </c>
    </row>
    <row r="456" spans="1:14" x14ac:dyDescent="0.25">
      <c r="A456">
        <v>455</v>
      </c>
      <c r="B456" s="1">
        <v>45373</v>
      </c>
      <c r="C456" s="8" t="str">
        <f>TEXT(Table2[[#This Row],[OrderDate]],"mmm")</f>
        <v>Mar</v>
      </c>
      <c r="D456">
        <v>1</v>
      </c>
      <c r="E456">
        <v>1</v>
      </c>
      <c r="F456">
        <v>15</v>
      </c>
      <c r="G456" s="3">
        <v>254923</v>
      </c>
      <c r="H456" s="3">
        <f t="shared" si="14"/>
        <v>3823845</v>
      </c>
      <c r="I456" s="5">
        <f>Table2[[#This Row],[Total Revenue]]*0.3</f>
        <v>1147153.5</v>
      </c>
      <c r="J456" s="6">
        <f t="shared" si="15"/>
        <v>0.3</v>
      </c>
      <c r="K456" t="str">
        <f>VLOOKUP(Table2[[#This Row],[ProductID]],Products!$A$1:C460,2)</f>
        <v>Laptop</v>
      </c>
      <c r="L456" t="str">
        <f>VLOOKUP(D456,Products!$A$1:C460,3)</f>
        <v>Electronics</v>
      </c>
      <c r="M456" t="str">
        <f>VLOOKUP(Table2[[#This Row],[AgentID]],Sales_Agents!$A$1:C459,2)</f>
        <v>Akin</v>
      </c>
      <c r="N456" t="str">
        <f>VLOOKUP(Table2[[#This Row],[AgentID]],Sales_Agents!$A$1:C459,3)</f>
        <v>West</v>
      </c>
    </row>
    <row r="457" spans="1:14" x14ac:dyDescent="0.25">
      <c r="A457">
        <v>456</v>
      </c>
      <c r="B457" s="1">
        <v>45362</v>
      </c>
      <c r="C457" s="8" t="str">
        <f>TEXT(Table2[[#This Row],[OrderDate]],"mmm")</f>
        <v>Mar</v>
      </c>
      <c r="D457">
        <v>5</v>
      </c>
      <c r="E457">
        <v>2</v>
      </c>
      <c r="F457">
        <v>14</v>
      </c>
      <c r="G457" s="3">
        <v>340922</v>
      </c>
      <c r="H457" s="3">
        <f t="shared" si="14"/>
        <v>4772908</v>
      </c>
      <c r="I457" s="5">
        <f>Table2[[#This Row],[Total Revenue]]*0.3</f>
        <v>1431872.4</v>
      </c>
      <c r="J457" s="6">
        <f t="shared" si="15"/>
        <v>0.3</v>
      </c>
      <c r="K457" t="str">
        <f>VLOOKUP(Table2[[#This Row],[ProductID]],Products!$A$1:C461,2)</f>
        <v>Monitor</v>
      </c>
      <c r="L457" t="str">
        <f>VLOOKUP(D457,Products!$A$1:C461,3)</f>
        <v>Accessories</v>
      </c>
      <c r="M457" t="str">
        <f>VLOOKUP(Table2[[#This Row],[AgentID]],Sales_Agents!$A$1:C460,2)</f>
        <v>Blessing</v>
      </c>
      <c r="N457" t="str">
        <f>VLOOKUP(Table2[[#This Row],[AgentID]],Sales_Agents!$A$1:C460,3)</f>
        <v>East</v>
      </c>
    </row>
    <row r="458" spans="1:14" x14ac:dyDescent="0.25">
      <c r="A458">
        <v>457</v>
      </c>
      <c r="B458" s="1">
        <v>45313</v>
      </c>
      <c r="C458" s="8" t="str">
        <f>TEXT(Table2[[#This Row],[OrderDate]],"mmm")</f>
        <v>Jan</v>
      </c>
      <c r="D458">
        <v>1</v>
      </c>
      <c r="E458">
        <v>4</v>
      </c>
      <c r="F458">
        <v>18</v>
      </c>
      <c r="G458" s="3">
        <v>144737</v>
      </c>
      <c r="H458" s="3">
        <f t="shared" si="14"/>
        <v>2605266</v>
      </c>
      <c r="I458" s="5">
        <f>Table2[[#This Row],[Total Revenue]]*0.3</f>
        <v>781579.79999999993</v>
      </c>
      <c r="J458" s="6">
        <f t="shared" si="15"/>
        <v>0.3</v>
      </c>
      <c r="K458" t="str">
        <f>VLOOKUP(Table2[[#This Row],[ProductID]],Products!$A$1:C462,2)</f>
        <v>Laptop</v>
      </c>
      <c r="L458" t="str">
        <f>VLOOKUP(D458,Products!$A$1:C462,3)</f>
        <v>Electronics</v>
      </c>
      <c r="M458" t="str">
        <f>VLOOKUP(Table2[[#This Row],[AgentID]],Sales_Agents!$A$1:C461,2)</f>
        <v>Zainab</v>
      </c>
      <c r="N458" t="str">
        <f>VLOOKUP(Table2[[#This Row],[AgentID]],Sales_Agents!$A$1:C461,3)</f>
        <v>North</v>
      </c>
    </row>
    <row r="459" spans="1:14" x14ac:dyDescent="0.25">
      <c r="A459">
        <v>458</v>
      </c>
      <c r="B459" s="1">
        <v>45337</v>
      </c>
      <c r="C459" s="8" t="str">
        <f>TEXT(Table2[[#This Row],[OrderDate]],"mmm")</f>
        <v>Feb</v>
      </c>
      <c r="D459">
        <v>2</v>
      </c>
      <c r="E459">
        <v>4</v>
      </c>
      <c r="F459">
        <v>13</v>
      </c>
      <c r="G459" s="3">
        <v>386342</v>
      </c>
      <c r="H459" s="3">
        <f t="shared" si="14"/>
        <v>5022446</v>
      </c>
      <c r="I459" s="5">
        <f>Table2[[#This Row],[Total Revenue]]*0.3</f>
        <v>1506733.8</v>
      </c>
      <c r="J459" s="6">
        <f t="shared" si="15"/>
        <v>0.3</v>
      </c>
      <c r="K459" t="str">
        <f>VLOOKUP(Table2[[#This Row],[ProductID]],Products!$A$1:C463,2)</f>
        <v>Phone</v>
      </c>
      <c r="L459" t="str">
        <f>VLOOKUP(D459,Products!$A$1:C463,3)</f>
        <v>Electronics</v>
      </c>
      <c r="M459" t="str">
        <f>VLOOKUP(Table2[[#This Row],[AgentID]],Sales_Agents!$A$1:C462,2)</f>
        <v>Zainab</v>
      </c>
      <c r="N459" t="str">
        <f>VLOOKUP(Table2[[#This Row],[AgentID]],Sales_Agents!$A$1:C462,3)</f>
        <v>North</v>
      </c>
    </row>
    <row r="460" spans="1:14" x14ac:dyDescent="0.25">
      <c r="A460">
        <v>459</v>
      </c>
      <c r="B460" s="1">
        <v>45506</v>
      </c>
      <c r="C460" s="8" t="str">
        <f>TEXT(Table2[[#This Row],[OrderDate]],"mmm")</f>
        <v>Aug</v>
      </c>
      <c r="D460">
        <v>2</v>
      </c>
      <c r="E460">
        <v>4</v>
      </c>
      <c r="F460">
        <v>10</v>
      </c>
      <c r="G460" s="3">
        <v>257725</v>
      </c>
      <c r="H460" s="3">
        <f t="shared" si="14"/>
        <v>2577250</v>
      </c>
      <c r="I460" s="5">
        <f>Table2[[#This Row],[Total Revenue]]*0.3</f>
        <v>773175</v>
      </c>
      <c r="J460" s="6">
        <f t="shared" si="15"/>
        <v>0.3</v>
      </c>
      <c r="K460" t="str">
        <f>VLOOKUP(Table2[[#This Row],[ProductID]],Products!$A$1:C464,2)</f>
        <v>Phone</v>
      </c>
      <c r="L460" t="str">
        <f>VLOOKUP(D460,Products!$A$1:C464,3)</f>
        <v>Electronics</v>
      </c>
      <c r="M460" t="str">
        <f>VLOOKUP(Table2[[#This Row],[AgentID]],Sales_Agents!$A$1:C463,2)</f>
        <v>Zainab</v>
      </c>
      <c r="N460" t="str">
        <f>VLOOKUP(Table2[[#This Row],[AgentID]],Sales_Agents!$A$1:C463,3)</f>
        <v>North</v>
      </c>
    </row>
    <row r="461" spans="1:14" x14ac:dyDescent="0.25">
      <c r="A461">
        <v>460</v>
      </c>
      <c r="B461" s="1">
        <v>45328</v>
      </c>
      <c r="C461" s="8" t="str">
        <f>TEXT(Table2[[#This Row],[OrderDate]],"mmm")</f>
        <v>Feb</v>
      </c>
      <c r="D461">
        <v>5</v>
      </c>
      <c r="E461">
        <v>4</v>
      </c>
      <c r="F461">
        <v>4</v>
      </c>
      <c r="G461" s="3">
        <v>365046</v>
      </c>
      <c r="H461" s="3">
        <f t="shared" si="14"/>
        <v>1460184</v>
      </c>
      <c r="I461" s="5">
        <f>Table2[[#This Row],[Total Revenue]]*0.3</f>
        <v>438055.2</v>
      </c>
      <c r="J461" s="6">
        <f t="shared" si="15"/>
        <v>0.3</v>
      </c>
      <c r="K461" t="str">
        <f>VLOOKUP(Table2[[#This Row],[ProductID]],Products!$A$1:C465,2)</f>
        <v>Monitor</v>
      </c>
      <c r="L461" t="str">
        <f>VLOOKUP(D461,Products!$A$1:C465,3)</f>
        <v>Accessories</v>
      </c>
      <c r="M461" t="str">
        <f>VLOOKUP(Table2[[#This Row],[AgentID]],Sales_Agents!$A$1:C464,2)</f>
        <v>Zainab</v>
      </c>
      <c r="N461" t="str">
        <f>VLOOKUP(Table2[[#This Row],[AgentID]],Sales_Agents!$A$1:C464,3)</f>
        <v>North</v>
      </c>
    </row>
    <row r="462" spans="1:14" x14ac:dyDescent="0.25">
      <c r="A462">
        <v>461</v>
      </c>
      <c r="B462" s="1">
        <v>45319</v>
      </c>
      <c r="C462" s="8" t="str">
        <f>TEXT(Table2[[#This Row],[OrderDate]],"mmm")</f>
        <v>Jan</v>
      </c>
      <c r="D462">
        <v>5</v>
      </c>
      <c r="E462">
        <v>2</v>
      </c>
      <c r="F462">
        <v>12</v>
      </c>
      <c r="G462" s="3">
        <v>384150</v>
      </c>
      <c r="H462" s="3">
        <f t="shared" si="14"/>
        <v>4609800</v>
      </c>
      <c r="I462" s="5">
        <f>Table2[[#This Row],[Total Revenue]]*0.3</f>
        <v>1382940</v>
      </c>
      <c r="J462" s="6">
        <f t="shared" si="15"/>
        <v>0.3</v>
      </c>
      <c r="K462" t="str">
        <f>VLOOKUP(Table2[[#This Row],[ProductID]],Products!$A$1:C466,2)</f>
        <v>Monitor</v>
      </c>
      <c r="L462" t="str">
        <f>VLOOKUP(D462,Products!$A$1:C466,3)</f>
        <v>Accessories</v>
      </c>
      <c r="M462" t="str">
        <f>VLOOKUP(Table2[[#This Row],[AgentID]],Sales_Agents!$A$1:C465,2)</f>
        <v>Blessing</v>
      </c>
      <c r="N462" t="str">
        <f>VLOOKUP(Table2[[#This Row],[AgentID]],Sales_Agents!$A$1:C465,3)</f>
        <v>East</v>
      </c>
    </row>
    <row r="463" spans="1:14" x14ac:dyDescent="0.25">
      <c r="A463">
        <v>462</v>
      </c>
      <c r="B463" s="1">
        <v>45477</v>
      </c>
      <c r="C463" s="8" t="str">
        <f>TEXT(Table2[[#This Row],[OrderDate]],"mmm")</f>
        <v>Jul</v>
      </c>
      <c r="D463">
        <v>5</v>
      </c>
      <c r="E463">
        <v>2</v>
      </c>
      <c r="F463">
        <v>6</v>
      </c>
      <c r="G463" s="3">
        <v>190608</v>
      </c>
      <c r="H463" s="3">
        <f t="shared" si="14"/>
        <v>1143648</v>
      </c>
      <c r="I463" s="5">
        <f>Table2[[#This Row],[Total Revenue]]*0.3</f>
        <v>343094.39999999997</v>
      </c>
      <c r="J463" s="6">
        <f t="shared" si="15"/>
        <v>0.3</v>
      </c>
      <c r="K463" t="str">
        <f>VLOOKUP(Table2[[#This Row],[ProductID]],Products!$A$1:C467,2)</f>
        <v>Monitor</v>
      </c>
      <c r="L463" t="str">
        <f>VLOOKUP(D463,Products!$A$1:C467,3)</f>
        <v>Accessories</v>
      </c>
      <c r="M463" t="str">
        <f>VLOOKUP(Table2[[#This Row],[AgentID]],Sales_Agents!$A$1:C466,2)</f>
        <v>Blessing</v>
      </c>
      <c r="N463" t="str">
        <f>VLOOKUP(Table2[[#This Row],[AgentID]],Sales_Agents!$A$1:C466,3)</f>
        <v>East</v>
      </c>
    </row>
    <row r="464" spans="1:14" x14ac:dyDescent="0.25">
      <c r="A464">
        <v>463</v>
      </c>
      <c r="B464" s="1">
        <v>45397</v>
      </c>
      <c r="C464" s="8" t="str">
        <f>TEXT(Table2[[#This Row],[OrderDate]],"mmm")</f>
        <v>Apr</v>
      </c>
      <c r="D464">
        <v>4</v>
      </c>
      <c r="E464">
        <v>1</v>
      </c>
      <c r="F464">
        <v>13</v>
      </c>
      <c r="G464" s="3">
        <v>162760</v>
      </c>
      <c r="H464" s="3">
        <f t="shared" si="14"/>
        <v>2115880</v>
      </c>
      <c r="I464" s="5">
        <f>Table2[[#This Row],[Total Revenue]]*0.3</f>
        <v>634764</v>
      </c>
      <c r="J464" s="6">
        <f t="shared" si="15"/>
        <v>0.3</v>
      </c>
      <c r="K464" t="str">
        <f>VLOOKUP(Table2[[#This Row],[ProductID]],Products!$A$1:C468,2)</f>
        <v>Printer</v>
      </c>
      <c r="L464" t="str">
        <f>VLOOKUP(D464,Products!$A$1:C468,3)</f>
        <v>Accessories</v>
      </c>
      <c r="M464" t="str">
        <f>VLOOKUP(Table2[[#This Row],[AgentID]],Sales_Agents!$A$1:C467,2)</f>
        <v>Akin</v>
      </c>
      <c r="N464" t="str">
        <f>VLOOKUP(Table2[[#This Row],[AgentID]],Sales_Agents!$A$1:C467,3)</f>
        <v>West</v>
      </c>
    </row>
    <row r="465" spans="1:14" x14ac:dyDescent="0.25">
      <c r="A465">
        <v>464</v>
      </c>
      <c r="B465" s="1">
        <v>45303</v>
      </c>
      <c r="C465" s="8" t="str">
        <f>TEXT(Table2[[#This Row],[OrderDate]],"mmm")</f>
        <v>Jan</v>
      </c>
      <c r="D465">
        <v>5</v>
      </c>
      <c r="E465">
        <v>2</v>
      </c>
      <c r="F465">
        <v>17</v>
      </c>
      <c r="G465" s="3">
        <v>279609</v>
      </c>
      <c r="H465" s="3">
        <f t="shared" si="14"/>
        <v>4753353</v>
      </c>
      <c r="I465" s="5">
        <f>Table2[[#This Row],[Total Revenue]]*0.3</f>
        <v>1426005.9</v>
      </c>
      <c r="J465" s="6">
        <f t="shared" si="15"/>
        <v>0.3</v>
      </c>
      <c r="K465" t="str">
        <f>VLOOKUP(Table2[[#This Row],[ProductID]],Products!$A$1:C469,2)</f>
        <v>Monitor</v>
      </c>
      <c r="L465" t="str">
        <f>VLOOKUP(D465,Products!$A$1:C469,3)</f>
        <v>Accessories</v>
      </c>
      <c r="M465" t="str">
        <f>VLOOKUP(Table2[[#This Row],[AgentID]],Sales_Agents!$A$1:C468,2)</f>
        <v>Blessing</v>
      </c>
      <c r="N465" t="str">
        <f>VLOOKUP(Table2[[#This Row],[AgentID]],Sales_Agents!$A$1:C468,3)</f>
        <v>East</v>
      </c>
    </row>
    <row r="466" spans="1:14" x14ac:dyDescent="0.25">
      <c r="A466">
        <v>465</v>
      </c>
      <c r="B466" s="1">
        <v>45310</v>
      </c>
      <c r="C466" s="8" t="str">
        <f>TEXT(Table2[[#This Row],[OrderDate]],"mmm")</f>
        <v>Jan</v>
      </c>
      <c r="D466">
        <v>1</v>
      </c>
      <c r="E466">
        <v>4</v>
      </c>
      <c r="F466">
        <v>17</v>
      </c>
      <c r="G466" s="3">
        <v>391992</v>
      </c>
      <c r="H466" s="3">
        <f t="shared" si="14"/>
        <v>6663864</v>
      </c>
      <c r="I466" s="5">
        <f>Table2[[#This Row],[Total Revenue]]*0.3</f>
        <v>1999159.2</v>
      </c>
      <c r="J466" s="6">
        <f t="shared" si="15"/>
        <v>0.3</v>
      </c>
      <c r="K466" t="str">
        <f>VLOOKUP(Table2[[#This Row],[ProductID]],Products!$A$1:C470,2)</f>
        <v>Laptop</v>
      </c>
      <c r="L466" t="str">
        <f>VLOOKUP(D466,Products!$A$1:C470,3)</f>
        <v>Electronics</v>
      </c>
      <c r="M466" t="str">
        <f>VLOOKUP(Table2[[#This Row],[AgentID]],Sales_Agents!$A$1:C469,2)</f>
        <v>Zainab</v>
      </c>
      <c r="N466" t="str">
        <f>VLOOKUP(Table2[[#This Row],[AgentID]],Sales_Agents!$A$1:C469,3)</f>
        <v>North</v>
      </c>
    </row>
    <row r="467" spans="1:14" x14ac:dyDescent="0.25">
      <c r="A467">
        <v>466</v>
      </c>
      <c r="B467" s="1">
        <v>45452</v>
      </c>
      <c r="C467" s="8" t="str">
        <f>TEXT(Table2[[#This Row],[OrderDate]],"mmm")</f>
        <v>Jun</v>
      </c>
      <c r="D467">
        <v>1</v>
      </c>
      <c r="E467">
        <v>2</v>
      </c>
      <c r="F467">
        <v>14</v>
      </c>
      <c r="G467" s="3">
        <v>164012</v>
      </c>
      <c r="H467" s="3">
        <f t="shared" si="14"/>
        <v>2296168</v>
      </c>
      <c r="I467" s="5">
        <f>Table2[[#This Row],[Total Revenue]]*0.3</f>
        <v>688850.4</v>
      </c>
      <c r="J467" s="6">
        <f t="shared" si="15"/>
        <v>0.3</v>
      </c>
      <c r="K467" t="str">
        <f>VLOOKUP(Table2[[#This Row],[ProductID]],Products!$A$1:C471,2)</f>
        <v>Laptop</v>
      </c>
      <c r="L467" t="str">
        <f>VLOOKUP(D467,Products!$A$1:C471,3)</f>
        <v>Electronics</v>
      </c>
      <c r="M467" t="str">
        <f>VLOOKUP(Table2[[#This Row],[AgentID]],Sales_Agents!$A$1:C470,2)</f>
        <v>Blessing</v>
      </c>
      <c r="N467" t="str">
        <f>VLOOKUP(Table2[[#This Row],[AgentID]],Sales_Agents!$A$1:C470,3)</f>
        <v>East</v>
      </c>
    </row>
    <row r="468" spans="1:14" x14ac:dyDescent="0.25">
      <c r="A468">
        <v>467</v>
      </c>
      <c r="B468" s="1">
        <v>45365</v>
      </c>
      <c r="C468" s="8" t="str">
        <f>TEXT(Table2[[#This Row],[OrderDate]],"mmm")</f>
        <v>Mar</v>
      </c>
      <c r="D468">
        <v>1</v>
      </c>
      <c r="E468">
        <v>2</v>
      </c>
      <c r="F468">
        <v>6</v>
      </c>
      <c r="G468" s="3">
        <v>177430</v>
      </c>
      <c r="H468" s="3">
        <f t="shared" si="14"/>
        <v>1064580</v>
      </c>
      <c r="I468" s="5">
        <f>Table2[[#This Row],[Total Revenue]]*0.3</f>
        <v>319374</v>
      </c>
      <c r="J468" s="6">
        <f t="shared" si="15"/>
        <v>0.3</v>
      </c>
      <c r="K468" t="str">
        <f>VLOOKUP(Table2[[#This Row],[ProductID]],Products!$A$1:C472,2)</f>
        <v>Laptop</v>
      </c>
      <c r="L468" t="str">
        <f>VLOOKUP(D468,Products!$A$1:C472,3)</f>
        <v>Electronics</v>
      </c>
      <c r="M468" t="str">
        <f>VLOOKUP(Table2[[#This Row],[AgentID]],Sales_Agents!$A$1:C471,2)</f>
        <v>Blessing</v>
      </c>
      <c r="N468" t="str">
        <f>VLOOKUP(Table2[[#This Row],[AgentID]],Sales_Agents!$A$1:C471,3)</f>
        <v>East</v>
      </c>
    </row>
    <row r="469" spans="1:14" x14ac:dyDescent="0.25">
      <c r="A469">
        <v>468</v>
      </c>
      <c r="B469" s="1">
        <v>45443</v>
      </c>
      <c r="C469" s="8" t="str">
        <f>TEXT(Table2[[#This Row],[OrderDate]],"mmm")</f>
        <v>May</v>
      </c>
      <c r="D469">
        <v>3</v>
      </c>
      <c r="E469">
        <v>3</v>
      </c>
      <c r="F469">
        <v>17</v>
      </c>
      <c r="G469" s="3">
        <v>198078</v>
      </c>
      <c r="H469" s="3">
        <f t="shared" si="14"/>
        <v>3367326</v>
      </c>
      <c r="I469" s="5">
        <f>Table2[[#This Row],[Total Revenue]]*0.3</f>
        <v>1010197.7999999999</v>
      </c>
      <c r="J469" s="6">
        <f t="shared" si="15"/>
        <v>0.3</v>
      </c>
      <c r="K469" t="str">
        <f>VLOOKUP(Table2[[#This Row],[ProductID]],Products!$A$1:C473,2)</f>
        <v>Tablet</v>
      </c>
      <c r="L469" t="str">
        <f>VLOOKUP(D469,Products!$A$1:C473,3)</f>
        <v>Electronics</v>
      </c>
      <c r="M469" t="str">
        <f>VLOOKUP(Table2[[#This Row],[AgentID]],Sales_Agents!$A$1:C472,2)</f>
        <v>Chinedu</v>
      </c>
      <c r="N469" t="str">
        <f>VLOOKUP(Table2[[#This Row],[AgentID]],Sales_Agents!$A$1:C472,3)</f>
        <v>South</v>
      </c>
    </row>
    <row r="470" spans="1:14" x14ac:dyDescent="0.25">
      <c r="A470">
        <v>469</v>
      </c>
      <c r="B470" s="1">
        <v>45426</v>
      </c>
      <c r="C470" s="8" t="str">
        <f>TEXT(Table2[[#This Row],[OrderDate]],"mmm")</f>
        <v>May</v>
      </c>
      <c r="D470">
        <v>4</v>
      </c>
      <c r="E470">
        <v>4</v>
      </c>
      <c r="F470">
        <v>6</v>
      </c>
      <c r="G470" s="3">
        <v>368050</v>
      </c>
      <c r="H470" s="3">
        <f t="shared" si="14"/>
        <v>2208300</v>
      </c>
      <c r="I470" s="5">
        <f>Table2[[#This Row],[Total Revenue]]*0.3</f>
        <v>662490</v>
      </c>
      <c r="J470" s="6">
        <f t="shared" si="15"/>
        <v>0.3</v>
      </c>
      <c r="K470" t="str">
        <f>VLOOKUP(Table2[[#This Row],[ProductID]],Products!$A$1:C474,2)</f>
        <v>Printer</v>
      </c>
      <c r="L470" t="str">
        <f>VLOOKUP(D470,Products!$A$1:C474,3)</f>
        <v>Accessories</v>
      </c>
      <c r="M470" t="str">
        <f>VLOOKUP(Table2[[#This Row],[AgentID]],Sales_Agents!$A$1:C473,2)</f>
        <v>Zainab</v>
      </c>
      <c r="N470" t="str">
        <f>VLOOKUP(Table2[[#This Row],[AgentID]],Sales_Agents!$A$1:C473,3)</f>
        <v>North</v>
      </c>
    </row>
    <row r="471" spans="1:14" x14ac:dyDescent="0.25">
      <c r="A471">
        <v>470</v>
      </c>
      <c r="B471" s="1">
        <v>45421</v>
      </c>
      <c r="C471" s="8" t="str">
        <f>TEXT(Table2[[#This Row],[OrderDate]],"mmm")</f>
        <v>May</v>
      </c>
      <c r="D471">
        <v>3</v>
      </c>
      <c r="E471">
        <v>1</v>
      </c>
      <c r="F471">
        <v>15</v>
      </c>
      <c r="G471" s="3">
        <v>204321</v>
      </c>
      <c r="H471" s="3">
        <f t="shared" si="14"/>
        <v>3064815</v>
      </c>
      <c r="I471" s="5">
        <f>Table2[[#This Row],[Total Revenue]]*0.3</f>
        <v>919444.5</v>
      </c>
      <c r="J471" s="6">
        <f t="shared" si="15"/>
        <v>0.3</v>
      </c>
      <c r="K471" t="str">
        <f>VLOOKUP(Table2[[#This Row],[ProductID]],Products!$A$1:C475,2)</f>
        <v>Tablet</v>
      </c>
      <c r="L471" t="str">
        <f>VLOOKUP(D471,Products!$A$1:C475,3)</f>
        <v>Electronics</v>
      </c>
      <c r="M471" t="str">
        <f>VLOOKUP(Table2[[#This Row],[AgentID]],Sales_Agents!$A$1:C474,2)</f>
        <v>Akin</v>
      </c>
      <c r="N471" t="str">
        <f>VLOOKUP(Table2[[#This Row],[AgentID]],Sales_Agents!$A$1:C474,3)</f>
        <v>West</v>
      </c>
    </row>
    <row r="472" spans="1:14" x14ac:dyDescent="0.25">
      <c r="A472">
        <v>471</v>
      </c>
      <c r="B472" s="1">
        <v>45375</v>
      </c>
      <c r="C472" s="8" t="str">
        <f>TEXT(Table2[[#This Row],[OrderDate]],"mmm")</f>
        <v>Mar</v>
      </c>
      <c r="D472">
        <v>4</v>
      </c>
      <c r="E472">
        <v>4</v>
      </c>
      <c r="F472">
        <v>3</v>
      </c>
      <c r="G472" s="3">
        <v>322534</v>
      </c>
      <c r="H472" s="3">
        <f t="shared" si="14"/>
        <v>967602</v>
      </c>
      <c r="I472" s="5">
        <f>Table2[[#This Row],[Total Revenue]]*0.3</f>
        <v>290280.59999999998</v>
      </c>
      <c r="J472" s="6">
        <f t="shared" si="15"/>
        <v>0.3</v>
      </c>
      <c r="K472" t="str">
        <f>VLOOKUP(Table2[[#This Row],[ProductID]],Products!$A$1:C476,2)</f>
        <v>Printer</v>
      </c>
      <c r="L472" t="str">
        <f>VLOOKUP(D472,Products!$A$1:C476,3)</f>
        <v>Accessories</v>
      </c>
      <c r="M472" t="str">
        <f>VLOOKUP(Table2[[#This Row],[AgentID]],Sales_Agents!$A$1:C475,2)</f>
        <v>Zainab</v>
      </c>
      <c r="N472" t="str">
        <f>VLOOKUP(Table2[[#This Row],[AgentID]],Sales_Agents!$A$1:C475,3)</f>
        <v>North</v>
      </c>
    </row>
    <row r="473" spans="1:14" x14ac:dyDescent="0.25">
      <c r="A473">
        <v>472</v>
      </c>
      <c r="B473" s="1">
        <v>45365</v>
      </c>
      <c r="C473" s="8" t="str">
        <f>TEXT(Table2[[#This Row],[OrderDate]],"mmm")</f>
        <v>Mar</v>
      </c>
      <c r="D473">
        <v>5</v>
      </c>
      <c r="E473">
        <v>1</v>
      </c>
      <c r="F473">
        <v>4</v>
      </c>
      <c r="G473" s="3">
        <v>82362</v>
      </c>
      <c r="H473" s="3">
        <f t="shared" si="14"/>
        <v>329448</v>
      </c>
      <c r="I473" s="5">
        <f>Table2[[#This Row],[Total Revenue]]*0.3</f>
        <v>98834.4</v>
      </c>
      <c r="J473" s="6">
        <f t="shared" si="15"/>
        <v>0.3</v>
      </c>
      <c r="K473" t="str">
        <f>VLOOKUP(Table2[[#This Row],[ProductID]],Products!$A$1:C477,2)</f>
        <v>Monitor</v>
      </c>
      <c r="L473" t="str">
        <f>VLOOKUP(D473,Products!$A$1:C477,3)</f>
        <v>Accessories</v>
      </c>
      <c r="M473" t="str">
        <f>VLOOKUP(Table2[[#This Row],[AgentID]],Sales_Agents!$A$1:C476,2)</f>
        <v>Akin</v>
      </c>
      <c r="N473" t="str">
        <f>VLOOKUP(Table2[[#This Row],[AgentID]],Sales_Agents!$A$1:C476,3)</f>
        <v>West</v>
      </c>
    </row>
    <row r="474" spans="1:14" x14ac:dyDescent="0.25">
      <c r="A474">
        <v>473</v>
      </c>
      <c r="B474" s="1">
        <v>45561</v>
      </c>
      <c r="C474" s="8" t="str">
        <f>TEXT(Table2[[#This Row],[OrderDate]],"mmm")</f>
        <v>Sept</v>
      </c>
      <c r="D474">
        <v>4</v>
      </c>
      <c r="E474">
        <v>1</v>
      </c>
      <c r="F474">
        <v>12</v>
      </c>
      <c r="G474" s="3">
        <v>210784</v>
      </c>
      <c r="H474" s="3">
        <f t="shared" si="14"/>
        <v>2529408</v>
      </c>
      <c r="I474" s="5">
        <f>Table2[[#This Row],[Total Revenue]]*0.3</f>
        <v>758822.40000000002</v>
      </c>
      <c r="J474" s="6">
        <f t="shared" si="15"/>
        <v>0.3</v>
      </c>
      <c r="K474" t="str">
        <f>VLOOKUP(Table2[[#This Row],[ProductID]],Products!$A$1:C478,2)</f>
        <v>Printer</v>
      </c>
      <c r="L474" t="str">
        <f>VLOOKUP(D474,Products!$A$1:C478,3)</f>
        <v>Accessories</v>
      </c>
      <c r="M474" t="str">
        <f>VLOOKUP(Table2[[#This Row],[AgentID]],Sales_Agents!$A$1:C477,2)</f>
        <v>Akin</v>
      </c>
      <c r="N474" t="str">
        <f>VLOOKUP(Table2[[#This Row],[AgentID]],Sales_Agents!$A$1:C477,3)</f>
        <v>West</v>
      </c>
    </row>
    <row r="475" spans="1:14" x14ac:dyDescent="0.25">
      <c r="A475">
        <v>474</v>
      </c>
      <c r="B475" s="1">
        <v>45426</v>
      </c>
      <c r="C475" s="8" t="str">
        <f>TEXT(Table2[[#This Row],[OrderDate]],"mmm")</f>
        <v>May</v>
      </c>
      <c r="D475">
        <v>2</v>
      </c>
      <c r="E475">
        <v>3</v>
      </c>
      <c r="F475">
        <v>9</v>
      </c>
      <c r="G475" s="3">
        <v>91878</v>
      </c>
      <c r="H475" s="3">
        <f t="shared" si="14"/>
        <v>826902</v>
      </c>
      <c r="I475" s="5">
        <f>Table2[[#This Row],[Total Revenue]]*0.3</f>
        <v>248070.59999999998</v>
      </c>
      <c r="J475" s="6">
        <f t="shared" si="15"/>
        <v>0.3</v>
      </c>
      <c r="K475" t="str">
        <f>VLOOKUP(Table2[[#This Row],[ProductID]],Products!$A$1:C479,2)</f>
        <v>Phone</v>
      </c>
      <c r="L475" t="str">
        <f>VLOOKUP(D475,Products!$A$1:C479,3)</f>
        <v>Electronics</v>
      </c>
      <c r="M475" t="str">
        <f>VLOOKUP(Table2[[#This Row],[AgentID]],Sales_Agents!$A$1:C478,2)</f>
        <v>Chinedu</v>
      </c>
      <c r="N475" t="str">
        <f>VLOOKUP(Table2[[#This Row],[AgentID]],Sales_Agents!$A$1:C478,3)</f>
        <v>South</v>
      </c>
    </row>
    <row r="476" spans="1:14" x14ac:dyDescent="0.25">
      <c r="A476">
        <v>475</v>
      </c>
      <c r="B476" s="1">
        <v>45591</v>
      </c>
      <c r="C476" s="8" t="str">
        <f>TEXT(Table2[[#This Row],[OrderDate]],"mmm")</f>
        <v>Oct</v>
      </c>
      <c r="D476">
        <v>2</v>
      </c>
      <c r="E476">
        <v>2</v>
      </c>
      <c r="F476">
        <v>12</v>
      </c>
      <c r="G476" s="3">
        <v>367628</v>
      </c>
      <c r="H476" s="3">
        <f t="shared" si="14"/>
        <v>4411536</v>
      </c>
      <c r="I476" s="5">
        <f>Table2[[#This Row],[Total Revenue]]*0.3</f>
        <v>1323460.8</v>
      </c>
      <c r="J476" s="6">
        <f t="shared" si="15"/>
        <v>0.3</v>
      </c>
      <c r="K476" t="str">
        <f>VLOOKUP(Table2[[#This Row],[ProductID]],Products!$A$1:C480,2)</f>
        <v>Phone</v>
      </c>
      <c r="L476" t="str">
        <f>VLOOKUP(D476,Products!$A$1:C480,3)</f>
        <v>Electronics</v>
      </c>
      <c r="M476" t="str">
        <f>VLOOKUP(Table2[[#This Row],[AgentID]],Sales_Agents!$A$1:C479,2)</f>
        <v>Blessing</v>
      </c>
      <c r="N476" t="str">
        <f>VLOOKUP(Table2[[#This Row],[AgentID]],Sales_Agents!$A$1:C479,3)</f>
        <v>East</v>
      </c>
    </row>
    <row r="477" spans="1:14" x14ac:dyDescent="0.25">
      <c r="A477">
        <v>476</v>
      </c>
      <c r="B477" s="1">
        <v>45454</v>
      </c>
      <c r="C477" s="8" t="str">
        <f>TEXT(Table2[[#This Row],[OrderDate]],"mmm")</f>
        <v>Jun</v>
      </c>
      <c r="D477">
        <v>3</v>
      </c>
      <c r="E477">
        <v>4</v>
      </c>
      <c r="F477">
        <v>16</v>
      </c>
      <c r="G477" s="3">
        <v>146148</v>
      </c>
      <c r="H477" s="3">
        <f t="shared" si="14"/>
        <v>2338368</v>
      </c>
      <c r="I477" s="5">
        <f>Table2[[#This Row],[Total Revenue]]*0.3</f>
        <v>701510.4</v>
      </c>
      <c r="J477" s="6">
        <f t="shared" si="15"/>
        <v>0.3</v>
      </c>
      <c r="K477" t="str">
        <f>VLOOKUP(Table2[[#This Row],[ProductID]],Products!$A$1:C481,2)</f>
        <v>Tablet</v>
      </c>
      <c r="L477" t="str">
        <f>VLOOKUP(D477,Products!$A$1:C481,3)</f>
        <v>Electronics</v>
      </c>
      <c r="M477" t="str">
        <f>VLOOKUP(Table2[[#This Row],[AgentID]],Sales_Agents!$A$1:C480,2)</f>
        <v>Zainab</v>
      </c>
      <c r="N477" t="str">
        <f>VLOOKUP(Table2[[#This Row],[AgentID]],Sales_Agents!$A$1:C480,3)</f>
        <v>North</v>
      </c>
    </row>
    <row r="478" spans="1:14" x14ac:dyDescent="0.25">
      <c r="A478">
        <v>477</v>
      </c>
      <c r="B478" s="1">
        <v>45586</v>
      </c>
      <c r="C478" s="8" t="str">
        <f>TEXT(Table2[[#This Row],[OrderDate]],"mmm")</f>
        <v>Oct</v>
      </c>
      <c r="D478">
        <v>1</v>
      </c>
      <c r="E478">
        <v>1</v>
      </c>
      <c r="F478">
        <v>18</v>
      </c>
      <c r="G478" s="3">
        <v>158280</v>
      </c>
      <c r="H478" s="3">
        <f t="shared" si="14"/>
        <v>2849040</v>
      </c>
      <c r="I478" s="5">
        <f>Table2[[#This Row],[Total Revenue]]*0.3</f>
        <v>854712</v>
      </c>
      <c r="J478" s="6">
        <f t="shared" si="15"/>
        <v>0.3</v>
      </c>
      <c r="K478" t="str">
        <f>VLOOKUP(Table2[[#This Row],[ProductID]],Products!$A$1:C482,2)</f>
        <v>Laptop</v>
      </c>
      <c r="L478" t="str">
        <f>VLOOKUP(D478,Products!$A$1:C482,3)</f>
        <v>Electronics</v>
      </c>
      <c r="M478" t="str">
        <f>VLOOKUP(Table2[[#This Row],[AgentID]],Sales_Agents!$A$1:C481,2)</f>
        <v>Akin</v>
      </c>
      <c r="N478" t="str">
        <f>VLOOKUP(Table2[[#This Row],[AgentID]],Sales_Agents!$A$1:C481,3)</f>
        <v>West</v>
      </c>
    </row>
    <row r="479" spans="1:14" x14ac:dyDescent="0.25">
      <c r="A479">
        <v>478</v>
      </c>
      <c r="B479" s="1">
        <v>45636</v>
      </c>
      <c r="C479" s="8" t="str">
        <f>TEXT(Table2[[#This Row],[OrderDate]],"mmm")</f>
        <v>Dec</v>
      </c>
      <c r="D479">
        <v>1</v>
      </c>
      <c r="E479">
        <v>2</v>
      </c>
      <c r="F479">
        <v>12</v>
      </c>
      <c r="G479" s="3">
        <v>227097</v>
      </c>
      <c r="H479" s="3">
        <f t="shared" si="14"/>
        <v>2725164</v>
      </c>
      <c r="I479" s="5">
        <f>Table2[[#This Row],[Total Revenue]]*0.3</f>
        <v>817549.2</v>
      </c>
      <c r="J479" s="6">
        <f t="shared" si="15"/>
        <v>0.3</v>
      </c>
      <c r="K479" t="str">
        <f>VLOOKUP(Table2[[#This Row],[ProductID]],Products!$A$1:C483,2)</f>
        <v>Laptop</v>
      </c>
      <c r="L479" t="str">
        <f>VLOOKUP(D479,Products!$A$1:C483,3)</f>
        <v>Electronics</v>
      </c>
      <c r="M479" t="str">
        <f>VLOOKUP(Table2[[#This Row],[AgentID]],Sales_Agents!$A$1:C482,2)</f>
        <v>Blessing</v>
      </c>
      <c r="N479" t="str">
        <f>VLOOKUP(Table2[[#This Row],[AgentID]],Sales_Agents!$A$1:C482,3)</f>
        <v>East</v>
      </c>
    </row>
    <row r="480" spans="1:14" x14ac:dyDescent="0.25">
      <c r="A480">
        <v>479</v>
      </c>
      <c r="B480" s="1">
        <v>45526</v>
      </c>
      <c r="C480" s="8" t="str">
        <f>TEXT(Table2[[#This Row],[OrderDate]],"mmm")</f>
        <v>Aug</v>
      </c>
      <c r="D480">
        <v>4</v>
      </c>
      <c r="E480">
        <v>1</v>
      </c>
      <c r="F480">
        <v>19</v>
      </c>
      <c r="G480" s="3">
        <v>355375</v>
      </c>
      <c r="H480" s="3">
        <f t="shared" si="14"/>
        <v>6752125</v>
      </c>
      <c r="I480" s="5">
        <f>Table2[[#This Row],[Total Revenue]]*0.3</f>
        <v>2025637.5</v>
      </c>
      <c r="J480" s="6">
        <f t="shared" si="15"/>
        <v>0.3</v>
      </c>
      <c r="K480" t="str">
        <f>VLOOKUP(Table2[[#This Row],[ProductID]],Products!$A$1:C484,2)</f>
        <v>Printer</v>
      </c>
      <c r="L480" t="str">
        <f>VLOOKUP(D480,Products!$A$1:C484,3)</f>
        <v>Accessories</v>
      </c>
      <c r="M480" t="str">
        <f>VLOOKUP(Table2[[#This Row],[AgentID]],Sales_Agents!$A$1:C483,2)</f>
        <v>Akin</v>
      </c>
      <c r="N480" t="str">
        <f>VLOOKUP(Table2[[#This Row],[AgentID]],Sales_Agents!$A$1:C483,3)</f>
        <v>West</v>
      </c>
    </row>
    <row r="481" spans="1:14" x14ac:dyDescent="0.25">
      <c r="A481">
        <v>480</v>
      </c>
      <c r="B481" s="1">
        <v>45535</v>
      </c>
      <c r="C481" s="8" t="str">
        <f>TEXT(Table2[[#This Row],[OrderDate]],"mmm")</f>
        <v>Aug</v>
      </c>
      <c r="D481">
        <v>2</v>
      </c>
      <c r="E481">
        <v>1</v>
      </c>
      <c r="F481">
        <v>17</v>
      </c>
      <c r="G481" s="3">
        <v>309264</v>
      </c>
      <c r="H481" s="3">
        <f t="shared" si="14"/>
        <v>5257488</v>
      </c>
      <c r="I481" s="5">
        <f>Table2[[#This Row],[Total Revenue]]*0.3</f>
        <v>1577246.4</v>
      </c>
      <c r="J481" s="6">
        <f t="shared" si="15"/>
        <v>0.3</v>
      </c>
      <c r="K481" t="str">
        <f>VLOOKUP(Table2[[#This Row],[ProductID]],Products!$A$1:C485,2)</f>
        <v>Phone</v>
      </c>
      <c r="L481" t="str">
        <f>VLOOKUP(D481,Products!$A$1:C485,3)</f>
        <v>Electronics</v>
      </c>
      <c r="M481" t="str">
        <f>VLOOKUP(Table2[[#This Row],[AgentID]],Sales_Agents!$A$1:C484,2)</f>
        <v>Akin</v>
      </c>
      <c r="N481" t="str">
        <f>VLOOKUP(Table2[[#This Row],[AgentID]],Sales_Agents!$A$1:C484,3)</f>
        <v>West</v>
      </c>
    </row>
    <row r="482" spans="1:14" x14ac:dyDescent="0.25">
      <c r="A482">
        <v>481</v>
      </c>
      <c r="B482" s="1">
        <v>45387</v>
      </c>
      <c r="C482" s="8" t="str">
        <f>TEXT(Table2[[#This Row],[OrderDate]],"mmm")</f>
        <v>Apr</v>
      </c>
      <c r="D482">
        <v>5</v>
      </c>
      <c r="E482">
        <v>1</v>
      </c>
      <c r="F482">
        <v>18</v>
      </c>
      <c r="G482" s="3">
        <v>315890</v>
      </c>
      <c r="H482" s="3">
        <f t="shared" si="14"/>
        <v>5686020</v>
      </c>
      <c r="I482" s="5">
        <f>Table2[[#This Row],[Total Revenue]]*0.3</f>
        <v>1705806</v>
      </c>
      <c r="J482" s="6">
        <f t="shared" si="15"/>
        <v>0.3</v>
      </c>
      <c r="K482" t="str">
        <f>VLOOKUP(Table2[[#This Row],[ProductID]],Products!$A$1:C486,2)</f>
        <v>Monitor</v>
      </c>
      <c r="L482" t="str">
        <f>VLOOKUP(D482,Products!$A$1:C486,3)</f>
        <v>Accessories</v>
      </c>
      <c r="M482" t="str">
        <f>VLOOKUP(Table2[[#This Row],[AgentID]],Sales_Agents!$A$1:C485,2)</f>
        <v>Akin</v>
      </c>
      <c r="N482" t="str">
        <f>VLOOKUP(Table2[[#This Row],[AgentID]],Sales_Agents!$A$1:C485,3)</f>
        <v>West</v>
      </c>
    </row>
    <row r="483" spans="1:14" x14ac:dyDescent="0.25">
      <c r="A483">
        <v>482</v>
      </c>
      <c r="B483" s="1">
        <v>45418</v>
      </c>
      <c r="C483" s="8" t="str">
        <f>TEXT(Table2[[#This Row],[OrderDate]],"mmm")</f>
        <v>May</v>
      </c>
      <c r="D483">
        <v>5</v>
      </c>
      <c r="E483">
        <v>4</v>
      </c>
      <c r="F483">
        <v>9</v>
      </c>
      <c r="G483" s="3">
        <v>395323</v>
      </c>
      <c r="H483" s="3">
        <f t="shared" si="14"/>
        <v>3557907</v>
      </c>
      <c r="I483" s="5">
        <f>Table2[[#This Row],[Total Revenue]]*0.3</f>
        <v>1067372.0999999999</v>
      </c>
      <c r="J483" s="6">
        <f t="shared" si="15"/>
        <v>0.29999999999999993</v>
      </c>
      <c r="K483" t="str">
        <f>VLOOKUP(Table2[[#This Row],[ProductID]],Products!$A$1:C487,2)</f>
        <v>Monitor</v>
      </c>
      <c r="L483" t="str">
        <f>VLOOKUP(D483,Products!$A$1:C487,3)</f>
        <v>Accessories</v>
      </c>
      <c r="M483" t="str">
        <f>VLOOKUP(Table2[[#This Row],[AgentID]],Sales_Agents!$A$1:C486,2)</f>
        <v>Zainab</v>
      </c>
      <c r="N483" t="str">
        <f>VLOOKUP(Table2[[#This Row],[AgentID]],Sales_Agents!$A$1:C486,3)</f>
        <v>North</v>
      </c>
    </row>
    <row r="484" spans="1:14" x14ac:dyDescent="0.25">
      <c r="A484">
        <v>483</v>
      </c>
      <c r="B484" s="1">
        <v>45645</v>
      </c>
      <c r="C484" s="8" t="str">
        <f>TEXT(Table2[[#This Row],[OrderDate]],"mmm")</f>
        <v>Dec</v>
      </c>
      <c r="D484">
        <v>1</v>
      </c>
      <c r="E484">
        <v>4</v>
      </c>
      <c r="F484">
        <v>9</v>
      </c>
      <c r="G484" s="3">
        <v>347340</v>
      </c>
      <c r="H484" s="3">
        <f t="shared" si="14"/>
        <v>3126060</v>
      </c>
      <c r="I484" s="5">
        <f>Table2[[#This Row],[Total Revenue]]*0.3</f>
        <v>937818</v>
      </c>
      <c r="J484" s="6">
        <f t="shared" si="15"/>
        <v>0.3</v>
      </c>
      <c r="K484" t="str">
        <f>VLOOKUP(Table2[[#This Row],[ProductID]],Products!$A$1:C488,2)</f>
        <v>Laptop</v>
      </c>
      <c r="L484" t="str">
        <f>VLOOKUP(D484,Products!$A$1:C488,3)</f>
        <v>Electronics</v>
      </c>
      <c r="M484" t="str">
        <f>VLOOKUP(Table2[[#This Row],[AgentID]],Sales_Agents!$A$1:C487,2)</f>
        <v>Zainab</v>
      </c>
      <c r="N484" t="str">
        <f>VLOOKUP(Table2[[#This Row],[AgentID]],Sales_Agents!$A$1:C487,3)</f>
        <v>North</v>
      </c>
    </row>
    <row r="485" spans="1:14" x14ac:dyDescent="0.25">
      <c r="A485">
        <v>484</v>
      </c>
      <c r="B485" s="1">
        <v>45387</v>
      </c>
      <c r="C485" s="8" t="str">
        <f>TEXT(Table2[[#This Row],[OrderDate]],"mmm")</f>
        <v>Apr</v>
      </c>
      <c r="D485">
        <v>1</v>
      </c>
      <c r="E485">
        <v>2</v>
      </c>
      <c r="F485">
        <v>19</v>
      </c>
      <c r="G485" s="3">
        <v>215471</v>
      </c>
      <c r="H485" s="3">
        <f t="shared" si="14"/>
        <v>4093949</v>
      </c>
      <c r="I485" s="5">
        <f>Table2[[#This Row],[Total Revenue]]*0.3</f>
        <v>1228184.7</v>
      </c>
      <c r="J485" s="6">
        <f t="shared" si="15"/>
        <v>0.3</v>
      </c>
      <c r="K485" t="str">
        <f>VLOOKUP(Table2[[#This Row],[ProductID]],Products!$A$1:C489,2)</f>
        <v>Laptop</v>
      </c>
      <c r="L485" t="str">
        <f>VLOOKUP(D485,Products!$A$1:C489,3)</f>
        <v>Electronics</v>
      </c>
      <c r="M485" t="str">
        <f>VLOOKUP(Table2[[#This Row],[AgentID]],Sales_Agents!$A$1:C488,2)</f>
        <v>Blessing</v>
      </c>
      <c r="N485" t="str">
        <f>VLOOKUP(Table2[[#This Row],[AgentID]],Sales_Agents!$A$1:C488,3)</f>
        <v>East</v>
      </c>
    </row>
    <row r="486" spans="1:14" x14ac:dyDescent="0.25">
      <c r="A486">
        <v>485</v>
      </c>
      <c r="B486" s="1">
        <v>45564</v>
      </c>
      <c r="C486" s="8" t="str">
        <f>TEXT(Table2[[#This Row],[OrderDate]],"mmm")</f>
        <v>Sept</v>
      </c>
      <c r="D486">
        <v>5</v>
      </c>
      <c r="E486">
        <v>4</v>
      </c>
      <c r="F486">
        <v>1</v>
      </c>
      <c r="G486" s="3">
        <v>291056</v>
      </c>
      <c r="H486" s="3">
        <f t="shared" si="14"/>
        <v>291056</v>
      </c>
      <c r="I486" s="5">
        <f>Table2[[#This Row],[Total Revenue]]*0.3</f>
        <v>87316.800000000003</v>
      </c>
      <c r="J486" s="6">
        <f t="shared" si="15"/>
        <v>0.3</v>
      </c>
      <c r="K486" t="str">
        <f>VLOOKUP(Table2[[#This Row],[ProductID]],Products!$A$1:C490,2)</f>
        <v>Monitor</v>
      </c>
      <c r="L486" t="str">
        <f>VLOOKUP(D486,Products!$A$1:C490,3)</f>
        <v>Accessories</v>
      </c>
      <c r="M486" t="str">
        <f>VLOOKUP(Table2[[#This Row],[AgentID]],Sales_Agents!$A$1:C489,2)</f>
        <v>Zainab</v>
      </c>
      <c r="N486" t="str">
        <f>VLOOKUP(Table2[[#This Row],[AgentID]],Sales_Agents!$A$1:C489,3)</f>
        <v>North</v>
      </c>
    </row>
    <row r="487" spans="1:14" x14ac:dyDescent="0.25">
      <c r="A487">
        <v>486</v>
      </c>
      <c r="B487" s="1">
        <v>45385</v>
      </c>
      <c r="C487" s="8" t="str">
        <f>TEXT(Table2[[#This Row],[OrderDate]],"mmm")</f>
        <v>Apr</v>
      </c>
      <c r="D487">
        <v>4</v>
      </c>
      <c r="E487">
        <v>2</v>
      </c>
      <c r="F487">
        <v>9</v>
      </c>
      <c r="G487" s="3">
        <v>71640</v>
      </c>
      <c r="H487" s="3">
        <f t="shared" si="14"/>
        <v>644760</v>
      </c>
      <c r="I487" s="5">
        <f>Table2[[#This Row],[Total Revenue]]*0.3</f>
        <v>193428</v>
      </c>
      <c r="J487" s="6">
        <f t="shared" si="15"/>
        <v>0.3</v>
      </c>
      <c r="K487" t="str">
        <f>VLOOKUP(Table2[[#This Row],[ProductID]],Products!$A$1:C491,2)</f>
        <v>Printer</v>
      </c>
      <c r="L487" t="str">
        <f>VLOOKUP(D487,Products!$A$1:C491,3)</f>
        <v>Accessories</v>
      </c>
      <c r="M487" t="str">
        <f>VLOOKUP(Table2[[#This Row],[AgentID]],Sales_Agents!$A$1:C490,2)</f>
        <v>Blessing</v>
      </c>
      <c r="N487" t="str">
        <f>VLOOKUP(Table2[[#This Row],[AgentID]],Sales_Agents!$A$1:C490,3)</f>
        <v>East</v>
      </c>
    </row>
    <row r="488" spans="1:14" x14ac:dyDescent="0.25">
      <c r="A488">
        <v>487</v>
      </c>
      <c r="B488" s="1">
        <v>45407</v>
      </c>
      <c r="C488" s="8" t="str">
        <f>TEXT(Table2[[#This Row],[OrderDate]],"mmm")</f>
        <v>Apr</v>
      </c>
      <c r="D488">
        <v>3</v>
      </c>
      <c r="E488">
        <v>4</v>
      </c>
      <c r="F488">
        <v>19</v>
      </c>
      <c r="G488" s="3">
        <v>58083</v>
      </c>
      <c r="H488" s="3">
        <f t="shared" si="14"/>
        <v>1103577</v>
      </c>
      <c r="I488" s="5">
        <f>Table2[[#This Row],[Total Revenue]]*0.3</f>
        <v>331073.09999999998</v>
      </c>
      <c r="J488" s="6">
        <f t="shared" si="15"/>
        <v>0.3</v>
      </c>
      <c r="K488" t="str">
        <f>VLOOKUP(Table2[[#This Row],[ProductID]],Products!$A$1:C492,2)</f>
        <v>Tablet</v>
      </c>
      <c r="L488" t="str">
        <f>VLOOKUP(D488,Products!$A$1:C492,3)</f>
        <v>Electronics</v>
      </c>
      <c r="M488" t="str">
        <f>VLOOKUP(Table2[[#This Row],[AgentID]],Sales_Agents!$A$1:C491,2)</f>
        <v>Zainab</v>
      </c>
      <c r="N488" t="str">
        <f>VLOOKUP(Table2[[#This Row],[AgentID]],Sales_Agents!$A$1:C491,3)</f>
        <v>North</v>
      </c>
    </row>
    <row r="489" spans="1:14" x14ac:dyDescent="0.25">
      <c r="A489">
        <v>488</v>
      </c>
      <c r="B489" s="1">
        <v>45641</v>
      </c>
      <c r="C489" s="8" t="str">
        <f>TEXT(Table2[[#This Row],[OrderDate]],"mmm")</f>
        <v>Dec</v>
      </c>
      <c r="D489">
        <v>1</v>
      </c>
      <c r="E489">
        <v>1</v>
      </c>
      <c r="F489">
        <v>9</v>
      </c>
      <c r="G489" s="3">
        <v>301549</v>
      </c>
      <c r="H489" s="3">
        <f t="shared" si="14"/>
        <v>2713941</v>
      </c>
      <c r="I489" s="5">
        <f>Table2[[#This Row],[Total Revenue]]*0.3</f>
        <v>814182.29999999993</v>
      </c>
      <c r="J489" s="6">
        <f t="shared" si="15"/>
        <v>0.3</v>
      </c>
      <c r="K489" t="str">
        <f>VLOOKUP(Table2[[#This Row],[ProductID]],Products!$A$1:C493,2)</f>
        <v>Laptop</v>
      </c>
      <c r="L489" t="str">
        <f>VLOOKUP(D489,Products!$A$1:C493,3)</f>
        <v>Electronics</v>
      </c>
      <c r="M489" t="str">
        <f>VLOOKUP(Table2[[#This Row],[AgentID]],Sales_Agents!$A$1:C492,2)</f>
        <v>Akin</v>
      </c>
      <c r="N489" t="str">
        <f>VLOOKUP(Table2[[#This Row],[AgentID]],Sales_Agents!$A$1:C492,3)</f>
        <v>West</v>
      </c>
    </row>
    <row r="490" spans="1:14" x14ac:dyDescent="0.25">
      <c r="A490">
        <v>489</v>
      </c>
      <c r="B490" s="1">
        <v>45483</v>
      </c>
      <c r="C490" s="8" t="str">
        <f>TEXT(Table2[[#This Row],[OrderDate]],"mmm")</f>
        <v>Jul</v>
      </c>
      <c r="D490">
        <v>4</v>
      </c>
      <c r="E490">
        <v>4</v>
      </c>
      <c r="F490">
        <v>13</v>
      </c>
      <c r="G490" s="3">
        <v>309176</v>
      </c>
      <c r="H490" s="3">
        <f t="shared" si="14"/>
        <v>4019288</v>
      </c>
      <c r="I490" s="5">
        <f>Table2[[#This Row],[Total Revenue]]*0.3</f>
        <v>1205786.3999999999</v>
      </c>
      <c r="J490" s="6">
        <f t="shared" si="15"/>
        <v>0.3</v>
      </c>
      <c r="K490" t="str">
        <f>VLOOKUP(Table2[[#This Row],[ProductID]],Products!$A$1:C494,2)</f>
        <v>Printer</v>
      </c>
      <c r="L490" t="str">
        <f>VLOOKUP(D490,Products!$A$1:C494,3)</f>
        <v>Accessories</v>
      </c>
      <c r="M490" t="str">
        <f>VLOOKUP(Table2[[#This Row],[AgentID]],Sales_Agents!$A$1:C493,2)</f>
        <v>Zainab</v>
      </c>
      <c r="N490" t="str">
        <f>VLOOKUP(Table2[[#This Row],[AgentID]],Sales_Agents!$A$1:C493,3)</f>
        <v>North</v>
      </c>
    </row>
    <row r="491" spans="1:14" x14ac:dyDescent="0.25">
      <c r="A491">
        <v>490</v>
      </c>
      <c r="B491" s="1">
        <v>45307</v>
      </c>
      <c r="C491" s="8" t="str">
        <f>TEXT(Table2[[#This Row],[OrderDate]],"mmm")</f>
        <v>Jan</v>
      </c>
      <c r="D491">
        <v>4</v>
      </c>
      <c r="E491">
        <v>1</v>
      </c>
      <c r="F491">
        <v>10</v>
      </c>
      <c r="G491" s="3">
        <v>234495</v>
      </c>
      <c r="H491" s="3">
        <f t="shared" si="14"/>
        <v>2344950</v>
      </c>
      <c r="I491" s="5">
        <f>Table2[[#This Row],[Total Revenue]]*0.3</f>
        <v>703485</v>
      </c>
      <c r="J491" s="6">
        <f t="shared" si="15"/>
        <v>0.3</v>
      </c>
      <c r="K491" t="str">
        <f>VLOOKUP(Table2[[#This Row],[ProductID]],Products!$A$1:C495,2)</f>
        <v>Printer</v>
      </c>
      <c r="L491" t="str">
        <f>VLOOKUP(D491,Products!$A$1:C495,3)</f>
        <v>Accessories</v>
      </c>
      <c r="M491" t="str">
        <f>VLOOKUP(Table2[[#This Row],[AgentID]],Sales_Agents!$A$1:C494,2)</f>
        <v>Akin</v>
      </c>
      <c r="N491" t="str">
        <f>VLOOKUP(Table2[[#This Row],[AgentID]],Sales_Agents!$A$1:C494,3)</f>
        <v>West</v>
      </c>
    </row>
    <row r="492" spans="1:14" x14ac:dyDescent="0.25">
      <c r="A492">
        <v>491</v>
      </c>
      <c r="B492" s="1">
        <v>45359</v>
      </c>
      <c r="C492" s="8" t="str">
        <f>TEXT(Table2[[#This Row],[OrderDate]],"mmm")</f>
        <v>Mar</v>
      </c>
      <c r="D492">
        <v>2</v>
      </c>
      <c r="E492">
        <v>1</v>
      </c>
      <c r="F492">
        <v>6</v>
      </c>
      <c r="G492" s="3">
        <v>378776</v>
      </c>
      <c r="H492" s="3">
        <f t="shared" si="14"/>
        <v>2272656</v>
      </c>
      <c r="I492" s="5">
        <f>Table2[[#This Row],[Total Revenue]]*0.3</f>
        <v>681796.79999999993</v>
      </c>
      <c r="J492" s="6">
        <f t="shared" si="15"/>
        <v>0.3</v>
      </c>
      <c r="K492" t="str">
        <f>VLOOKUP(Table2[[#This Row],[ProductID]],Products!$A$1:C496,2)</f>
        <v>Phone</v>
      </c>
      <c r="L492" t="str">
        <f>VLOOKUP(D492,Products!$A$1:C496,3)</f>
        <v>Electronics</v>
      </c>
      <c r="M492" t="str">
        <f>VLOOKUP(Table2[[#This Row],[AgentID]],Sales_Agents!$A$1:C495,2)</f>
        <v>Akin</v>
      </c>
      <c r="N492" t="str">
        <f>VLOOKUP(Table2[[#This Row],[AgentID]],Sales_Agents!$A$1:C495,3)</f>
        <v>West</v>
      </c>
    </row>
    <row r="493" spans="1:14" x14ac:dyDescent="0.25">
      <c r="A493">
        <v>492</v>
      </c>
      <c r="B493" s="1">
        <v>45651</v>
      </c>
      <c r="C493" s="8" t="str">
        <f>TEXT(Table2[[#This Row],[OrderDate]],"mmm")</f>
        <v>Dec</v>
      </c>
      <c r="D493">
        <v>1</v>
      </c>
      <c r="E493">
        <v>3</v>
      </c>
      <c r="F493">
        <v>9</v>
      </c>
      <c r="G493" s="3">
        <v>344234</v>
      </c>
      <c r="H493" s="3">
        <f t="shared" si="14"/>
        <v>3098106</v>
      </c>
      <c r="I493" s="5">
        <f>Table2[[#This Row],[Total Revenue]]*0.3</f>
        <v>929431.79999999993</v>
      </c>
      <c r="J493" s="6">
        <f t="shared" si="15"/>
        <v>0.3</v>
      </c>
      <c r="K493" t="str">
        <f>VLOOKUP(Table2[[#This Row],[ProductID]],Products!$A$1:C497,2)</f>
        <v>Laptop</v>
      </c>
      <c r="L493" t="str">
        <f>VLOOKUP(D493,Products!$A$1:C497,3)</f>
        <v>Electronics</v>
      </c>
      <c r="M493" t="str">
        <f>VLOOKUP(Table2[[#This Row],[AgentID]],Sales_Agents!$A$1:C496,2)</f>
        <v>Chinedu</v>
      </c>
      <c r="N493" t="str">
        <f>VLOOKUP(Table2[[#This Row],[AgentID]],Sales_Agents!$A$1:C496,3)</f>
        <v>South</v>
      </c>
    </row>
    <row r="494" spans="1:14" x14ac:dyDescent="0.25">
      <c r="A494">
        <v>493</v>
      </c>
      <c r="B494" s="1">
        <v>45306</v>
      </c>
      <c r="C494" s="8" t="str">
        <f>TEXT(Table2[[#This Row],[OrderDate]],"mmm")</f>
        <v>Jan</v>
      </c>
      <c r="D494">
        <v>4</v>
      </c>
      <c r="E494">
        <v>4</v>
      </c>
      <c r="F494">
        <v>11</v>
      </c>
      <c r="G494" s="3">
        <v>319174</v>
      </c>
      <c r="H494" s="3">
        <f t="shared" si="14"/>
        <v>3510914</v>
      </c>
      <c r="I494" s="5">
        <f>Table2[[#This Row],[Total Revenue]]*0.3</f>
        <v>1053274.2</v>
      </c>
      <c r="J494" s="6">
        <f t="shared" si="15"/>
        <v>0.3</v>
      </c>
      <c r="K494" t="str">
        <f>VLOOKUP(Table2[[#This Row],[ProductID]],Products!$A$1:C498,2)</f>
        <v>Printer</v>
      </c>
      <c r="L494" t="str">
        <f>VLOOKUP(D494,Products!$A$1:C498,3)</f>
        <v>Accessories</v>
      </c>
      <c r="M494" t="str">
        <f>VLOOKUP(Table2[[#This Row],[AgentID]],Sales_Agents!$A$1:C497,2)</f>
        <v>Zainab</v>
      </c>
      <c r="N494" t="str">
        <f>VLOOKUP(Table2[[#This Row],[AgentID]],Sales_Agents!$A$1:C497,3)</f>
        <v>North</v>
      </c>
    </row>
    <row r="495" spans="1:14" x14ac:dyDescent="0.25">
      <c r="A495">
        <v>494</v>
      </c>
      <c r="B495" s="1">
        <v>45543</v>
      </c>
      <c r="C495" s="8" t="str">
        <f>TEXT(Table2[[#This Row],[OrderDate]],"mmm")</f>
        <v>Sept</v>
      </c>
      <c r="D495">
        <v>3</v>
      </c>
      <c r="E495">
        <v>1</v>
      </c>
      <c r="F495">
        <v>2</v>
      </c>
      <c r="G495" s="3">
        <v>118089</v>
      </c>
      <c r="H495" s="3">
        <f t="shared" si="14"/>
        <v>236178</v>
      </c>
      <c r="I495" s="5">
        <f>Table2[[#This Row],[Total Revenue]]*0.3</f>
        <v>70853.399999999994</v>
      </c>
      <c r="J495" s="6">
        <f t="shared" si="15"/>
        <v>0.3</v>
      </c>
      <c r="K495" t="str">
        <f>VLOOKUP(Table2[[#This Row],[ProductID]],Products!$A$1:C499,2)</f>
        <v>Tablet</v>
      </c>
      <c r="L495" t="str">
        <f>VLOOKUP(D495,Products!$A$1:C499,3)</f>
        <v>Electronics</v>
      </c>
      <c r="M495" t="str">
        <f>VLOOKUP(Table2[[#This Row],[AgentID]],Sales_Agents!$A$1:C498,2)</f>
        <v>Akin</v>
      </c>
      <c r="N495" t="str">
        <f>VLOOKUP(Table2[[#This Row],[AgentID]],Sales_Agents!$A$1:C498,3)</f>
        <v>West</v>
      </c>
    </row>
    <row r="496" spans="1:14" x14ac:dyDescent="0.25">
      <c r="A496">
        <v>495</v>
      </c>
      <c r="B496" s="1">
        <v>45566</v>
      </c>
      <c r="C496" s="8" t="str">
        <f>TEXT(Table2[[#This Row],[OrderDate]],"mmm")</f>
        <v>Oct</v>
      </c>
      <c r="D496">
        <v>1</v>
      </c>
      <c r="E496">
        <v>2</v>
      </c>
      <c r="F496">
        <v>11</v>
      </c>
      <c r="G496" s="3">
        <v>333853</v>
      </c>
      <c r="H496" s="3">
        <f t="shared" si="14"/>
        <v>3672383</v>
      </c>
      <c r="I496" s="5">
        <f>Table2[[#This Row],[Total Revenue]]*0.3</f>
        <v>1101714.8999999999</v>
      </c>
      <c r="J496" s="6">
        <f t="shared" si="15"/>
        <v>0.3</v>
      </c>
      <c r="K496" t="str">
        <f>VLOOKUP(Table2[[#This Row],[ProductID]],Products!$A$1:C500,2)</f>
        <v>Laptop</v>
      </c>
      <c r="L496" t="str">
        <f>VLOOKUP(D496,Products!$A$1:C500,3)</f>
        <v>Electronics</v>
      </c>
      <c r="M496" t="str">
        <f>VLOOKUP(Table2[[#This Row],[AgentID]],Sales_Agents!$A$1:C499,2)</f>
        <v>Blessing</v>
      </c>
      <c r="N496" t="str">
        <f>VLOOKUP(Table2[[#This Row],[AgentID]],Sales_Agents!$A$1:C499,3)</f>
        <v>East</v>
      </c>
    </row>
    <row r="497" spans="1:14" x14ac:dyDescent="0.25">
      <c r="A497">
        <v>496</v>
      </c>
      <c r="B497" s="1">
        <v>45344</v>
      </c>
      <c r="C497" s="8" t="str">
        <f>TEXT(Table2[[#This Row],[OrderDate]],"mmm")</f>
        <v>Feb</v>
      </c>
      <c r="D497">
        <v>2</v>
      </c>
      <c r="E497">
        <v>3</v>
      </c>
      <c r="F497">
        <v>12</v>
      </c>
      <c r="G497" s="3">
        <v>335435</v>
      </c>
      <c r="H497" s="3">
        <f t="shared" si="14"/>
        <v>4025220</v>
      </c>
      <c r="I497" s="5">
        <f>Table2[[#This Row],[Total Revenue]]*0.3</f>
        <v>1207566</v>
      </c>
      <c r="J497" s="6">
        <f t="shared" si="15"/>
        <v>0.3</v>
      </c>
      <c r="K497" t="str">
        <f>VLOOKUP(Table2[[#This Row],[ProductID]],Products!$A$1:C501,2)</f>
        <v>Phone</v>
      </c>
      <c r="L497" t="str">
        <f>VLOOKUP(D497,Products!$A$1:C501,3)</f>
        <v>Electronics</v>
      </c>
      <c r="M497" t="str">
        <f>VLOOKUP(Table2[[#This Row],[AgentID]],Sales_Agents!$A$1:C500,2)</f>
        <v>Chinedu</v>
      </c>
      <c r="N497" t="str">
        <f>VLOOKUP(Table2[[#This Row],[AgentID]],Sales_Agents!$A$1:C500,3)</f>
        <v>South</v>
      </c>
    </row>
    <row r="498" spans="1:14" x14ac:dyDescent="0.25">
      <c r="A498">
        <v>497</v>
      </c>
      <c r="B498" s="1">
        <v>45635</v>
      </c>
      <c r="C498" s="8" t="str">
        <f>TEXT(Table2[[#This Row],[OrderDate]],"mmm")</f>
        <v>Dec</v>
      </c>
      <c r="D498">
        <v>2</v>
      </c>
      <c r="E498">
        <v>2</v>
      </c>
      <c r="F498">
        <v>17</v>
      </c>
      <c r="G498" s="3">
        <v>162435</v>
      </c>
      <c r="H498" s="3">
        <f t="shared" si="14"/>
        <v>2761395</v>
      </c>
      <c r="I498" s="5">
        <f>Table2[[#This Row],[Total Revenue]]*0.3</f>
        <v>828418.5</v>
      </c>
      <c r="J498" s="6">
        <f t="shared" si="15"/>
        <v>0.3</v>
      </c>
      <c r="K498" t="str">
        <f>VLOOKUP(Table2[[#This Row],[ProductID]],Products!$A$1:C502,2)</f>
        <v>Phone</v>
      </c>
      <c r="L498" t="str">
        <f>VLOOKUP(D498,Products!$A$1:C502,3)</f>
        <v>Electronics</v>
      </c>
      <c r="M498" t="str">
        <f>VLOOKUP(Table2[[#This Row],[AgentID]],Sales_Agents!$A$1:C501,2)</f>
        <v>Blessing</v>
      </c>
      <c r="N498" t="str">
        <f>VLOOKUP(Table2[[#This Row],[AgentID]],Sales_Agents!$A$1:C501,3)</f>
        <v>East</v>
      </c>
    </row>
    <row r="499" spans="1:14" x14ac:dyDescent="0.25">
      <c r="A499">
        <v>498</v>
      </c>
      <c r="B499" s="1">
        <v>45642</v>
      </c>
      <c r="C499" s="8" t="str">
        <f>TEXT(Table2[[#This Row],[OrderDate]],"mmm")</f>
        <v>Dec</v>
      </c>
      <c r="D499">
        <v>2</v>
      </c>
      <c r="E499">
        <v>2</v>
      </c>
      <c r="F499">
        <v>14</v>
      </c>
      <c r="G499" s="3">
        <v>226076</v>
      </c>
      <c r="H499" s="3">
        <f t="shared" si="14"/>
        <v>3165064</v>
      </c>
      <c r="I499" s="5">
        <f>Table2[[#This Row],[Total Revenue]]*0.3</f>
        <v>949519.2</v>
      </c>
      <c r="J499" s="6">
        <f t="shared" si="15"/>
        <v>0.3</v>
      </c>
      <c r="K499" t="str">
        <f>VLOOKUP(Table2[[#This Row],[ProductID]],Products!$A$1:C503,2)</f>
        <v>Phone</v>
      </c>
      <c r="L499" t="str">
        <f>VLOOKUP(D499,Products!$A$1:C503,3)</f>
        <v>Electronics</v>
      </c>
      <c r="M499" t="str">
        <f>VLOOKUP(Table2[[#This Row],[AgentID]],Sales_Agents!$A$1:C502,2)</f>
        <v>Blessing</v>
      </c>
      <c r="N499" t="str">
        <f>VLOOKUP(Table2[[#This Row],[AgentID]],Sales_Agents!$A$1:C502,3)</f>
        <v>East</v>
      </c>
    </row>
    <row r="500" spans="1:14" x14ac:dyDescent="0.25">
      <c r="A500">
        <v>499</v>
      </c>
      <c r="B500" s="1">
        <v>45441</v>
      </c>
      <c r="C500" s="8" t="str">
        <f>TEXT(Table2[[#This Row],[OrderDate]],"mmm")</f>
        <v>May</v>
      </c>
      <c r="D500">
        <v>4</v>
      </c>
      <c r="E500">
        <v>2</v>
      </c>
      <c r="F500">
        <v>14</v>
      </c>
      <c r="G500" s="3">
        <v>104787</v>
      </c>
      <c r="H500" s="3">
        <f t="shared" si="14"/>
        <v>1467018</v>
      </c>
      <c r="I500" s="5">
        <f>Table2[[#This Row],[Total Revenue]]*0.3</f>
        <v>440105.39999999997</v>
      </c>
      <c r="J500" s="6">
        <f t="shared" si="15"/>
        <v>0.3</v>
      </c>
      <c r="K500" t="str">
        <f>VLOOKUP(Table2[[#This Row],[ProductID]],Products!$A$1:C504,2)</f>
        <v>Printer</v>
      </c>
      <c r="L500" t="str">
        <f>VLOOKUP(D500,Products!$A$1:C504,3)</f>
        <v>Accessories</v>
      </c>
      <c r="M500" t="str">
        <f>VLOOKUP(Table2[[#This Row],[AgentID]],Sales_Agents!$A$1:C503,2)</f>
        <v>Blessing</v>
      </c>
      <c r="N500" t="str">
        <f>VLOOKUP(Table2[[#This Row],[AgentID]],Sales_Agents!$A$1:C503,3)</f>
        <v>East</v>
      </c>
    </row>
    <row r="501" spans="1:14" x14ac:dyDescent="0.25">
      <c r="A501">
        <v>500</v>
      </c>
      <c r="B501" s="1">
        <v>45475</v>
      </c>
      <c r="C501" s="8" t="str">
        <f>TEXT(Table2[[#This Row],[OrderDate]],"mmm")</f>
        <v>Jul</v>
      </c>
      <c r="D501">
        <v>3</v>
      </c>
      <c r="E501">
        <v>1</v>
      </c>
      <c r="F501">
        <v>19</v>
      </c>
      <c r="G501" s="3">
        <v>259287</v>
      </c>
      <c r="H501" s="3">
        <f t="shared" si="14"/>
        <v>4926453</v>
      </c>
      <c r="I501" s="5">
        <f>Table2[[#This Row],[Total Revenue]]*0.3</f>
        <v>1477935.9</v>
      </c>
      <c r="J501" s="6">
        <f t="shared" si="15"/>
        <v>0.3</v>
      </c>
      <c r="K501" t="str">
        <f>VLOOKUP(Table2[[#This Row],[ProductID]],Products!$A$1:C505,2)</f>
        <v>Tablet</v>
      </c>
      <c r="L501" t="str">
        <f>VLOOKUP(D501,Products!$A$1:C505,3)</f>
        <v>Electronics</v>
      </c>
      <c r="M501" t="str">
        <f>VLOOKUP(Table2[[#This Row],[AgentID]],Sales_Agents!$A$1:C504,2)</f>
        <v>Akin</v>
      </c>
      <c r="N501" t="str">
        <f>VLOOKUP(Table2[[#This Row],[AgentID]],Sales_Agents!$A$1:C504,3)</f>
        <v>West</v>
      </c>
    </row>
    <row r="502" spans="1:14" x14ac:dyDescent="0.25">
      <c r="A502">
        <v>501</v>
      </c>
      <c r="B502" s="1">
        <v>45551</v>
      </c>
      <c r="C502" s="8" t="str">
        <f>TEXT(Table2[[#This Row],[OrderDate]],"mmm")</f>
        <v>Sept</v>
      </c>
      <c r="D502">
        <v>4</v>
      </c>
      <c r="E502">
        <v>2</v>
      </c>
      <c r="F502">
        <v>18</v>
      </c>
      <c r="G502" s="3">
        <v>102330</v>
      </c>
      <c r="H502" s="3">
        <f t="shared" si="14"/>
        <v>1841940</v>
      </c>
      <c r="I502" s="5">
        <f>Table2[[#This Row],[Total Revenue]]*0.3</f>
        <v>552582</v>
      </c>
      <c r="J502" s="6">
        <f t="shared" si="15"/>
        <v>0.3</v>
      </c>
      <c r="K502" t="str">
        <f>VLOOKUP(Table2[[#This Row],[ProductID]],Products!$A$1:C506,2)</f>
        <v>Printer</v>
      </c>
      <c r="L502" t="str">
        <f>VLOOKUP(D502,Products!$A$1:C506,3)</f>
        <v>Accessories</v>
      </c>
      <c r="M502" t="str">
        <f>VLOOKUP(Table2[[#This Row],[AgentID]],Sales_Agents!$A$1:C505,2)</f>
        <v>Blessing</v>
      </c>
      <c r="N502" t="str">
        <f>VLOOKUP(Table2[[#This Row],[AgentID]],Sales_Agents!$A$1:C505,3)</f>
        <v>East</v>
      </c>
    </row>
    <row r="503" spans="1:14" x14ac:dyDescent="0.25">
      <c r="A503">
        <v>502</v>
      </c>
      <c r="B503" s="1">
        <v>45643</v>
      </c>
      <c r="C503" s="8" t="str">
        <f>TEXT(Table2[[#This Row],[OrderDate]],"mmm")</f>
        <v>Dec</v>
      </c>
      <c r="D503">
        <v>5</v>
      </c>
      <c r="E503">
        <v>2</v>
      </c>
      <c r="F503">
        <v>9</v>
      </c>
      <c r="G503" s="3">
        <v>204026</v>
      </c>
      <c r="H503" s="3">
        <f t="shared" si="14"/>
        <v>1836234</v>
      </c>
      <c r="I503" s="5">
        <f>Table2[[#This Row],[Total Revenue]]*0.3</f>
        <v>550870.19999999995</v>
      </c>
      <c r="J503" s="6">
        <f t="shared" si="15"/>
        <v>0.3</v>
      </c>
      <c r="K503" t="str">
        <f>VLOOKUP(Table2[[#This Row],[ProductID]],Products!$A$1:C507,2)</f>
        <v>Monitor</v>
      </c>
      <c r="L503" t="str">
        <f>VLOOKUP(D503,Products!$A$1:C507,3)</f>
        <v>Accessories</v>
      </c>
      <c r="M503" t="str">
        <f>VLOOKUP(Table2[[#This Row],[AgentID]],Sales_Agents!$A$1:C506,2)</f>
        <v>Blessing</v>
      </c>
      <c r="N503" t="str">
        <f>VLOOKUP(Table2[[#This Row],[AgentID]],Sales_Agents!$A$1:C506,3)</f>
        <v>East</v>
      </c>
    </row>
    <row r="504" spans="1:14" x14ac:dyDescent="0.25">
      <c r="A504">
        <v>503</v>
      </c>
      <c r="B504" s="1">
        <v>45621</v>
      </c>
      <c r="C504" s="8" t="str">
        <f>TEXT(Table2[[#This Row],[OrderDate]],"mmm")</f>
        <v>Nov</v>
      </c>
      <c r="D504">
        <v>5</v>
      </c>
      <c r="E504">
        <v>3</v>
      </c>
      <c r="F504">
        <v>13</v>
      </c>
      <c r="G504" s="3">
        <v>207046</v>
      </c>
      <c r="H504" s="3">
        <f t="shared" si="14"/>
        <v>2691598</v>
      </c>
      <c r="I504" s="5">
        <f>Table2[[#This Row],[Total Revenue]]*0.3</f>
        <v>807479.4</v>
      </c>
      <c r="J504" s="6">
        <f t="shared" si="15"/>
        <v>0.3</v>
      </c>
      <c r="K504" t="str">
        <f>VLOOKUP(Table2[[#This Row],[ProductID]],Products!$A$1:C508,2)</f>
        <v>Monitor</v>
      </c>
      <c r="L504" t="str">
        <f>VLOOKUP(D504,Products!$A$1:C508,3)</f>
        <v>Accessories</v>
      </c>
      <c r="M504" t="str">
        <f>VLOOKUP(Table2[[#This Row],[AgentID]],Sales_Agents!$A$1:C507,2)</f>
        <v>Chinedu</v>
      </c>
      <c r="N504" t="str">
        <f>VLOOKUP(Table2[[#This Row],[AgentID]],Sales_Agents!$A$1:C507,3)</f>
        <v>South</v>
      </c>
    </row>
    <row r="505" spans="1:14" x14ac:dyDescent="0.25">
      <c r="A505">
        <v>504</v>
      </c>
      <c r="B505" s="1">
        <v>45376</v>
      </c>
      <c r="C505" s="8" t="str">
        <f>TEXT(Table2[[#This Row],[OrderDate]],"mmm")</f>
        <v>Mar</v>
      </c>
      <c r="D505">
        <v>5</v>
      </c>
      <c r="E505">
        <v>1</v>
      </c>
      <c r="F505">
        <v>10</v>
      </c>
      <c r="G505" s="3">
        <v>117152</v>
      </c>
      <c r="H505" s="3">
        <f t="shared" si="14"/>
        <v>1171520</v>
      </c>
      <c r="I505" s="5">
        <f>Table2[[#This Row],[Total Revenue]]*0.3</f>
        <v>351456</v>
      </c>
      <c r="J505" s="6">
        <f t="shared" si="15"/>
        <v>0.3</v>
      </c>
      <c r="K505" t="str">
        <f>VLOOKUP(Table2[[#This Row],[ProductID]],Products!$A$1:C509,2)</f>
        <v>Monitor</v>
      </c>
      <c r="L505" t="str">
        <f>VLOOKUP(D505,Products!$A$1:C509,3)</f>
        <v>Accessories</v>
      </c>
      <c r="M505" t="str">
        <f>VLOOKUP(Table2[[#This Row],[AgentID]],Sales_Agents!$A$1:C508,2)</f>
        <v>Akin</v>
      </c>
      <c r="N505" t="str">
        <f>VLOOKUP(Table2[[#This Row],[AgentID]],Sales_Agents!$A$1:C508,3)</f>
        <v>West</v>
      </c>
    </row>
    <row r="506" spans="1:14" x14ac:dyDescent="0.25">
      <c r="A506">
        <v>505</v>
      </c>
      <c r="B506" s="1">
        <v>45602</v>
      </c>
      <c r="C506" s="8" t="str">
        <f>TEXT(Table2[[#This Row],[OrderDate]],"mmm")</f>
        <v>Nov</v>
      </c>
      <c r="D506">
        <v>5</v>
      </c>
      <c r="E506">
        <v>3</v>
      </c>
      <c r="F506">
        <v>13</v>
      </c>
      <c r="G506" s="3">
        <v>307805</v>
      </c>
      <c r="H506" s="3">
        <f t="shared" si="14"/>
        <v>4001465</v>
      </c>
      <c r="I506" s="5">
        <f>Table2[[#This Row],[Total Revenue]]*0.3</f>
        <v>1200439.5</v>
      </c>
      <c r="J506" s="6">
        <f t="shared" si="15"/>
        <v>0.3</v>
      </c>
      <c r="K506" t="str">
        <f>VLOOKUP(Table2[[#This Row],[ProductID]],Products!$A$1:C510,2)</f>
        <v>Monitor</v>
      </c>
      <c r="L506" t="str">
        <f>VLOOKUP(D506,Products!$A$1:C510,3)</f>
        <v>Accessories</v>
      </c>
      <c r="M506" t="str">
        <f>VLOOKUP(Table2[[#This Row],[AgentID]],Sales_Agents!$A$1:C509,2)</f>
        <v>Chinedu</v>
      </c>
      <c r="N506" t="str">
        <f>VLOOKUP(Table2[[#This Row],[AgentID]],Sales_Agents!$A$1:C509,3)</f>
        <v>South</v>
      </c>
    </row>
    <row r="507" spans="1:14" x14ac:dyDescent="0.25">
      <c r="A507">
        <v>506</v>
      </c>
      <c r="B507" s="1">
        <v>45580</v>
      </c>
      <c r="C507" s="8" t="str">
        <f>TEXT(Table2[[#This Row],[OrderDate]],"mmm")</f>
        <v>Oct</v>
      </c>
      <c r="D507">
        <v>3</v>
      </c>
      <c r="E507">
        <v>4</v>
      </c>
      <c r="F507">
        <v>1</v>
      </c>
      <c r="G507" s="3">
        <v>384132</v>
      </c>
      <c r="H507" s="3">
        <f t="shared" si="14"/>
        <v>384132</v>
      </c>
      <c r="I507" s="5">
        <f>Table2[[#This Row],[Total Revenue]]*0.3</f>
        <v>115239.59999999999</v>
      </c>
      <c r="J507" s="6">
        <f t="shared" si="15"/>
        <v>0.3</v>
      </c>
      <c r="K507" t="str">
        <f>VLOOKUP(Table2[[#This Row],[ProductID]],Products!$A$1:C511,2)</f>
        <v>Tablet</v>
      </c>
      <c r="L507" t="str">
        <f>VLOOKUP(D507,Products!$A$1:C511,3)</f>
        <v>Electronics</v>
      </c>
      <c r="M507" t="str">
        <f>VLOOKUP(Table2[[#This Row],[AgentID]],Sales_Agents!$A$1:C510,2)</f>
        <v>Zainab</v>
      </c>
      <c r="N507" t="str">
        <f>VLOOKUP(Table2[[#This Row],[AgentID]],Sales_Agents!$A$1:C510,3)</f>
        <v>North</v>
      </c>
    </row>
    <row r="508" spans="1:14" x14ac:dyDescent="0.25">
      <c r="A508">
        <v>507</v>
      </c>
      <c r="B508" s="1">
        <v>45357</v>
      </c>
      <c r="C508" s="8" t="str">
        <f>TEXT(Table2[[#This Row],[OrderDate]],"mmm")</f>
        <v>Mar</v>
      </c>
      <c r="D508">
        <v>3</v>
      </c>
      <c r="E508">
        <v>1</v>
      </c>
      <c r="F508">
        <v>9</v>
      </c>
      <c r="G508" s="3">
        <v>243759</v>
      </c>
      <c r="H508" s="3">
        <f t="shared" si="14"/>
        <v>2193831</v>
      </c>
      <c r="I508" s="5">
        <f>Table2[[#This Row],[Total Revenue]]*0.3</f>
        <v>658149.29999999993</v>
      </c>
      <c r="J508" s="6">
        <f t="shared" si="15"/>
        <v>0.3</v>
      </c>
      <c r="K508" t="str">
        <f>VLOOKUP(Table2[[#This Row],[ProductID]],Products!$A$1:C512,2)</f>
        <v>Tablet</v>
      </c>
      <c r="L508" t="str">
        <f>VLOOKUP(D508,Products!$A$1:C512,3)</f>
        <v>Electronics</v>
      </c>
      <c r="M508" t="str">
        <f>VLOOKUP(Table2[[#This Row],[AgentID]],Sales_Agents!$A$1:C511,2)</f>
        <v>Akin</v>
      </c>
      <c r="N508" t="str">
        <f>VLOOKUP(Table2[[#This Row],[AgentID]],Sales_Agents!$A$1:C511,3)</f>
        <v>West</v>
      </c>
    </row>
    <row r="509" spans="1:14" x14ac:dyDescent="0.25">
      <c r="A509">
        <v>508</v>
      </c>
      <c r="B509" s="1">
        <v>45559</v>
      </c>
      <c r="C509" s="8" t="str">
        <f>TEXT(Table2[[#This Row],[OrderDate]],"mmm")</f>
        <v>Sept</v>
      </c>
      <c r="D509">
        <v>5</v>
      </c>
      <c r="E509">
        <v>1</v>
      </c>
      <c r="F509">
        <v>13</v>
      </c>
      <c r="G509" s="3">
        <v>50732</v>
      </c>
      <c r="H509" s="3">
        <f t="shared" si="14"/>
        <v>659516</v>
      </c>
      <c r="I509" s="5">
        <f>Table2[[#This Row],[Total Revenue]]*0.3</f>
        <v>197854.8</v>
      </c>
      <c r="J509" s="6">
        <f t="shared" si="15"/>
        <v>0.3</v>
      </c>
      <c r="K509" t="str">
        <f>VLOOKUP(Table2[[#This Row],[ProductID]],Products!$A$1:C513,2)</f>
        <v>Monitor</v>
      </c>
      <c r="L509" t="str">
        <f>VLOOKUP(D509,Products!$A$1:C513,3)</f>
        <v>Accessories</v>
      </c>
      <c r="M509" t="str">
        <f>VLOOKUP(Table2[[#This Row],[AgentID]],Sales_Agents!$A$1:C512,2)</f>
        <v>Akin</v>
      </c>
      <c r="N509" t="str">
        <f>VLOOKUP(Table2[[#This Row],[AgentID]],Sales_Agents!$A$1:C512,3)</f>
        <v>West</v>
      </c>
    </row>
    <row r="510" spans="1:14" x14ac:dyDescent="0.25">
      <c r="A510">
        <v>509</v>
      </c>
      <c r="B510" s="1">
        <v>45339</v>
      </c>
      <c r="C510" s="8" t="str">
        <f>TEXT(Table2[[#This Row],[OrderDate]],"mmm")</f>
        <v>Feb</v>
      </c>
      <c r="D510">
        <v>1</v>
      </c>
      <c r="E510">
        <v>4</v>
      </c>
      <c r="F510">
        <v>7</v>
      </c>
      <c r="G510" s="3">
        <v>305921</v>
      </c>
      <c r="H510" s="3">
        <f t="shared" si="14"/>
        <v>2141447</v>
      </c>
      <c r="I510" s="5">
        <f>Table2[[#This Row],[Total Revenue]]*0.3</f>
        <v>642434.1</v>
      </c>
      <c r="J510" s="6">
        <f t="shared" si="15"/>
        <v>0.3</v>
      </c>
      <c r="K510" t="str">
        <f>VLOOKUP(Table2[[#This Row],[ProductID]],Products!$A$1:C514,2)</f>
        <v>Laptop</v>
      </c>
      <c r="L510" t="str">
        <f>VLOOKUP(D510,Products!$A$1:C514,3)</f>
        <v>Electronics</v>
      </c>
      <c r="M510" t="str">
        <f>VLOOKUP(Table2[[#This Row],[AgentID]],Sales_Agents!$A$1:C513,2)</f>
        <v>Zainab</v>
      </c>
      <c r="N510" t="str">
        <f>VLOOKUP(Table2[[#This Row],[AgentID]],Sales_Agents!$A$1:C513,3)</f>
        <v>North</v>
      </c>
    </row>
    <row r="511" spans="1:14" x14ac:dyDescent="0.25">
      <c r="A511">
        <v>510</v>
      </c>
      <c r="B511" s="1">
        <v>45383</v>
      </c>
      <c r="C511" s="8" t="str">
        <f>TEXT(Table2[[#This Row],[OrderDate]],"mmm")</f>
        <v>Apr</v>
      </c>
      <c r="D511">
        <v>2</v>
      </c>
      <c r="E511">
        <v>2</v>
      </c>
      <c r="F511">
        <v>14</v>
      </c>
      <c r="G511" s="3">
        <v>181685</v>
      </c>
      <c r="H511" s="3">
        <f t="shared" si="14"/>
        <v>2543590</v>
      </c>
      <c r="I511" s="5">
        <f>Table2[[#This Row],[Total Revenue]]*0.3</f>
        <v>763077</v>
      </c>
      <c r="J511" s="6">
        <f t="shared" si="15"/>
        <v>0.3</v>
      </c>
      <c r="K511" t="str">
        <f>VLOOKUP(Table2[[#This Row],[ProductID]],Products!$A$1:C515,2)</f>
        <v>Phone</v>
      </c>
      <c r="L511" t="str">
        <f>VLOOKUP(D511,Products!$A$1:C515,3)</f>
        <v>Electronics</v>
      </c>
      <c r="M511" t="str">
        <f>VLOOKUP(Table2[[#This Row],[AgentID]],Sales_Agents!$A$1:C514,2)</f>
        <v>Blessing</v>
      </c>
      <c r="N511" t="str">
        <f>VLOOKUP(Table2[[#This Row],[AgentID]],Sales_Agents!$A$1:C514,3)</f>
        <v>East</v>
      </c>
    </row>
    <row r="512" spans="1:14" x14ac:dyDescent="0.25">
      <c r="A512">
        <v>511</v>
      </c>
      <c r="B512" s="1">
        <v>45408</v>
      </c>
      <c r="C512" s="8" t="str">
        <f>TEXT(Table2[[#This Row],[OrderDate]],"mmm")</f>
        <v>Apr</v>
      </c>
      <c r="D512">
        <v>5</v>
      </c>
      <c r="E512">
        <v>4</v>
      </c>
      <c r="F512">
        <v>14</v>
      </c>
      <c r="G512" s="3">
        <v>287768</v>
      </c>
      <c r="H512" s="3">
        <f t="shared" si="14"/>
        <v>4028752</v>
      </c>
      <c r="I512" s="5">
        <f>Table2[[#This Row],[Total Revenue]]*0.3</f>
        <v>1208625.5999999999</v>
      </c>
      <c r="J512" s="6">
        <f t="shared" si="15"/>
        <v>0.3</v>
      </c>
      <c r="K512" t="str">
        <f>VLOOKUP(Table2[[#This Row],[ProductID]],Products!$A$1:C516,2)</f>
        <v>Monitor</v>
      </c>
      <c r="L512" t="str">
        <f>VLOOKUP(D512,Products!$A$1:C516,3)</f>
        <v>Accessories</v>
      </c>
      <c r="M512" t="str">
        <f>VLOOKUP(Table2[[#This Row],[AgentID]],Sales_Agents!$A$1:C515,2)</f>
        <v>Zainab</v>
      </c>
      <c r="N512" t="str">
        <f>VLOOKUP(Table2[[#This Row],[AgentID]],Sales_Agents!$A$1:C515,3)</f>
        <v>North</v>
      </c>
    </row>
    <row r="513" spans="1:14" x14ac:dyDescent="0.25">
      <c r="A513">
        <v>512</v>
      </c>
      <c r="B513" s="1">
        <v>45623</v>
      </c>
      <c r="C513" s="8" t="str">
        <f>TEXT(Table2[[#This Row],[OrderDate]],"mmm")</f>
        <v>Nov</v>
      </c>
      <c r="D513">
        <v>5</v>
      </c>
      <c r="E513">
        <v>1</v>
      </c>
      <c r="F513">
        <v>12</v>
      </c>
      <c r="G513" s="3">
        <v>62815</v>
      </c>
      <c r="H513" s="3">
        <f t="shared" si="14"/>
        <v>753780</v>
      </c>
      <c r="I513" s="5">
        <f>Table2[[#This Row],[Total Revenue]]*0.3</f>
        <v>226134</v>
      </c>
      <c r="J513" s="6">
        <f t="shared" si="15"/>
        <v>0.3</v>
      </c>
      <c r="K513" t="str">
        <f>VLOOKUP(Table2[[#This Row],[ProductID]],Products!$A$1:C517,2)</f>
        <v>Monitor</v>
      </c>
      <c r="L513" t="str">
        <f>VLOOKUP(D513,Products!$A$1:C517,3)</f>
        <v>Accessories</v>
      </c>
      <c r="M513" t="str">
        <f>VLOOKUP(Table2[[#This Row],[AgentID]],Sales_Agents!$A$1:C516,2)</f>
        <v>Akin</v>
      </c>
      <c r="N513" t="str">
        <f>VLOOKUP(Table2[[#This Row],[AgentID]],Sales_Agents!$A$1:C516,3)</f>
        <v>West</v>
      </c>
    </row>
    <row r="514" spans="1:14" x14ac:dyDescent="0.25">
      <c r="A514">
        <v>513</v>
      </c>
      <c r="B514" s="1">
        <v>45332</v>
      </c>
      <c r="C514" s="8" t="str">
        <f>TEXT(Table2[[#This Row],[OrderDate]],"mmm")</f>
        <v>Feb</v>
      </c>
      <c r="D514">
        <v>1</v>
      </c>
      <c r="E514">
        <v>1</v>
      </c>
      <c r="F514">
        <v>10</v>
      </c>
      <c r="G514" s="3">
        <v>102183</v>
      </c>
      <c r="H514" s="3">
        <f t="shared" ref="H514:H577" si="16">G514*F514</f>
        <v>1021830</v>
      </c>
      <c r="I514" s="5">
        <f>Table2[[#This Row],[Total Revenue]]*0.3</f>
        <v>306549</v>
      </c>
      <c r="J514" s="6">
        <f t="shared" ref="J514:J577" si="17">I514/H514</f>
        <v>0.3</v>
      </c>
      <c r="K514" t="str">
        <f>VLOOKUP(Table2[[#This Row],[ProductID]],Products!$A$1:C518,2)</f>
        <v>Laptop</v>
      </c>
      <c r="L514" t="str">
        <f>VLOOKUP(D514,Products!$A$1:C518,3)</f>
        <v>Electronics</v>
      </c>
      <c r="M514" t="str">
        <f>VLOOKUP(Table2[[#This Row],[AgentID]],Sales_Agents!$A$1:C517,2)</f>
        <v>Akin</v>
      </c>
      <c r="N514" t="str">
        <f>VLOOKUP(Table2[[#This Row],[AgentID]],Sales_Agents!$A$1:C517,3)</f>
        <v>West</v>
      </c>
    </row>
    <row r="515" spans="1:14" x14ac:dyDescent="0.25">
      <c r="A515">
        <v>514</v>
      </c>
      <c r="B515" s="1">
        <v>45385</v>
      </c>
      <c r="C515" s="8" t="str">
        <f>TEXT(Table2[[#This Row],[OrderDate]],"mmm")</f>
        <v>Apr</v>
      </c>
      <c r="D515">
        <v>4</v>
      </c>
      <c r="E515">
        <v>1</v>
      </c>
      <c r="F515">
        <v>1</v>
      </c>
      <c r="G515" s="3">
        <v>292401</v>
      </c>
      <c r="H515" s="3">
        <f t="shared" si="16"/>
        <v>292401</v>
      </c>
      <c r="I515" s="5">
        <f>Table2[[#This Row],[Total Revenue]]*0.3</f>
        <v>87720.3</v>
      </c>
      <c r="J515" s="6">
        <f t="shared" si="17"/>
        <v>0.3</v>
      </c>
      <c r="K515" t="str">
        <f>VLOOKUP(Table2[[#This Row],[ProductID]],Products!$A$1:C519,2)</f>
        <v>Printer</v>
      </c>
      <c r="L515" t="str">
        <f>VLOOKUP(D515,Products!$A$1:C519,3)</f>
        <v>Accessories</v>
      </c>
      <c r="M515" t="str">
        <f>VLOOKUP(Table2[[#This Row],[AgentID]],Sales_Agents!$A$1:C518,2)</f>
        <v>Akin</v>
      </c>
      <c r="N515" t="str">
        <f>VLOOKUP(Table2[[#This Row],[AgentID]],Sales_Agents!$A$1:C518,3)</f>
        <v>West</v>
      </c>
    </row>
    <row r="516" spans="1:14" x14ac:dyDescent="0.25">
      <c r="A516">
        <v>515</v>
      </c>
      <c r="B516" s="1">
        <v>45600</v>
      </c>
      <c r="C516" s="8" t="str">
        <f>TEXT(Table2[[#This Row],[OrderDate]],"mmm")</f>
        <v>Nov</v>
      </c>
      <c r="D516">
        <v>2</v>
      </c>
      <c r="E516">
        <v>1</v>
      </c>
      <c r="F516">
        <v>14</v>
      </c>
      <c r="G516" s="3">
        <v>157685</v>
      </c>
      <c r="H516" s="3">
        <f t="shared" si="16"/>
        <v>2207590</v>
      </c>
      <c r="I516" s="5">
        <f>Table2[[#This Row],[Total Revenue]]*0.3</f>
        <v>662277</v>
      </c>
      <c r="J516" s="6">
        <f t="shared" si="17"/>
        <v>0.3</v>
      </c>
      <c r="K516" t="str">
        <f>VLOOKUP(Table2[[#This Row],[ProductID]],Products!$A$1:C520,2)</f>
        <v>Phone</v>
      </c>
      <c r="L516" t="str">
        <f>VLOOKUP(D516,Products!$A$1:C520,3)</f>
        <v>Electronics</v>
      </c>
      <c r="M516" t="str">
        <f>VLOOKUP(Table2[[#This Row],[AgentID]],Sales_Agents!$A$1:C519,2)</f>
        <v>Akin</v>
      </c>
      <c r="N516" t="str">
        <f>VLOOKUP(Table2[[#This Row],[AgentID]],Sales_Agents!$A$1:C519,3)</f>
        <v>West</v>
      </c>
    </row>
    <row r="517" spans="1:14" x14ac:dyDescent="0.25">
      <c r="A517">
        <v>516</v>
      </c>
      <c r="B517" s="1">
        <v>45479</v>
      </c>
      <c r="C517" s="8" t="str">
        <f>TEXT(Table2[[#This Row],[OrderDate]],"mmm")</f>
        <v>Jul</v>
      </c>
      <c r="D517">
        <v>1</v>
      </c>
      <c r="E517">
        <v>4</v>
      </c>
      <c r="F517">
        <v>20</v>
      </c>
      <c r="G517" s="3">
        <v>359252</v>
      </c>
      <c r="H517" s="3">
        <f t="shared" si="16"/>
        <v>7185040</v>
      </c>
      <c r="I517" s="5">
        <f>Table2[[#This Row],[Total Revenue]]*0.3</f>
        <v>2155512</v>
      </c>
      <c r="J517" s="6">
        <f t="shared" si="17"/>
        <v>0.3</v>
      </c>
      <c r="K517" t="str">
        <f>VLOOKUP(Table2[[#This Row],[ProductID]],Products!$A$1:C521,2)</f>
        <v>Laptop</v>
      </c>
      <c r="L517" t="str">
        <f>VLOOKUP(D517,Products!$A$1:C521,3)</f>
        <v>Electronics</v>
      </c>
      <c r="M517" t="str">
        <f>VLOOKUP(Table2[[#This Row],[AgentID]],Sales_Agents!$A$1:C520,2)</f>
        <v>Zainab</v>
      </c>
      <c r="N517" t="str">
        <f>VLOOKUP(Table2[[#This Row],[AgentID]],Sales_Agents!$A$1:C520,3)</f>
        <v>North</v>
      </c>
    </row>
    <row r="518" spans="1:14" x14ac:dyDescent="0.25">
      <c r="A518">
        <v>517</v>
      </c>
      <c r="B518" s="1">
        <v>45314</v>
      </c>
      <c r="C518" s="8" t="str">
        <f>TEXT(Table2[[#This Row],[OrderDate]],"mmm")</f>
        <v>Jan</v>
      </c>
      <c r="D518">
        <v>1</v>
      </c>
      <c r="E518">
        <v>3</v>
      </c>
      <c r="F518">
        <v>4</v>
      </c>
      <c r="G518" s="3">
        <v>235547</v>
      </c>
      <c r="H518" s="3">
        <f t="shared" si="16"/>
        <v>942188</v>
      </c>
      <c r="I518" s="5">
        <f>Table2[[#This Row],[Total Revenue]]*0.3</f>
        <v>282656.39999999997</v>
      </c>
      <c r="J518" s="6">
        <f t="shared" si="17"/>
        <v>0.3</v>
      </c>
      <c r="K518" t="str">
        <f>VLOOKUP(Table2[[#This Row],[ProductID]],Products!$A$1:C522,2)</f>
        <v>Laptop</v>
      </c>
      <c r="L518" t="str">
        <f>VLOOKUP(D518,Products!$A$1:C522,3)</f>
        <v>Electronics</v>
      </c>
      <c r="M518" t="str">
        <f>VLOOKUP(Table2[[#This Row],[AgentID]],Sales_Agents!$A$1:C521,2)</f>
        <v>Chinedu</v>
      </c>
      <c r="N518" t="str">
        <f>VLOOKUP(Table2[[#This Row],[AgentID]],Sales_Agents!$A$1:C521,3)</f>
        <v>South</v>
      </c>
    </row>
    <row r="519" spans="1:14" x14ac:dyDescent="0.25">
      <c r="A519">
        <v>518</v>
      </c>
      <c r="B519" s="1">
        <v>45380</v>
      </c>
      <c r="C519" s="8" t="str">
        <f>TEXT(Table2[[#This Row],[OrderDate]],"mmm")</f>
        <v>Mar</v>
      </c>
      <c r="D519">
        <v>4</v>
      </c>
      <c r="E519">
        <v>1</v>
      </c>
      <c r="F519">
        <v>17</v>
      </c>
      <c r="G519" s="3">
        <v>100110</v>
      </c>
      <c r="H519" s="3">
        <f t="shared" si="16"/>
        <v>1701870</v>
      </c>
      <c r="I519" s="5">
        <f>Table2[[#This Row],[Total Revenue]]*0.3</f>
        <v>510561</v>
      </c>
      <c r="J519" s="6">
        <f t="shared" si="17"/>
        <v>0.3</v>
      </c>
      <c r="K519" t="str">
        <f>VLOOKUP(Table2[[#This Row],[ProductID]],Products!$A$1:C523,2)</f>
        <v>Printer</v>
      </c>
      <c r="L519" t="str">
        <f>VLOOKUP(D519,Products!$A$1:C523,3)</f>
        <v>Accessories</v>
      </c>
      <c r="M519" t="str">
        <f>VLOOKUP(Table2[[#This Row],[AgentID]],Sales_Agents!$A$1:C522,2)</f>
        <v>Akin</v>
      </c>
      <c r="N519" t="str">
        <f>VLOOKUP(Table2[[#This Row],[AgentID]],Sales_Agents!$A$1:C522,3)</f>
        <v>West</v>
      </c>
    </row>
    <row r="520" spans="1:14" x14ac:dyDescent="0.25">
      <c r="A520">
        <v>519</v>
      </c>
      <c r="B520" s="1">
        <v>45329</v>
      </c>
      <c r="C520" s="8" t="str">
        <f>TEXT(Table2[[#This Row],[OrderDate]],"mmm")</f>
        <v>Feb</v>
      </c>
      <c r="D520">
        <v>5</v>
      </c>
      <c r="E520">
        <v>4</v>
      </c>
      <c r="F520">
        <v>19</v>
      </c>
      <c r="G520" s="3">
        <v>113511</v>
      </c>
      <c r="H520" s="3">
        <f t="shared" si="16"/>
        <v>2156709</v>
      </c>
      <c r="I520" s="5">
        <f>Table2[[#This Row],[Total Revenue]]*0.3</f>
        <v>647012.69999999995</v>
      </c>
      <c r="J520" s="6">
        <f t="shared" si="17"/>
        <v>0.3</v>
      </c>
      <c r="K520" t="str">
        <f>VLOOKUP(Table2[[#This Row],[ProductID]],Products!$A$1:C524,2)</f>
        <v>Monitor</v>
      </c>
      <c r="L520" t="str">
        <f>VLOOKUP(D520,Products!$A$1:C524,3)</f>
        <v>Accessories</v>
      </c>
      <c r="M520" t="str">
        <f>VLOOKUP(Table2[[#This Row],[AgentID]],Sales_Agents!$A$1:C523,2)</f>
        <v>Zainab</v>
      </c>
      <c r="N520" t="str">
        <f>VLOOKUP(Table2[[#This Row],[AgentID]],Sales_Agents!$A$1:C523,3)</f>
        <v>North</v>
      </c>
    </row>
    <row r="521" spans="1:14" x14ac:dyDescent="0.25">
      <c r="A521">
        <v>520</v>
      </c>
      <c r="B521" s="1">
        <v>45351</v>
      </c>
      <c r="C521" s="8" t="str">
        <f>TEXT(Table2[[#This Row],[OrderDate]],"mmm")</f>
        <v>Feb</v>
      </c>
      <c r="D521">
        <v>4</v>
      </c>
      <c r="E521">
        <v>2</v>
      </c>
      <c r="F521">
        <v>10</v>
      </c>
      <c r="G521" s="3">
        <v>57590</v>
      </c>
      <c r="H521" s="3">
        <f t="shared" si="16"/>
        <v>575900</v>
      </c>
      <c r="I521" s="5">
        <f>Table2[[#This Row],[Total Revenue]]*0.3</f>
        <v>172770</v>
      </c>
      <c r="J521" s="6">
        <f t="shared" si="17"/>
        <v>0.3</v>
      </c>
      <c r="K521" t="str">
        <f>VLOOKUP(Table2[[#This Row],[ProductID]],Products!$A$1:C525,2)</f>
        <v>Printer</v>
      </c>
      <c r="L521" t="str">
        <f>VLOOKUP(D521,Products!$A$1:C525,3)</f>
        <v>Accessories</v>
      </c>
      <c r="M521" t="str">
        <f>VLOOKUP(Table2[[#This Row],[AgentID]],Sales_Agents!$A$1:C524,2)</f>
        <v>Blessing</v>
      </c>
      <c r="N521" t="str">
        <f>VLOOKUP(Table2[[#This Row],[AgentID]],Sales_Agents!$A$1:C524,3)</f>
        <v>East</v>
      </c>
    </row>
    <row r="522" spans="1:14" x14ac:dyDescent="0.25">
      <c r="A522">
        <v>521</v>
      </c>
      <c r="B522" s="1">
        <v>45421</v>
      </c>
      <c r="C522" s="8" t="str">
        <f>TEXT(Table2[[#This Row],[OrderDate]],"mmm")</f>
        <v>May</v>
      </c>
      <c r="D522">
        <v>5</v>
      </c>
      <c r="E522">
        <v>1</v>
      </c>
      <c r="F522">
        <v>12</v>
      </c>
      <c r="G522" s="3">
        <v>217109</v>
      </c>
      <c r="H522" s="3">
        <f t="shared" si="16"/>
        <v>2605308</v>
      </c>
      <c r="I522" s="5">
        <f>Table2[[#This Row],[Total Revenue]]*0.3</f>
        <v>781592.4</v>
      </c>
      <c r="J522" s="6">
        <f t="shared" si="17"/>
        <v>0.3</v>
      </c>
      <c r="K522" t="str">
        <f>VLOOKUP(Table2[[#This Row],[ProductID]],Products!$A$1:C526,2)</f>
        <v>Monitor</v>
      </c>
      <c r="L522" t="str">
        <f>VLOOKUP(D522,Products!$A$1:C526,3)</f>
        <v>Accessories</v>
      </c>
      <c r="M522" t="str">
        <f>VLOOKUP(Table2[[#This Row],[AgentID]],Sales_Agents!$A$1:C525,2)</f>
        <v>Akin</v>
      </c>
      <c r="N522" t="str">
        <f>VLOOKUP(Table2[[#This Row],[AgentID]],Sales_Agents!$A$1:C525,3)</f>
        <v>West</v>
      </c>
    </row>
    <row r="523" spans="1:14" x14ac:dyDescent="0.25">
      <c r="A523">
        <v>522</v>
      </c>
      <c r="B523" s="1">
        <v>45508</v>
      </c>
      <c r="C523" s="8" t="str">
        <f>TEXT(Table2[[#This Row],[OrderDate]],"mmm")</f>
        <v>Aug</v>
      </c>
      <c r="D523">
        <v>3</v>
      </c>
      <c r="E523">
        <v>3</v>
      </c>
      <c r="F523">
        <v>3</v>
      </c>
      <c r="G523" s="3">
        <v>209933</v>
      </c>
      <c r="H523" s="3">
        <f t="shared" si="16"/>
        <v>629799</v>
      </c>
      <c r="I523" s="5">
        <f>Table2[[#This Row],[Total Revenue]]*0.3</f>
        <v>188939.69999999998</v>
      </c>
      <c r="J523" s="6">
        <f t="shared" si="17"/>
        <v>0.3</v>
      </c>
      <c r="K523" t="str">
        <f>VLOOKUP(Table2[[#This Row],[ProductID]],Products!$A$1:C527,2)</f>
        <v>Tablet</v>
      </c>
      <c r="L523" t="str">
        <f>VLOOKUP(D523,Products!$A$1:C527,3)</f>
        <v>Electronics</v>
      </c>
      <c r="M523" t="str">
        <f>VLOOKUP(Table2[[#This Row],[AgentID]],Sales_Agents!$A$1:C526,2)</f>
        <v>Chinedu</v>
      </c>
      <c r="N523" t="str">
        <f>VLOOKUP(Table2[[#This Row],[AgentID]],Sales_Agents!$A$1:C526,3)</f>
        <v>South</v>
      </c>
    </row>
    <row r="524" spans="1:14" x14ac:dyDescent="0.25">
      <c r="A524">
        <v>523</v>
      </c>
      <c r="B524" s="1">
        <v>45474</v>
      </c>
      <c r="C524" s="8" t="str">
        <f>TEXT(Table2[[#This Row],[OrderDate]],"mmm")</f>
        <v>Jul</v>
      </c>
      <c r="D524">
        <v>2</v>
      </c>
      <c r="E524">
        <v>1</v>
      </c>
      <c r="F524">
        <v>12</v>
      </c>
      <c r="G524" s="3">
        <v>328963</v>
      </c>
      <c r="H524" s="3">
        <f t="shared" si="16"/>
        <v>3947556</v>
      </c>
      <c r="I524" s="5">
        <f>Table2[[#This Row],[Total Revenue]]*0.3</f>
        <v>1184266.8</v>
      </c>
      <c r="J524" s="6">
        <f t="shared" si="17"/>
        <v>0.3</v>
      </c>
      <c r="K524" t="str">
        <f>VLOOKUP(Table2[[#This Row],[ProductID]],Products!$A$1:C528,2)</f>
        <v>Phone</v>
      </c>
      <c r="L524" t="str">
        <f>VLOOKUP(D524,Products!$A$1:C528,3)</f>
        <v>Electronics</v>
      </c>
      <c r="M524" t="str">
        <f>VLOOKUP(Table2[[#This Row],[AgentID]],Sales_Agents!$A$1:C527,2)</f>
        <v>Akin</v>
      </c>
      <c r="N524" t="str">
        <f>VLOOKUP(Table2[[#This Row],[AgentID]],Sales_Agents!$A$1:C527,3)</f>
        <v>West</v>
      </c>
    </row>
    <row r="525" spans="1:14" x14ac:dyDescent="0.25">
      <c r="A525">
        <v>524</v>
      </c>
      <c r="B525" s="1">
        <v>45568</v>
      </c>
      <c r="C525" s="8" t="str">
        <f>TEXT(Table2[[#This Row],[OrderDate]],"mmm")</f>
        <v>Oct</v>
      </c>
      <c r="D525">
        <v>5</v>
      </c>
      <c r="E525">
        <v>4</v>
      </c>
      <c r="F525">
        <v>2</v>
      </c>
      <c r="G525" s="3">
        <v>99670</v>
      </c>
      <c r="H525" s="3">
        <f t="shared" si="16"/>
        <v>199340</v>
      </c>
      <c r="I525" s="5">
        <f>Table2[[#This Row],[Total Revenue]]*0.3</f>
        <v>59802</v>
      </c>
      <c r="J525" s="6">
        <f t="shared" si="17"/>
        <v>0.3</v>
      </c>
      <c r="K525" t="str">
        <f>VLOOKUP(Table2[[#This Row],[ProductID]],Products!$A$1:C529,2)</f>
        <v>Monitor</v>
      </c>
      <c r="L525" t="str">
        <f>VLOOKUP(D525,Products!$A$1:C529,3)</f>
        <v>Accessories</v>
      </c>
      <c r="M525" t="str">
        <f>VLOOKUP(Table2[[#This Row],[AgentID]],Sales_Agents!$A$1:C528,2)</f>
        <v>Zainab</v>
      </c>
      <c r="N525" t="str">
        <f>VLOOKUP(Table2[[#This Row],[AgentID]],Sales_Agents!$A$1:C528,3)</f>
        <v>North</v>
      </c>
    </row>
    <row r="526" spans="1:14" x14ac:dyDescent="0.25">
      <c r="A526">
        <v>525</v>
      </c>
      <c r="B526" s="1">
        <v>45300</v>
      </c>
      <c r="C526" s="8" t="str">
        <f>TEXT(Table2[[#This Row],[OrderDate]],"mmm")</f>
        <v>Jan</v>
      </c>
      <c r="D526">
        <v>4</v>
      </c>
      <c r="E526">
        <v>1</v>
      </c>
      <c r="F526">
        <v>10</v>
      </c>
      <c r="G526" s="3">
        <v>66747</v>
      </c>
      <c r="H526" s="3">
        <f t="shared" si="16"/>
        <v>667470</v>
      </c>
      <c r="I526" s="5">
        <f>Table2[[#This Row],[Total Revenue]]*0.3</f>
        <v>200241</v>
      </c>
      <c r="J526" s="6">
        <f t="shared" si="17"/>
        <v>0.3</v>
      </c>
      <c r="K526" t="str">
        <f>VLOOKUP(Table2[[#This Row],[ProductID]],Products!$A$1:C530,2)</f>
        <v>Printer</v>
      </c>
      <c r="L526" t="str">
        <f>VLOOKUP(D526,Products!$A$1:C530,3)</f>
        <v>Accessories</v>
      </c>
      <c r="M526" t="str">
        <f>VLOOKUP(Table2[[#This Row],[AgentID]],Sales_Agents!$A$1:C529,2)</f>
        <v>Akin</v>
      </c>
      <c r="N526" t="str">
        <f>VLOOKUP(Table2[[#This Row],[AgentID]],Sales_Agents!$A$1:C529,3)</f>
        <v>West</v>
      </c>
    </row>
    <row r="527" spans="1:14" x14ac:dyDescent="0.25">
      <c r="A527">
        <v>526</v>
      </c>
      <c r="B527" s="1">
        <v>45315</v>
      </c>
      <c r="C527" s="8" t="str">
        <f>TEXT(Table2[[#This Row],[OrderDate]],"mmm")</f>
        <v>Jan</v>
      </c>
      <c r="D527">
        <v>3</v>
      </c>
      <c r="E527">
        <v>4</v>
      </c>
      <c r="F527">
        <v>6</v>
      </c>
      <c r="G527" s="3">
        <v>363084</v>
      </c>
      <c r="H527" s="3">
        <f t="shared" si="16"/>
        <v>2178504</v>
      </c>
      <c r="I527" s="5">
        <f>Table2[[#This Row],[Total Revenue]]*0.3</f>
        <v>653551.19999999995</v>
      </c>
      <c r="J527" s="6">
        <f t="shared" si="17"/>
        <v>0.3</v>
      </c>
      <c r="K527" t="str">
        <f>VLOOKUP(Table2[[#This Row],[ProductID]],Products!$A$1:C531,2)</f>
        <v>Tablet</v>
      </c>
      <c r="L527" t="str">
        <f>VLOOKUP(D527,Products!$A$1:C531,3)</f>
        <v>Electronics</v>
      </c>
      <c r="M527" t="str">
        <f>VLOOKUP(Table2[[#This Row],[AgentID]],Sales_Agents!$A$1:C530,2)</f>
        <v>Zainab</v>
      </c>
      <c r="N527" t="str">
        <f>VLOOKUP(Table2[[#This Row],[AgentID]],Sales_Agents!$A$1:C530,3)</f>
        <v>North</v>
      </c>
    </row>
    <row r="528" spans="1:14" x14ac:dyDescent="0.25">
      <c r="A528">
        <v>527</v>
      </c>
      <c r="B528" s="1">
        <v>45537</v>
      </c>
      <c r="C528" s="8" t="str">
        <f>TEXT(Table2[[#This Row],[OrderDate]],"mmm")</f>
        <v>Sept</v>
      </c>
      <c r="D528">
        <v>5</v>
      </c>
      <c r="E528">
        <v>4</v>
      </c>
      <c r="F528">
        <v>9</v>
      </c>
      <c r="G528" s="3">
        <v>253160</v>
      </c>
      <c r="H528" s="3">
        <f t="shared" si="16"/>
        <v>2278440</v>
      </c>
      <c r="I528" s="5">
        <f>Table2[[#This Row],[Total Revenue]]*0.3</f>
        <v>683532</v>
      </c>
      <c r="J528" s="6">
        <f t="shared" si="17"/>
        <v>0.3</v>
      </c>
      <c r="K528" t="str">
        <f>VLOOKUP(Table2[[#This Row],[ProductID]],Products!$A$1:C532,2)</f>
        <v>Monitor</v>
      </c>
      <c r="L528" t="str">
        <f>VLOOKUP(D528,Products!$A$1:C532,3)</f>
        <v>Accessories</v>
      </c>
      <c r="M528" t="str">
        <f>VLOOKUP(Table2[[#This Row],[AgentID]],Sales_Agents!$A$1:C531,2)</f>
        <v>Zainab</v>
      </c>
      <c r="N528" t="str">
        <f>VLOOKUP(Table2[[#This Row],[AgentID]],Sales_Agents!$A$1:C531,3)</f>
        <v>North</v>
      </c>
    </row>
    <row r="529" spans="1:14" x14ac:dyDescent="0.25">
      <c r="A529">
        <v>528</v>
      </c>
      <c r="B529" s="1">
        <v>45475</v>
      </c>
      <c r="C529" s="8" t="str">
        <f>TEXT(Table2[[#This Row],[OrderDate]],"mmm")</f>
        <v>Jul</v>
      </c>
      <c r="D529">
        <v>4</v>
      </c>
      <c r="E529">
        <v>2</v>
      </c>
      <c r="F529">
        <v>15</v>
      </c>
      <c r="G529" s="3">
        <v>236290</v>
      </c>
      <c r="H529" s="3">
        <f t="shared" si="16"/>
        <v>3544350</v>
      </c>
      <c r="I529" s="5">
        <f>Table2[[#This Row],[Total Revenue]]*0.3</f>
        <v>1063305</v>
      </c>
      <c r="J529" s="6">
        <f t="shared" si="17"/>
        <v>0.3</v>
      </c>
      <c r="K529" t="str">
        <f>VLOOKUP(Table2[[#This Row],[ProductID]],Products!$A$1:C533,2)</f>
        <v>Printer</v>
      </c>
      <c r="L529" t="str">
        <f>VLOOKUP(D529,Products!$A$1:C533,3)</f>
        <v>Accessories</v>
      </c>
      <c r="M529" t="str">
        <f>VLOOKUP(Table2[[#This Row],[AgentID]],Sales_Agents!$A$1:C532,2)</f>
        <v>Blessing</v>
      </c>
      <c r="N529" t="str">
        <f>VLOOKUP(Table2[[#This Row],[AgentID]],Sales_Agents!$A$1:C532,3)</f>
        <v>East</v>
      </c>
    </row>
    <row r="530" spans="1:14" x14ac:dyDescent="0.25">
      <c r="A530">
        <v>529</v>
      </c>
      <c r="B530" s="1">
        <v>45523</v>
      </c>
      <c r="C530" s="8" t="str">
        <f>TEXT(Table2[[#This Row],[OrderDate]],"mmm")</f>
        <v>Aug</v>
      </c>
      <c r="D530">
        <v>2</v>
      </c>
      <c r="E530">
        <v>2</v>
      </c>
      <c r="F530">
        <v>3</v>
      </c>
      <c r="G530" s="3">
        <v>124013</v>
      </c>
      <c r="H530" s="3">
        <f t="shared" si="16"/>
        <v>372039</v>
      </c>
      <c r="I530" s="5">
        <f>Table2[[#This Row],[Total Revenue]]*0.3</f>
        <v>111611.7</v>
      </c>
      <c r="J530" s="6">
        <f t="shared" si="17"/>
        <v>0.3</v>
      </c>
      <c r="K530" t="str">
        <f>VLOOKUP(Table2[[#This Row],[ProductID]],Products!$A$1:C534,2)</f>
        <v>Phone</v>
      </c>
      <c r="L530" t="str">
        <f>VLOOKUP(D530,Products!$A$1:C534,3)</f>
        <v>Electronics</v>
      </c>
      <c r="M530" t="str">
        <f>VLOOKUP(Table2[[#This Row],[AgentID]],Sales_Agents!$A$1:C533,2)</f>
        <v>Blessing</v>
      </c>
      <c r="N530" t="str">
        <f>VLOOKUP(Table2[[#This Row],[AgentID]],Sales_Agents!$A$1:C533,3)</f>
        <v>East</v>
      </c>
    </row>
    <row r="531" spans="1:14" x14ac:dyDescent="0.25">
      <c r="A531">
        <v>530</v>
      </c>
      <c r="B531" s="1">
        <v>45348</v>
      </c>
      <c r="C531" s="8" t="str">
        <f>TEXT(Table2[[#This Row],[OrderDate]],"mmm")</f>
        <v>Feb</v>
      </c>
      <c r="D531">
        <v>4</v>
      </c>
      <c r="E531">
        <v>3</v>
      </c>
      <c r="F531">
        <v>18</v>
      </c>
      <c r="G531" s="3">
        <v>395949</v>
      </c>
      <c r="H531" s="3">
        <f t="shared" si="16"/>
        <v>7127082</v>
      </c>
      <c r="I531" s="5">
        <f>Table2[[#This Row],[Total Revenue]]*0.3</f>
        <v>2138124.6</v>
      </c>
      <c r="J531" s="6">
        <f t="shared" si="17"/>
        <v>0.3</v>
      </c>
      <c r="K531" t="str">
        <f>VLOOKUP(Table2[[#This Row],[ProductID]],Products!$A$1:C535,2)</f>
        <v>Printer</v>
      </c>
      <c r="L531" t="str">
        <f>VLOOKUP(D531,Products!$A$1:C535,3)</f>
        <v>Accessories</v>
      </c>
      <c r="M531" t="str">
        <f>VLOOKUP(Table2[[#This Row],[AgentID]],Sales_Agents!$A$1:C534,2)</f>
        <v>Chinedu</v>
      </c>
      <c r="N531" t="str">
        <f>VLOOKUP(Table2[[#This Row],[AgentID]],Sales_Agents!$A$1:C534,3)</f>
        <v>South</v>
      </c>
    </row>
    <row r="532" spans="1:14" x14ac:dyDescent="0.25">
      <c r="A532">
        <v>531</v>
      </c>
      <c r="B532" s="1">
        <v>45399</v>
      </c>
      <c r="C532" s="8" t="str">
        <f>TEXT(Table2[[#This Row],[OrderDate]],"mmm")</f>
        <v>Apr</v>
      </c>
      <c r="D532">
        <v>3</v>
      </c>
      <c r="E532">
        <v>2</v>
      </c>
      <c r="F532">
        <v>13</v>
      </c>
      <c r="G532" s="3">
        <v>203506</v>
      </c>
      <c r="H532" s="3">
        <f t="shared" si="16"/>
        <v>2645578</v>
      </c>
      <c r="I532" s="5">
        <f>Table2[[#This Row],[Total Revenue]]*0.3</f>
        <v>793673.4</v>
      </c>
      <c r="J532" s="6">
        <f t="shared" si="17"/>
        <v>0.3</v>
      </c>
      <c r="K532" t="str">
        <f>VLOOKUP(Table2[[#This Row],[ProductID]],Products!$A$1:C536,2)</f>
        <v>Tablet</v>
      </c>
      <c r="L532" t="str">
        <f>VLOOKUP(D532,Products!$A$1:C536,3)</f>
        <v>Electronics</v>
      </c>
      <c r="M532" t="str">
        <f>VLOOKUP(Table2[[#This Row],[AgentID]],Sales_Agents!$A$1:C535,2)</f>
        <v>Blessing</v>
      </c>
      <c r="N532" t="str">
        <f>VLOOKUP(Table2[[#This Row],[AgentID]],Sales_Agents!$A$1:C535,3)</f>
        <v>East</v>
      </c>
    </row>
    <row r="533" spans="1:14" x14ac:dyDescent="0.25">
      <c r="A533">
        <v>532</v>
      </c>
      <c r="B533" s="1">
        <v>45370</v>
      </c>
      <c r="C533" s="8" t="str">
        <f>TEXT(Table2[[#This Row],[OrderDate]],"mmm")</f>
        <v>Mar</v>
      </c>
      <c r="D533">
        <v>5</v>
      </c>
      <c r="E533">
        <v>4</v>
      </c>
      <c r="F533">
        <v>16</v>
      </c>
      <c r="G533" s="3">
        <v>81758</v>
      </c>
      <c r="H533" s="3">
        <f t="shared" si="16"/>
        <v>1308128</v>
      </c>
      <c r="I533" s="5">
        <f>Table2[[#This Row],[Total Revenue]]*0.3</f>
        <v>392438.39999999997</v>
      </c>
      <c r="J533" s="6">
        <f t="shared" si="17"/>
        <v>0.3</v>
      </c>
      <c r="K533" t="str">
        <f>VLOOKUP(Table2[[#This Row],[ProductID]],Products!$A$1:C537,2)</f>
        <v>Monitor</v>
      </c>
      <c r="L533" t="str">
        <f>VLOOKUP(D533,Products!$A$1:C537,3)</f>
        <v>Accessories</v>
      </c>
      <c r="M533" t="str">
        <f>VLOOKUP(Table2[[#This Row],[AgentID]],Sales_Agents!$A$1:C536,2)</f>
        <v>Zainab</v>
      </c>
      <c r="N533" t="str">
        <f>VLOOKUP(Table2[[#This Row],[AgentID]],Sales_Agents!$A$1:C536,3)</f>
        <v>North</v>
      </c>
    </row>
    <row r="534" spans="1:14" x14ac:dyDescent="0.25">
      <c r="A534">
        <v>533</v>
      </c>
      <c r="B534" s="1">
        <v>45536</v>
      </c>
      <c r="C534" s="8" t="str">
        <f>TEXT(Table2[[#This Row],[OrderDate]],"mmm")</f>
        <v>Sept</v>
      </c>
      <c r="D534">
        <v>2</v>
      </c>
      <c r="E534">
        <v>1</v>
      </c>
      <c r="F534">
        <v>17</v>
      </c>
      <c r="G534" s="3">
        <v>186444</v>
      </c>
      <c r="H534" s="3">
        <f t="shared" si="16"/>
        <v>3169548</v>
      </c>
      <c r="I534" s="5">
        <f>Table2[[#This Row],[Total Revenue]]*0.3</f>
        <v>950864.39999999991</v>
      </c>
      <c r="J534" s="6">
        <f t="shared" si="17"/>
        <v>0.3</v>
      </c>
      <c r="K534" t="str">
        <f>VLOOKUP(Table2[[#This Row],[ProductID]],Products!$A$1:C538,2)</f>
        <v>Phone</v>
      </c>
      <c r="L534" t="str">
        <f>VLOOKUP(D534,Products!$A$1:C538,3)</f>
        <v>Electronics</v>
      </c>
      <c r="M534" t="str">
        <f>VLOOKUP(Table2[[#This Row],[AgentID]],Sales_Agents!$A$1:C537,2)</f>
        <v>Akin</v>
      </c>
      <c r="N534" t="str">
        <f>VLOOKUP(Table2[[#This Row],[AgentID]],Sales_Agents!$A$1:C537,3)</f>
        <v>West</v>
      </c>
    </row>
    <row r="535" spans="1:14" x14ac:dyDescent="0.25">
      <c r="A535">
        <v>534</v>
      </c>
      <c r="B535" s="1">
        <v>45482</v>
      </c>
      <c r="C535" s="8" t="str">
        <f>TEXT(Table2[[#This Row],[OrderDate]],"mmm")</f>
        <v>Jul</v>
      </c>
      <c r="D535">
        <v>4</v>
      </c>
      <c r="E535">
        <v>2</v>
      </c>
      <c r="F535">
        <v>2</v>
      </c>
      <c r="G535" s="3">
        <v>81805</v>
      </c>
      <c r="H535" s="3">
        <f t="shared" si="16"/>
        <v>163610</v>
      </c>
      <c r="I535" s="5">
        <f>Table2[[#This Row],[Total Revenue]]*0.3</f>
        <v>49083</v>
      </c>
      <c r="J535" s="6">
        <f t="shared" si="17"/>
        <v>0.3</v>
      </c>
      <c r="K535" t="str">
        <f>VLOOKUP(Table2[[#This Row],[ProductID]],Products!$A$1:C539,2)</f>
        <v>Printer</v>
      </c>
      <c r="L535" t="str">
        <f>VLOOKUP(D535,Products!$A$1:C539,3)</f>
        <v>Accessories</v>
      </c>
      <c r="M535" t="str">
        <f>VLOOKUP(Table2[[#This Row],[AgentID]],Sales_Agents!$A$1:C538,2)</f>
        <v>Blessing</v>
      </c>
      <c r="N535" t="str">
        <f>VLOOKUP(Table2[[#This Row],[AgentID]],Sales_Agents!$A$1:C538,3)</f>
        <v>East</v>
      </c>
    </row>
    <row r="536" spans="1:14" x14ac:dyDescent="0.25">
      <c r="A536">
        <v>535</v>
      </c>
      <c r="B536" s="1">
        <v>45599</v>
      </c>
      <c r="C536" s="8" t="str">
        <f>TEXT(Table2[[#This Row],[OrderDate]],"mmm")</f>
        <v>Nov</v>
      </c>
      <c r="D536">
        <v>4</v>
      </c>
      <c r="E536">
        <v>3</v>
      </c>
      <c r="F536">
        <v>2</v>
      </c>
      <c r="G536" s="3">
        <v>302425</v>
      </c>
      <c r="H536" s="3">
        <f t="shared" si="16"/>
        <v>604850</v>
      </c>
      <c r="I536" s="5">
        <f>Table2[[#This Row],[Total Revenue]]*0.3</f>
        <v>181455</v>
      </c>
      <c r="J536" s="6">
        <f t="shared" si="17"/>
        <v>0.3</v>
      </c>
      <c r="K536" t="str">
        <f>VLOOKUP(Table2[[#This Row],[ProductID]],Products!$A$1:C540,2)</f>
        <v>Printer</v>
      </c>
      <c r="L536" t="str">
        <f>VLOOKUP(D536,Products!$A$1:C540,3)</f>
        <v>Accessories</v>
      </c>
      <c r="M536" t="str">
        <f>VLOOKUP(Table2[[#This Row],[AgentID]],Sales_Agents!$A$1:C539,2)</f>
        <v>Chinedu</v>
      </c>
      <c r="N536" t="str">
        <f>VLOOKUP(Table2[[#This Row],[AgentID]],Sales_Agents!$A$1:C539,3)</f>
        <v>South</v>
      </c>
    </row>
    <row r="537" spans="1:14" x14ac:dyDescent="0.25">
      <c r="A537">
        <v>536</v>
      </c>
      <c r="B537" s="1">
        <v>45625</v>
      </c>
      <c r="C537" s="8" t="str">
        <f>TEXT(Table2[[#This Row],[OrderDate]],"mmm")</f>
        <v>Nov</v>
      </c>
      <c r="D537">
        <v>3</v>
      </c>
      <c r="E537">
        <v>1</v>
      </c>
      <c r="F537">
        <v>12</v>
      </c>
      <c r="G537" s="3">
        <v>395284</v>
      </c>
      <c r="H537" s="3">
        <f t="shared" si="16"/>
        <v>4743408</v>
      </c>
      <c r="I537" s="5">
        <f>Table2[[#This Row],[Total Revenue]]*0.3</f>
        <v>1423022.4</v>
      </c>
      <c r="J537" s="6">
        <f t="shared" si="17"/>
        <v>0.3</v>
      </c>
      <c r="K537" t="str">
        <f>VLOOKUP(Table2[[#This Row],[ProductID]],Products!$A$1:C541,2)</f>
        <v>Tablet</v>
      </c>
      <c r="L537" t="str">
        <f>VLOOKUP(D537,Products!$A$1:C541,3)</f>
        <v>Electronics</v>
      </c>
      <c r="M537" t="str">
        <f>VLOOKUP(Table2[[#This Row],[AgentID]],Sales_Agents!$A$1:C540,2)</f>
        <v>Akin</v>
      </c>
      <c r="N537" t="str">
        <f>VLOOKUP(Table2[[#This Row],[AgentID]],Sales_Agents!$A$1:C540,3)</f>
        <v>West</v>
      </c>
    </row>
    <row r="538" spans="1:14" x14ac:dyDescent="0.25">
      <c r="A538">
        <v>537</v>
      </c>
      <c r="B538" s="1">
        <v>45437</v>
      </c>
      <c r="C538" s="8" t="str">
        <f>TEXT(Table2[[#This Row],[OrderDate]],"mmm")</f>
        <v>May</v>
      </c>
      <c r="D538">
        <v>1</v>
      </c>
      <c r="E538">
        <v>1</v>
      </c>
      <c r="F538">
        <v>8</v>
      </c>
      <c r="G538" s="3">
        <v>50751</v>
      </c>
      <c r="H538" s="3">
        <f t="shared" si="16"/>
        <v>406008</v>
      </c>
      <c r="I538" s="5">
        <f>Table2[[#This Row],[Total Revenue]]*0.3</f>
        <v>121802.4</v>
      </c>
      <c r="J538" s="6">
        <f t="shared" si="17"/>
        <v>0.3</v>
      </c>
      <c r="K538" t="str">
        <f>VLOOKUP(Table2[[#This Row],[ProductID]],Products!$A$1:C542,2)</f>
        <v>Laptop</v>
      </c>
      <c r="L538" t="str">
        <f>VLOOKUP(D538,Products!$A$1:C542,3)</f>
        <v>Electronics</v>
      </c>
      <c r="M538" t="str">
        <f>VLOOKUP(Table2[[#This Row],[AgentID]],Sales_Agents!$A$1:C541,2)</f>
        <v>Akin</v>
      </c>
      <c r="N538" t="str">
        <f>VLOOKUP(Table2[[#This Row],[AgentID]],Sales_Agents!$A$1:C541,3)</f>
        <v>West</v>
      </c>
    </row>
    <row r="539" spans="1:14" x14ac:dyDescent="0.25">
      <c r="A539">
        <v>538</v>
      </c>
      <c r="B539" s="1">
        <v>45443</v>
      </c>
      <c r="C539" s="8" t="str">
        <f>TEXT(Table2[[#This Row],[OrderDate]],"mmm")</f>
        <v>May</v>
      </c>
      <c r="D539">
        <v>5</v>
      </c>
      <c r="E539">
        <v>1</v>
      </c>
      <c r="F539">
        <v>17</v>
      </c>
      <c r="G539" s="3">
        <v>59868</v>
      </c>
      <c r="H539" s="3">
        <f t="shared" si="16"/>
        <v>1017756</v>
      </c>
      <c r="I539" s="5">
        <f>Table2[[#This Row],[Total Revenue]]*0.3</f>
        <v>305326.8</v>
      </c>
      <c r="J539" s="6">
        <f t="shared" si="17"/>
        <v>0.3</v>
      </c>
      <c r="K539" t="str">
        <f>VLOOKUP(Table2[[#This Row],[ProductID]],Products!$A$1:C543,2)</f>
        <v>Monitor</v>
      </c>
      <c r="L539" t="str">
        <f>VLOOKUP(D539,Products!$A$1:C543,3)</f>
        <v>Accessories</v>
      </c>
      <c r="M539" t="str">
        <f>VLOOKUP(Table2[[#This Row],[AgentID]],Sales_Agents!$A$1:C542,2)</f>
        <v>Akin</v>
      </c>
      <c r="N539" t="str">
        <f>VLOOKUP(Table2[[#This Row],[AgentID]],Sales_Agents!$A$1:C542,3)</f>
        <v>West</v>
      </c>
    </row>
    <row r="540" spans="1:14" x14ac:dyDescent="0.25">
      <c r="A540">
        <v>539</v>
      </c>
      <c r="B540" s="1">
        <v>45566</v>
      </c>
      <c r="C540" s="8" t="str">
        <f>TEXT(Table2[[#This Row],[OrderDate]],"mmm")</f>
        <v>Oct</v>
      </c>
      <c r="D540">
        <v>3</v>
      </c>
      <c r="E540">
        <v>3</v>
      </c>
      <c r="F540">
        <v>5</v>
      </c>
      <c r="G540" s="3">
        <v>291183</v>
      </c>
      <c r="H540" s="3">
        <f t="shared" si="16"/>
        <v>1455915</v>
      </c>
      <c r="I540" s="5">
        <f>Table2[[#This Row],[Total Revenue]]*0.3</f>
        <v>436774.5</v>
      </c>
      <c r="J540" s="6">
        <f t="shared" si="17"/>
        <v>0.3</v>
      </c>
      <c r="K540" t="str">
        <f>VLOOKUP(Table2[[#This Row],[ProductID]],Products!$A$1:C544,2)</f>
        <v>Tablet</v>
      </c>
      <c r="L540" t="str">
        <f>VLOOKUP(D540,Products!$A$1:C544,3)</f>
        <v>Electronics</v>
      </c>
      <c r="M540" t="str">
        <f>VLOOKUP(Table2[[#This Row],[AgentID]],Sales_Agents!$A$1:C543,2)</f>
        <v>Chinedu</v>
      </c>
      <c r="N540" t="str">
        <f>VLOOKUP(Table2[[#This Row],[AgentID]],Sales_Agents!$A$1:C543,3)</f>
        <v>South</v>
      </c>
    </row>
    <row r="541" spans="1:14" x14ac:dyDescent="0.25">
      <c r="A541">
        <v>540</v>
      </c>
      <c r="B541" s="1">
        <v>45386</v>
      </c>
      <c r="C541" s="8" t="str">
        <f>TEXT(Table2[[#This Row],[OrderDate]],"mmm")</f>
        <v>Apr</v>
      </c>
      <c r="D541">
        <v>2</v>
      </c>
      <c r="E541">
        <v>2</v>
      </c>
      <c r="F541">
        <v>7</v>
      </c>
      <c r="G541" s="3">
        <v>254036</v>
      </c>
      <c r="H541" s="3">
        <f t="shared" si="16"/>
        <v>1778252</v>
      </c>
      <c r="I541" s="5">
        <f>Table2[[#This Row],[Total Revenue]]*0.3</f>
        <v>533475.6</v>
      </c>
      <c r="J541" s="6">
        <f t="shared" si="17"/>
        <v>0.3</v>
      </c>
      <c r="K541" t="str">
        <f>VLOOKUP(Table2[[#This Row],[ProductID]],Products!$A$1:C545,2)</f>
        <v>Phone</v>
      </c>
      <c r="L541" t="str">
        <f>VLOOKUP(D541,Products!$A$1:C545,3)</f>
        <v>Electronics</v>
      </c>
      <c r="M541" t="str">
        <f>VLOOKUP(Table2[[#This Row],[AgentID]],Sales_Agents!$A$1:C544,2)</f>
        <v>Blessing</v>
      </c>
      <c r="N541" t="str">
        <f>VLOOKUP(Table2[[#This Row],[AgentID]],Sales_Agents!$A$1:C544,3)</f>
        <v>East</v>
      </c>
    </row>
    <row r="542" spans="1:14" x14ac:dyDescent="0.25">
      <c r="A542">
        <v>541</v>
      </c>
      <c r="B542" s="1">
        <v>45354</v>
      </c>
      <c r="C542" s="8" t="str">
        <f>TEXT(Table2[[#This Row],[OrderDate]],"mmm")</f>
        <v>Mar</v>
      </c>
      <c r="D542">
        <v>2</v>
      </c>
      <c r="E542">
        <v>2</v>
      </c>
      <c r="F542">
        <v>16</v>
      </c>
      <c r="G542" s="3">
        <v>177001</v>
      </c>
      <c r="H542" s="3">
        <f t="shared" si="16"/>
        <v>2832016</v>
      </c>
      <c r="I542" s="5">
        <f>Table2[[#This Row],[Total Revenue]]*0.3</f>
        <v>849604.79999999993</v>
      </c>
      <c r="J542" s="6">
        <f t="shared" si="17"/>
        <v>0.3</v>
      </c>
      <c r="K542" t="str">
        <f>VLOOKUP(Table2[[#This Row],[ProductID]],Products!$A$1:C546,2)</f>
        <v>Phone</v>
      </c>
      <c r="L542" t="str">
        <f>VLOOKUP(D542,Products!$A$1:C546,3)</f>
        <v>Electronics</v>
      </c>
      <c r="M542" t="str">
        <f>VLOOKUP(Table2[[#This Row],[AgentID]],Sales_Agents!$A$1:C545,2)</f>
        <v>Blessing</v>
      </c>
      <c r="N542" t="str">
        <f>VLOOKUP(Table2[[#This Row],[AgentID]],Sales_Agents!$A$1:C545,3)</f>
        <v>East</v>
      </c>
    </row>
    <row r="543" spans="1:14" x14ac:dyDescent="0.25">
      <c r="A543">
        <v>542</v>
      </c>
      <c r="B543" s="1">
        <v>45430</v>
      </c>
      <c r="C543" s="8" t="str">
        <f>TEXT(Table2[[#This Row],[OrderDate]],"mmm")</f>
        <v>May</v>
      </c>
      <c r="D543">
        <v>4</v>
      </c>
      <c r="E543">
        <v>4</v>
      </c>
      <c r="F543">
        <v>5</v>
      </c>
      <c r="G543" s="3">
        <v>107530</v>
      </c>
      <c r="H543" s="3">
        <f t="shared" si="16"/>
        <v>537650</v>
      </c>
      <c r="I543" s="5">
        <f>Table2[[#This Row],[Total Revenue]]*0.3</f>
        <v>161295</v>
      </c>
      <c r="J543" s="6">
        <f t="shared" si="17"/>
        <v>0.3</v>
      </c>
      <c r="K543" t="str">
        <f>VLOOKUP(Table2[[#This Row],[ProductID]],Products!$A$1:C547,2)</f>
        <v>Printer</v>
      </c>
      <c r="L543" t="str">
        <f>VLOOKUP(D543,Products!$A$1:C547,3)</f>
        <v>Accessories</v>
      </c>
      <c r="M543" t="str">
        <f>VLOOKUP(Table2[[#This Row],[AgentID]],Sales_Agents!$A$1:C546,2)</f>
        <v>Zainab</v>
      </c>
      <c r="N543" t="str">
        <f>VLOOKUP(Table2[[#This Row],[AgentID]],Sales_Agents!$A$1:C546,3)</f>
        <v>North</v>
      </c>
    </row>
    <row r="544" spans="1:14" x14ac:dyDescent="0.25">
      <c r="A544">
        <v>543</v>
      </c>
      <c r="B544" s="1">
        <v>45502</v>
      </c>
      <c r="C544" s="8" t="str">
        <f>TEXT(Table2[[#This Row],[OrderDate]],"mmm")</f>
        <v>Jul</v>
      </c>
      <c r="D544">
        <v>1</v>
      </c>
      <c r="E544">
        <v>1</v>
      </c>
      <c r="F544">
        <v>12</v>
      </c>
      <c r="G544" s="3">
        <v>351684</v>
      </c>
      <c r="H544" s="3">
        <f t="shared" si="16"/>
        <v>4220208</v>
      </c>
      <c r="I544" s="5">
        <f>Table2[[#This Row],[Total Revenue]]*0.3</f>
        <v>1266062.3999999999</v>
      </c>
      <c r="J544" s="6">
        <f t="shared" si="17"/>
        <v>0.3</v>
      </c>
      <c r="K544" t="str">
        <f>VLOOKUP(Table2[[#This Row],[ProductID]],Products!$A$1:C548,2)</f>
        <v>Laptop</v>
      </c>
      <c r="L544" t="str">
        <f>VLOOKUP(D544,Products!$A$1:C548,3)</f>
        <v>Electronics</v>
      </c>
      <c r="M544" t="str">
        <f>VLOOKUP(Table2[[#This Row],[AgentID]],Sales_Agents!$A$1:C547,2)</f>
        <v>Akin</v>
      </c>
      <c r="N544" t="str">
        <f>VLOOKUP(Table2[[#This Row],[AgentID]],Sales_Agents!$A$1:C547,3)</f>
        <v>West</v>
      </c>
    </row>
    <row r="545" spans="1:14" x14ac:dyDescent="0.25">
      <c r="A545">
        <v>544</v>
      </c>
      <c r="B545" s="1">
        <v>45621</v>
      </c>
      <c r="C545" s="8" t="str">
        <f>TEXT(Table2[[#This Row],[OrderDate]],"mmm")</f>
        <v>Nov</v>
      </c>
      <c r="D545">
        <v>4</v>
      </c>
      <c r="E545">
        <v>2</v>
      </c>
      <c r="F545">
        <v>3</v>
      </c>
      <c r="G545" s="3">
        <v>337049</v>
      </c>
      <c r="H545" s="3">
        <f t="shared" si="16"/>
        <v>1011147</v>
      </c>
      <c r="I545" s="5">
        <f>Table2[[#This Row],[Total Revenue]]*0.3</f>
        <v>303344.09999999998</v>
      </c>
      <c r="J545" s="6">
        <f t="shared" si="17"/>
        <v>0.3</v>
      </c>
      <c r="K545" t="str">
        <f>VLOOKUP(Table2[[#This Row],[ProductID]],Products!$A$1:C549,2)</f>
        <v>Printer</v>
      </c>
      <c r="L545" t="str">
        <f>VLOOKUP(D545,Products!$A$1:C549,3)</f>
        <v>Accessories</v>
      </c>
      <c r="M545" t="str">
        <f>VLOOKUP(Table2[[#This Row],[AgentID]],Sales_Agents!$A$1:C548,2)</f>
        <v>Blessing</v>
      </c>
      <c r="N545" t="str">
        <f>VLOOKUP(Table2[[#This Row],[AgentID]],Sales_Agents!$A$1:C548,3)</f>
        <v>East</v>
      </c>
    </row>
    <row r="546" spans="1:14" x14ac:dyDescent="0.25">
      <c r="A546">
        <v>545</v>
      </c>
      <c r="B546" s="1">
        <v>45578</v>
      </c>
      <c r="C546" s="8" t="str">
        <f>TEXT(Table2[[#This Row],[OrderDate]],"mmm")</f>
        <v>Oct</v>
      </c>
      <c r="D546">
        <v>1</v>
      </c>
      <c r="E546">
        <v>3</v>
      </c>
      <c r="F546">
        <v>3</v>
      </c>
      <c r="G546" s="3">
        <v>396264</v>
      </c>
      <c r="H546" s="3">
        <f t="shared" si="16"/>
        <v>1188792</v>
      </c>
      <c r="I546" s="5">
        <f>Table2[[#This Row],[Total Revenue]]*0.3</f>
        <v>356637.6</v>
      </c>
      <c r="J546" s="6">
        <f t="shared" si="17"/>
        <v>0.3</v>
      </c>
      <c r="K546" t="str">
        <f>VLOOKUP(Table2[[#This Row],[ProductID]],Products!$A$1:C550,2)</f>
        <v>Laptop</v>
      </c>
      <c r="L546" t="str">
        <f>VLOOKUP(D546,Products!$A$1:C550,3)</f>
        <v>Electronics</v>
      </c>
      <c r="M546" t="str">
        <f>VLOOKUP(Table2[[#This Row],[AgentID]],Sales_Agents!$A$1:C549,2)</f>
        <v>Chinedu</v>
      </c>
      <c r="N546" t="str">
        <f>VLOOKUP(Table2[[#This Row],[AgentID]],Sales_Agents!$A$1:C549,3)</f>
        <v>South</v>
      </c>
    </row>
    <row r="547" spans="1:14" x14ac:dyDescent="0.25">
      <c r="A547">
        <v>546</v>
      </c>
      <c r="B547" s="1">
        <v>45476</v>
      </c>
      <c r="C547" s="8" t="str">
        <f>TEXT(Table2[[#This Row],[OrderDate]],"mmm")</f>
        <v>Jul</v>
      </c>
      <c r="D547">
        <v>4</v>
      </c>
      <c r="E547">
        <v>2</v>
      </c>
      <c r="F547">
        <v>5</v>
      </c>
      <c r="G547" s="3">
        <v>61848</v>
      </c>
      <c r="H547" s="3">
        <f t="shared" si="16"/>
        <v>309240</v>
      </c>
      <c r="I547" s="5">
        <f>Table2[[#This Row],[Total Revenue]]*0.3</f>
        <v>92772</v>
      </c>
      <c r="J547" s="6">
        <f t="shared" si="17"/>
        <v>0.3</v>
      </c>
      <c r="K547" t="str">
        <f>VLOOKUP(Table2[[#This Row],[ProductID]],Products!$A$1:C551,2)</f>
        <v>Printer</v>
      </c>
      <c r="L547" t="str">
        <f>VLOOKUP(D547,Products!$A$1:C551,3)</f>
        <v>Accessories</v>
      </c>
      <c r="M547" t="str">
        <f>VLOOKUP(Table2[[#This Row],[AgentID]],Sales_Agents!$A$1:C550,2)</f>
        <v>Blessing</v>
      </c>
      <c r="N547" t="str">
        <f>VLOOKUP(Table2[[#This Row],[AgentID]],Sales_Agents!$A$1:C550,3)</f>
        <v>East</v>
      </c>
    </row>
    <row r="548" spans="1:14" x14ac:dyDescent="0.25">
      <c r="A548">
        <v>547</v>
      </c>
      <c r="B548" s="1">
        <v>45531</v>
      </c>
      <c r="C548" s="8" t="str">
        <f>TEXT(Table2[[#This Row],[OrderDate]],"mmm")</f>
        <v>Aug</v>
      </c>
      <c r="D548">
        <v>4</v>
      </c>
      <c r="E548">
        <v>1</v>
      </c>
      <c r="F548">
        <v>4</v>
      </c>
      <c r="G548" s="3">
        <v>263874</v>
      </c>
      <c r="H548" s="3">
        <f t="shared" si="16"/>
        <v>1055496</v>
      </c>
      <c r="I548" s="5">
        <f>Table2[[#This Row],[Total Revenue]]*0.3</f>
        <v>316648.8</v>
      </c>
      <c r="J548" s="6">
        <f t="shared" si="17"/>
        <v>0.3</v>
      </c>
      <c r="K548" t="str">
        <f>VLOOKUP(Table2[[#This Row],[ProductID]],Products!$A$1:C552,2)</f>
        <v>Printer</v>
      </c>
      <c r="L548" t="str">
        <f>VLOOKUP(D548,Products!$A$1:C552,3)</f>
        <v>Accessories</v>
      </c>
      <c r="M548" t="str">
        <f>VLOOKUP(Table2[[#This Row],[AgentID]],Sales_Agents!$A$1:C551,2)</f>
        <v>Akin</v>
      </c>
      <c r="N548" t="str">
        <f>VLOOKUP(Table2[[#This Row],[AgentID]],Sales_Agents!$A$1:C551,3)</f>
        <v>West</v>
      </c>
    </row>
    <row r="549" spans="1:14" x14ac:dyDescent="0.25">
      <c r="A549">
        <v>548</v>
      </c>
      <c r="B549" s="1">
        <v>45597</v>
      </c>
      <c r="C549" s="8" t="str">
        <f>TEXT(Table2[[#This Row],[OrderDate]],"mmm")</f>
        <v>Nov</v>
      </c>
      <c r="D549">
        <v>2</v>
      </c>
      <c r="E549">
        <v>3</v>
      </c>
      <c r="F549">
        <v>3</v>
      </c>
      <c r="G549" s="3">
        <v>283161</v>
      </c>
      <c r="H549" s="3">
        <f t="shared" si="16"/>
        <v>849483</v>
      </c>
      <c r="I549" s="5">
        <f>Table2[[#This Row],[Total Revenue]]*0.3</f>
        <v>254844.9</v>
      </c>
      <c r="J549" s="6">
        <f t="shared" si="17"/>
        <v>0.3</v>
      </c>
      <c r="K549" t="str">
        <f>VLOOKUP(Table2[[#This Row],[ProductID]],Products!$A$1:C553,2)</f>
        <v>Phone</v>
      </c>
      <c r="L549" t="str">
        <f>VLOOKUP(D549,Products!$A$1:C553,3)</f>
        <v>Electronics</v>
      </c>
      <c r="M549" t="str">
        <f>VLOOKUP(Table2[[#This Row],[AgentID]],Sales_Agents!$A$1:C552,2)</f>
        <v>Chinedu</v>
      </c>
      <c r="N549" t="str">
        <f>VLOOKUP(Table2[[#This Row],[AgentID]],Sales_Agents!$A$1:C552,3)</f>
        <v>South</v>
      </c>
    </row>
    <row r="550" spans="1:14" x14ac:dyDescent="0.25">
      <c r="A550">
        <v>549</v>
      </c>
      <c r="B550" s="1">
        <v>45587</v>
      </c>
      <c r="C550" s="8" t="str">
        <f>TEXT(Table2[[#This Row],[OrderDate]],"mmm")</f>
        <v>Oct</v>
      </c>
      <c r="D550">
        <v>2</v>
      </c>
      <c r="E550">
        <v>4</v>
      </c>
      <c r="F550">
        <v>10</v>
      </c>
      <c r="G550" s="3">
        <v>332429</v>
      </c>
      <c r="H550" s="3">
        <f t="shared" si="16"/>
        <v>3324290</v>
      </c>
      <c r="I550" s="5">
        <f>Table2[[#This Row],[Total Revenue]]*0.3</f>
        <v>997287</v>
      </c>
      <c r="J550" s="6">
        <f t="shared" si="17"/>
        <v>0.3</v>
      </c>
      <c r="K550" t="str">
        <f>VLOOKUP(Table2[[#This Row],[ProductID]],Products!$A$1:C554,2)</f>
        <v>Phone</v>
      </c>
      <c r="L550" t="str">
        <f>VLOOKUP(D550,Products!$A$1:C554,3)</f>
        <v>Electronics</v>
      </c>
      <c r="M550" t="str">
        <f>VLOOKUP(Table2[[#This Row],[AgentID]],Sales_Agents!$A$1:C553,2)</f>
        <v>Zainab</v>
      </c>
      <c r="N550" t="str">
        <f>VLOOKUP(Table2[[#This Row],[AgentID]],Sales_Agents!$A$1:C553,3)</f>
        <v>North</v>
      </c>
    </row>
    <row r="551" spans="1:14" x14ac:dyDescent="0.25">
      <c r="A551">
        <v>550</v>
      </c>
      <c r="B551" s="1">
        <v>45510</v>
      </c>
      <c r="C551" s="8" t="str">
        <f>TEXT(Table2[[#This Row],[OrderDate]],"mmm")</f>
        <v>Aug</v>
      </c>
      <c r="D551">
        <v>1</v>
      </c>
      <c r="E551">
        <v>4</v>
      </c>
      <c r="F551">
        <v>1</v>
      </c>
      <c r="G551" s="3">
        <v>79180</v>
      </c>
      <c r="H551" s="3">
        <f t="shared" si="16"/>
        <v>79180</v>
      </c>
      <c r="I551" s="5">
        <f>Table2[[#This Row],[Total Revenue]]*0.3</f>
        <v>23754</v>
      </c>
      <c r="J551" s="6">
        <f t="shared" si="17"/>
        <v>0.3</v>
      </c>
      <c r="K551" t="str">
        <f>VLOOKUP(Table2[[#This Row],[ProductID]],Products!$A$1:C555,2)</f>
        <v>Laptop</v>
      </c>
      <c r="L551" t="str">
        <f>VLOOKUP(D551,Products!$A$1:C555,3)</f>
        <v>Electronics</v>
      </c>
      <c r="M551" t="str">
        <f>VLOOKUP(Table2[[#This Row],[AgentID]],Sales_Agents!$A$1:C554,2)</f>
        <v>Zainab</v>
      </c>
      <c r="N551" t="str">
        <f>VLOOKUP(Table2[[#This Row],[AgentID]],Sales_Agents!$A$1:C554,3)</f>
        <v>North</v>
      </c>
    </row>
    <row r="552" spans="1:14" x14ac:dyDescent="0.25">
      <c r="A552">
        <v>551</v>
      </c>
      <c r="B552" s="1">
        <v>45580</v>
      </c>
      <c r="C552" s="8" t="str">
        <f>TEXT(Table2[[#This Row],[OrderDate]],"mmm")</f>
        <v>Oct</v>
      </c>
      <c r="D552">
        <v>3</v>
      </c>
      <c r="E552">
        <v>4</v>
      </c>
      <c r="F552">
        <v>6</v>
      </c>
      <c r="G552" s="3">
        <v>376306</v>
      </c>
      <c r="H552" s="3">
        <f t="shared" si="16"/>
        <v>2257836</v>
      </c>
      <c r="I552" s="5">
        <f>Table2[[#This Row],[Total Revenue]]*0.3</f>
        <v>677350.79999999993</v>
      </c>
      <c r="J552" s="6">
        <f t="shared" si="17"/>
        <v>0.3</v>
      </c>
      <c r="K552" t="str">
        <f>VLOOKUP(Table2[[#This Row],[ProductID]],Products!$A$1:C556,2)</f>
        <v>Tablet</v>
      </c>
      <c r="L552" t="str">
        <f>VLOOKUP(D552,Products!$A$1:C556,3)</f>
        <v>Electronics</v>
      </c>
      <c r="M552" t="str">
        <f>VLOOKUP(Table2[[#This Row],[AgentID]],Sales_Agents!$A$1:C555,2)</f>
        <v>Zainab</v>
      </c>
      <c r="N552" t="str">
        <f>VLOOKUP(Table2[[#This Row],[AgentID]],Sales_Agents!$A$1:C555,3)</f>
        <v>North</v>
      </c>
    </row>
    <row r="553" spans="1:14" x14ac:dyDescent="0.25">
      <c r="A553">
        <v>552</v>
      </c>
      <c r="B553" s="1">
        <v>45472</v>
      </c>
      <c r="C553" s="8" t="str">
        <f>TEXT(Table2[[#This Row],[OrderDate]],"mmm")</f>
        <v>Jun</v>
      </c>
      <c r="D553">
        <v>5</v>
      </c>
      <c r="E553">
        <v>4</v>
      </c>
      <c r="F553">
        <v>12</v>
      </c>
      <c r="G553" s="3">
        <v>133829</v>
      </c>
      <c r="H553" s="3">
        <f t="shared" si="16"/>
        <v>1605948</v>
      </c>
      <c r="I553" s="5">
        <f>Table2[[#This Row],[Total Revenue]]*0.3</f>
        <v>481784.39999999997</v>
      </c>
      <c r="J553" s="6">
        <f t="shared" si="17"/>
        <v>0.3</v>
      </c>
      <c r="K553" t="str">
        <f>VLOOKUP(Table2[[#This Row],[ProductID]],Products!$A$1:C557,2)</f>
        <v>Monitor</v>
      </c>
      <c r="L553" t="str">
        <f>VLOOKUP(D553,Products!$A$1:C557,3)</f>
        <v>Accessories</v>
      </c>
      <c r="M553" t="str">
        <f>VLOOKUP(Table2[[#This Row],[AgentID]],Sales_Agents!$A$1:C556,2)</f>
        <v>Zainab</v>
      </c>
      <c r="N553" t="str">
        <f>VLOOKUP(Table2[[#This Row],[AgentID]],Sales_Agents!$A$1:C556,3)</f>
        <v>North</v>
      </c>
    </row>
    <row r="554" spans="1:14" x14ac:dyDescent="0.25">
      <c r="A554">
        <v>553</v>
      </c>
      <c r="B554" s="1">
        <v>45498</v>
      </c>
      <c r="C554" s="8" t="str">
        <f>TEXT(Table2[[#This Row],[OrderDate]],"mmm")</f>
        <v>Jul</v>
      </c>
      <c r="D554">
        <v>4</v>
      </c>
      <c r="E554">
        <v>2</v>
      </c>
      <c r="F554">
        <v>1</v>
      </c>
      <c r="G554" s="3">
        <v>164974</v>
      </c>
      <c r="H554" s="3">
        <f t="shared" si="16"/>
        <v>164974</v>
      </c>
      <c r="I554" s="5">
        <f>Table2[[#This Row],[Total Revenue]]*0.3</f>
        <v>49492.2</v>
      </c>
      <c r="J554" s="6">
        <f t="shared" si="17"/>
        <v>0.3</v>
      </c>
      <c r="K554" t="str">
        <f>VLOOKUP(Table2[[#This Row],[ProductID]],Products!$A$1:C558,2)</f>
        <v>Printer</v>
      </c>
      <c r="L554" t="str">
        <f>VLOOKUP(D554,Products!$A$1:C558,3)</f>
        <v>Accessories</v>
      </c>
      <c r="M554" t="str">
        <f>VLOOKUP(Table2[[#This Row],[AgentID]],Sales_Agents!$A$1:C557,2)</f>
        <v>Blessing</v>
      </c>
      <c r="N554" t="str">
        <f>VLOOKUP(Table2[[#This Row],[AgentID]],Sales_Agents!$A$1:C557,3)</f>
        <v>East</v>
      </c>
    </row>
    <row r="555" spans="1:14" x14ac:dyDescent="0.25">
      <c r="A555">
        <v>554</v>
      </c>
      <c r="B555" s="1">
        <v>45652</v>
      </c>
      <c r="C555" s="8" t="str">
        <f>TEXT(Table2[[#This Row],[OrderDate]],"mmm")</f>
        <v>Dec</v>
      </c>
      <c r="D555">
        <v>3</v>
      </c>
      <c r="E555">
        <v>1</v>
      </c>
      <c r="F555">
        <v>19</v>
      </c>
      <c r="G555" s="3">
        <v>67654</v>
      </c>
      <c r="H555" s="3">
        <f t="shared" si="16"/>
        <v>1285426</v>
      </c>
      <c r="I555" s="5">
        <f>Table2[[#This Row],[Total Revenue]]*0.3</f>
        <v>385627.8</v>
      </c>
      <c r="J555" s="6">
        <f t="shared" si="17"/>
        <v>0.3</v>
      </c>
      <c r="K555" t="str">
        <f>VLOOKUP(Table2[[#This Row],[ProductID]],Products!$A$1:C559,2)</f>
        <v>Tablet</v>
      </c>
      <c r="L555" t="str">
        <f>VLOOKUP(D555,Products!$A$1:C559,3)</f>
        <v>Electronics</v>
      </c>
      <c r="M555" t="str">
        <f>VLOOKUP(Table2[[#This Row],[AgentID]],Sales_Agents!$A$1:C558,2)</f>
        <v>Akin</v>
      </c>
      <c r="N555" t="str">
        <f>VLOOKUP(Table2[[#This Row],[AgentID]],Sales_Agents!$A$1:C558,3)</f>
        <v>West</v>
      </c>
    </row>
    <row r="556" spans="1:14" x14ac:dyDescent="0.25">
      <c r="A556">
        <v>555</v>
      </c>
      <c r="B556" s="1">
        <v>45359</v>
      </c>
      <c r="C556" s="8" t="str">
        <f>TEXT(Table2[[#This Row],[OrderDate]],"mmm")</f>
        <v>Mar</v>
      </c>
      <c r="D556">
        <v>3</v>
      </c>
      <c r="E556">
        <v>4</v>
      </c>
      <c r="F556">
        <v>7</v>
      </c>
      <c r="G556" s="3">
        <v>101046</v>
      </c>
      <c r="H556" s="3">
        <f t="shared" si="16"/>
        <v>707322</v>
      </c>
      <c r="I556" s="5">
        <f>Table2[[#This Row],[Total Revenue]]*0.3</f>
        <v>212196.6</v>
      </c>
      <c r="J556" s="6">
        <f t="shared" si="17"/>
        <v>0.3</v>
      </c>
      <c r="K556" t="str">
        <f>VLOOKUP(Table2[[#This Row],[ProductID]],Products!$A$1:C560,2)</f>
        <v>Tablet</v>
      </c>
      <c r="L556" t="str">
        <f>VLOOKUP(D556,Products!$A$1:C560,3)</f>
        <v>Electronics</v>
      </c>
      <c r="M556" t="str">
        <f>VLOOKUP(Table2[[#This Row],[AgentID]],Sales_Agents!$A$1:C559,2)</f>
        <v>Zainab</v>
      </c>
      <c r="N556" t="str">
        <f>VLOOKUP(Table2[[#This Row],[AgentID]],Sales_Agents!$A$1:C559,3)</f>
        <v>North</v>
      </c>
    </row>
    <row r="557" spans="1:14" x14ac:dyDescent="0.25">
      <c r="A557">
        <v>556</v>
      </c>
      <c r="B557" s="1">
        <v>45329</v>
      </c>
      <c r="C557" s="8" t="str">
        <f>TEXT(Table2[[#This Row],[OrderDate]],"mmm")</f>
        <v>Feb</v>
      </c>
      <c r="D557">
        <v>2</v>
      </c>
      <c r="E557">
        <v>2</v>
      </c>
      <c r="F557">
        <v>10</v>
      </c>
      <c r="G557" s="3">
        <v>289477</v>
      </c>
      <c r="H557" s="3">
        <f t="shared" si="16"/>
        <v>2894770</v>
      </c>
      <c r="I557" s="5">
        <f>Table2[[#This Row],[Total Revenue]]*0.3</f>
        <v>868431</v>
      </c>
      <c r="J557" s="6">
        <f t="shared" si="17"/>
        <v>0.3</v>
      </c>
      <c r="K557" t="str">
        <f>VLOOKUP(Table2[[#This Row],[ProductID]],Products!$A$1:C561,2)</f>
        <v>Phone</v>
      </c>
      <c r="L557" t="str">
        <f>VLOOKUP(D557,Products!$A$1:C561,3)</f>
        <v>Electronics</v>
      </c>
      <c r="M557" t="str">
        <f>VLOOKUP(Table2[[#This Row],[AgentID]],Sales_Agents!$A$1:C560,2)</f>
        <v>Blessing</v>
      </c>
      <c r="N557" t="str">
        <f>VLOOKUP(Table2[[#This Row],[AgentID]],Sales_Agents!$A$1:C560,3)</f>
        <v>East</v>
      </c>
    </row>
    <row r="558" spans="1:14" x14ac:dyDescent="0.25">
      <c r="A558">
        <v>557</v>
      </c>
      <c r="B558" s="1">
        <v>45345</v>
      </c>
      <c r="C558" s="8" t="str">
        <f>TEXT(Table2[[#This Row],[OrderDate]],"mmm")</f>
        <v>Feb</v>
      </c>
      <c r="D558">
        <v>2</v>
      </c>
      <c r="E558">
        <v>1</v>
      </c>
      <c r="F558">
        <v>12</v>
      </c>
      <c r="G558" s="3">
        <v>357801</v>
      </c>
      <c r="H558" s="3">
        <f t="shared" si="16"/>
        <v>4293612</v>
      </c>
      <c r="I558" s="5">
        <f>Table2[[#This Row],[Total Revenue]]*0.3</f>
        <v>1288083.5999999999</v>
      </c>
      <c r="J558" s="6">
        <f t="shared" si="17"/>
        <v>0.3</v>
      </c>
      <c r="K558" t="str">
        <f>VLOOKUP(Table2[[#This Row],[ProductID]],Products!$A$1:C562,2)</f>
        <v>Phone</v>
      </c>
      <c r="L558" t="str">
        <f>VLOOKUP(D558,Products!$A$1:C562,3)</f>
        <v>Electronics</v>
      </c>
      <c r="M558" t="str">
        <f>VLOOKUP(Table2[[#This Row],[AgentID]],Sales_Agents!$A$1:C561,2)</f>
        <v>Akin</v>
      </c>
      <c r="N558" t="str">
        <f>VLOOKUP(Table2[[#This Row],[AgentID]],Sales_Agents!$A$1:C561,3)</f>
        <v>West</v>
      </c>
    </row>
    <row r="559" spans="1:14" x14ac:dyDescent="0.25">
      <c r="A559">
        <v>558</v>
      </c>
      <c r="B559" s="1">
        <v>45398</v>
      </c>
      <c r="C559" s="8" t="str">
        <f>TEXT(Table2[[#This Row],[OrderDate]],"mmm")</f>
        <v>Apr</v>
      </c>
      <c r="D559">
        <v>2</v>
      </c>
      <c r="E559">
        <v>3</v>
      </c>
      <c r="F559">
        <v>11</v>
      </c>
      <c r="G559" s="3">
        <v>101731</v>
      </c>
      <c r="H559" s="3">
        <f t="shared" si="16"/>
        <v>1119041</v>
      </c>
      <c r="I559" s="5">
        <f>Table2[[#This Row],[Total Revenue]]*0.3</f>
        <v>335712.3</v>
      </c>
      <c r="J559" s="6">
        <f t="shared" si="17"/>
        <v>0.3</v>
      </c>
      <c r="K559" t="str">
        <f>VLOOKUP(Table2[[#This Row],[ProductID]],Products!$A$1:C563,2)</f>
        <v>Phone</v>
      </c>
      <c r="L559" t="str">
        <f>VLOOKUP(D559,Products!$A$1:C563,3)</f>
        <v>Electronics</v>
      </c>
      <c r="M559" t="str">
        <f>VLOOKUP(Table2[[#This Row],[AgentID]],Sales_Agents!$A$1:C562,2)</f>
        <v>Chinedu</v>
      </c>
      <c r="N559" t="str">
        <f>VLOOKUP(Table2[[#This Row],[AgentID]],Sales_Agents!$A$1:C562,3)</f>
        <v>South</v>
      </c>
    </row>
    <row r="560" spans="1:14" x14ac:dyDescent="0.25">
      <c r="A560">
        <v>559</v>
      </c>
      <c r="B560" s="1">
        <v>45562</v>
      </c>
      <c r="C560" s="8" t="str">
        <f>TEXT(Table2[[#This Row],[OrderDate]],"mmm")</f>
        <v>Sept</v>
      </c>
      <c r="D560">
        <v>4</v>
      </c>
      <c r="E560">
        <v>1</v>
      </c>
      <c r="F560">
        <v>18</v>
      </c>
      <c r="G560" s="3">
        <v>177994</v>
      </c>
      <c r="H560" s="3">
        <f t="shared" si="16"/>
        <v>3203892</v>
      </c>
      <c r="I560" s="5">
        <f>Table2[[#This Row],[Total Revenue]]*0.3</f>
        <v>961167.6</v>
      </c>
      <c r="J560" s="6">
        <f t="shared" si="17"/>
        <v>0.3</v>
      </c>
      <c r="K560" t="str">
        <f>VLOOKUP(Table2[[#This Row],[ProductID]],Products!$A$1:C564,2)</f>
        <v>Printer</v>
      </c>
      <c r="L560" t="str">
        <f>VLOOKUP(D560,Products!$A$1:C564,3)</f>
        <v>Accessories</v>
      </c>
      <c r="M560" t="str">
        <f>VLOOKUP(Table2[[#This Row],[AgentID]],Sales_Agents!$A$1:C563,2)</f>
        <v>Akin</v>
      </c>
      <c r="N560" t="str">
        <f>VLOOKUP(Table2[[#This Row],[AgentID]],Sales_Agents!$A$1:C563,3)</f>
        <v>West</v>
      </c>
    </row>
    <row r="561" spans="1:14" x14ac:dyDescent="0.25">
      <c r="A561">
        <v>560</v>
      </c>
      <c r="B561" s="1">
        <v>45490</v>
      </c>
      <c r="C561" s="8" t="str">
        <f>TEXT(Table2[[#This Row],[OrderDate]],"mmm")</f>
        <v>Jul</v>
      </c>
      <c r="D561">
        <v>1</v>
      </c>
      <c r="E561">
        <v>1</v>
      </c>
      <c r="F561">
        <v>11</v>
      </c>
      <c r="G561" s="3">
        <v>171073</v>
      </c>
      <c r="H561" s="3">
        <f t="shared" si="16"/>
        <v>1881803</v>
      </c>
      <c r="I561" s="5">
        <f>Table2[[#This Row],[Total Revenue]]*0.3</f>
        <v>564540.9</v>
      </c>
      <c r="J561" s="6">
        <f t="shared" si="17"/>
        <v>0.3</v>
      </c>
      <c r="K561" t="str">
        <f>VLOOKUP(Table2[[#This Row],[ProductID]],Products!$A$1:C565,2)</f>
        <v>Laptop</v>
      </c>
      <c r="L561" t="str">
        <f>VLOOKUP(D561,Products!$A$1:C565,3)</f>
        <v>Electronics</v>
      </c>
      <c r="M561" t="str">
        <f>VLOOKUP(Table2[[#This Row],[AgentID]],Sales_Agents!$A$1:C564,2)</f>
        <v>Akin</v>
      </c>
      <c r="N561" t="str">
        <f>VLOOKUP(Table2[[#This Row],[AgentID]],Sales_Agents!$A$1:C564,3)</f>
        <v>West</v>
      </c>
    </row>
    <row r="562" spans="1:14" x14ac:dyDescent="0.25">
      <c r="A562">
        <v>561</v>
      </c>
      <c r="B562" s="1">
        <v>45294</v>
      </c>
      <c r="C562" s="8" t="str">
        <f>TEXT(Table2[[#This Row],[OrderDate]],"mmm")</f>
        <v>Jan</v>
      </c>
      <c r="D562">
        <v>3</v>
      </c>
      <c r="E562">
        <v>2</v>
      </c>
      <c r="F562">
        <v>3</v>
      </c>
      <c r="G562" s="3">
        <v>85467</v>
      </c>
      <c r="H562" s="3">
        <f t="shared" si="16"/>
        <v>256401</v>
      </c>
      <c r="I562" s="5">
        <f>Table2[[#This Row],[Total Revenue]]*0.3</f>
        <v>76920.3</v>
      </c>
      <c r="J562" s="6">
        <f t="shared" si="17"/>
        <v>0.3</v>
      </c>
      <c r="K562" t="str">
        <f>VLOOKUP(Table2[[#This Row],[ProductID]],Products!$A$1:C566,2)</f>
        <v>Tablet</v>
      </c>
      <c r="L562" t="str">
        <f>VLOOKUP(D562,Products!$A$1:C566,3)</f>
        <v>Electronics</v>
      </c>
      <c r="M562" t="str">
        <f>VLOOKUP(Table2[[#This Row],[AgentID]],Sales_Agents!$A$1:C565,2)</f>
        <v>Blessing</v>
      </c>
      <c r="N562" t="str">
        <f>VLOOKUP(Table2[[#This Row],[AgentID]],Sales_Agents!$A$1:C565,3)</f>
        <v>East</v>
      </c>
    </row>
    <row r="563" spans="1:14" x14ac:dyDescent="0.25">
      <c r="A563">
        <v>562</v>
      </c>
      <c r="B563" s="1">
        <v>45450</v>
      </c>
      <c r="C563" s="8" t="str">
        <f>TEXT(Table2[[#This Row],[OrderDate]],"mmm")</f>
        <v>Jun</v>
      </c>
      <c r="D563">
        <v>1</v>
      </c>
      <c r="E563">
        <v>1</v>
      </c>
      <c r="F563">
        <v>1</v>
      </c>
      <c r="G563" s="3">
        <v>291968</v>
      </c>
      <c r="H563" s="3">
        <f t="shared" si="16"/>
        <v>291968</v>
      </c>
      <c r="I563" s="5">
        <f>Table2[[#This Row],[Total Revenue]]*0.3</f>
        <v>87590.399999999994</v>
      </c>
      <c r="J563" s="6">
        <f t="shared" si="17"/>
        <v>0.3</v>
      </c>
      <c r="K563" t="str">
        <f>VLOOKUP(Table2[[#This Row],[ProductID]],Products!$A$1:C567,2)</f>
        <v>Laptop</v>
      </c>
      <c r="L563" t="str">
        <f>VLOOKUP(D563,Products!$A$1:C567,3)</f>
        <v>Electronics</v>
      </c>
      <c r="M563" t="str">
        <f>VLOOKUP(Table2[[#This Row],[AgentID]],Sales_Agents!$A$1:C566,2)</f>
        <v>Akin</v>
      </c>
      <c r="N563" t="str">
        <f>VLOOKUP(Table2[[#This Row],[AgentID]],Sales_Agents!$A$1:C566,3)</f>
        <v>West</v>
      </c>
    </row>
    <row r="564" spans="1:14" x14ac:dyDescent="0.25">
      <c r="A564">
        <v>563</v>
      </c>
      <c r="B564" s="1">
        <v>45347</v>
      </c>
      <c r="C564" s="8" t="str">
        <f>TEXT(Table2[[#This Row],[OrderDate]],"mmm")</f>
        <v>Feb</v>
      </c>
      <c r="D564">
        <v>3</v>
      </c>
      <c r="E564">
        <v>1</v>
      </c>
      <c r="F564">
        <v>4</v>
      </c>
      <c r="G564" s="3">
        <v>390678</v>
      </c>
      <c r="H564" s="3">
        <f t="shared" si="16"/>
        <v>1562712</v>
      </c>
      <c r="I564" s="5">
        <f>Table2[[#This Row],[Total Revenue]]*0.3</f>
        <v>468813.6</v>
      </c>
      <c r="J564" s="6">
        <f t="shared" si="17"/>
        <v>0.3</v>
      </c>
      <c r="K564" t="str">
        <f>VLOOKUP(Table2[[#This Row],[ProductID]],Products!$A$1:C568,2)</f>
        <v>Tablet</v>
      </c>
      <c r="L564" t="str">
        <f>VLOOKUP(D564,Products!$A$1:C568,3)</f>
        <v>Electronics</v>
      </c>
      <c r="M564" t="str">
        <f>VLOOKUP(Table2[[#This Row],[AgentID]],Sales_Agents!$A$1:C567,2)</f>
        <v>Akin</v>
      </c>
      <c r="N564" t="str">
        <f>VLOOKUP(Table2[[#This Row],[AgentID]],Sales_Agents!$A$1:C567,3)</f>
        <v>West</v>
      </c>
    </row>
    <row r="565" spans="1:14" x14ac:dyDescent="0.25">
      <c r="A565">
        <v>564</v>
      </c>
      <c r="B565" s="1">
        <v>45589</v>
      </c>
      <c r="C565" s="8" t="str">
        <f>TEXT(Table2[[#This Row],[OrderDate]],"mmm")</f>
        <v>Oct</v>
      </c>
      <c r="D565">
        <v>3</v>
      </c>
      <c r="E565">
        <v>4</v>
      </c>
      <c r="F565">
        <v>11</v>
      </c>
      <c r="G565" s="3">
        <v>251048</v>
      </c>
      <c r="H565" s="3">
        <f t="shared" si="16"/>
        <v>2761528</v>
      </c>
      <c r="I565" s="5">
        <f>Table2[[#This Row],[Total Revenue]]*0.3</f>
        <v>828458.4</v>
      </c>
      <c r="J565" s="6">
        <f t="shared" si="17"/>
        <v>0.3</v>
      </c>
      <c r="K565" t="str">
        <f>VLOOKUP(Table2[[#This Row],[ProductID]],Products!$A$1:C569,2)</f>
        <v>Tablet</v>
      </c>
      <c r="L565" t="str">
        <f>VLOOKUP(D565,Products!$A$1:C569,3)</f>
        <v>Electronics</v>
      </c>
      <c r="M565" t="str">
        <f>VLOOKUP(Table2[[#This Row],[AgentID]],Sales_Agents!$A$1:C568,2)</f>
        <v>Zainab</v>
      </c>
      <c r="N565" t="str">
        <f>VLOOKUP(Table2[[#This Row],[AgentID]],Sales_Agents!$A$1:C568,3)</f>
        <v>North</v>
      </c>
    </row>
    <row r="566" spans="1:14" x14ac:dyDescent="0.25">
      <c r="A566">
        <v>565</v>
      </c>
      <c r="B566" s="1">
        <v>45455</v>
      </c>
      <c r="C566" s="8" t="str">
        <f>TEXT(Table2[[#This Row],[OrderDate]],"mmm")</f>
        <v>Jun</v>
      </c>
      <c r="D566">
        <v>4</v>
      </c>
      <c r="E566">
        <v>4</v>
      </c>
      <c r="F566">
        <v>11</v>
      </c>
      <c r="G566" s="3">
        <v>207308</v>
      </c>
      <c r="H566" s="3">
        <f t="shared" si="16"/>
        <v>2280388</v>
      </c>
      <c r="I566" s="5">
        <f>Table2[[#This Row],[Total Revenue]]*0.3</f>
        <v>684116.4</v>
      </c>
      <c r="J566" s="6">
        <f t="shared" si="17"/>
        <v>0.3</v>
      </c>
      <c r="K566" t="str">
        <f>VLOOKUP(Table2[[#This Row],[ProductID]],Products!$A$1:C570,2)</f>
        <v>Printer</v>
      </c>
      <c r="L566" t="str">
        <f>VLOOKUP(D566,Products!$A$1:C570,3)</f>
        <v>Accessories</v>
      </c>
      <c r="M566" t="str">
        <f>VLOOKUP(Table2[[#This Row],[AgentID]],Sales_Agents!$A$1:C569,2)</f>
        <v>Zainab</v>
      </c>
      <c r="N566" t="str">
        <f>VLOOKUP(Table2[[#This Row],[AgentID]],Sales_Agents!$A$1:C569,3)</f>
        <v>North</v>
      </c>
    </row>
    <row r="567" spans="1:14" x14ac:dyDescent="0.25">
      <c r="A567">
        <v>566</v>
      </c>
      <c r="B567" s="1">
        <v>45613</v>
      </c>
      <c r="C567" s="8" t="str">
        <f>TEXT(Table2[[#This Row],[OrderDate]],"mmm")</f>
        <v>Nov</v>
      </c>
      <c r="D567">
        <v>5</v>
      </c>
      <c r="E567">
        <v>4</v>
      </c>
      <c r="F567">
        <v>20</v>
      </c>
      <c r="G567" s="3">
        <v>110858</v>
      </c>
      <c r="H567" s="3">
        <f t="shared" si="16"/>
        <v>2217160</v>
      </c>
      <c r="I567" s="5">
        <f>Table2[[#This Row],[Total Revenue]]*0.3</f>
        <v>665148</v>
      </c>
      <c r="J567" s="6">
        <f t="shared" si="17"/>
        <v>0.3</v>
      </c>
      <c r="K567" t="str">
        <f>VLOOKUP(Table2[[#This Row],[ProductID]],Products!$A$1:C571,2)</f>
        <v>Monitor</v>
      </c>
      <c r="L567" t="str">
        <f>VLOOKUP(D567,Products!$A$1:C571,3)</f>
        <v>Accessories</v>
      </c>
      <c r="M567" t="str">
        <f>VLOOKUP(Table2[[#This Row],[AgentID]],Sales_Agents!$A$1:C570,2)</f>
        <v>Zainab</v>
      </c>
      <c r="N567" t="str">
        <f>VLOOKUP(Table2[[#This Row],[AgentID]],Sales_Agents!$A$1:C570,3)</f>
        <v>North</v>
      </c>
    </row>
    <row r="568" spans="1:14" x14ac:dyDescent="0.25">
      <c r="A568">
        <v>567</v>
      </c>
      <c r="B568" s="1">
        <v>45633</v>
      </c>
      <c r="C568" s="8" t="str">
        <f>TEXT(Table2[[#This Row],[OrderDate]],"mmm")</f>
        <v>Dec</v>
      </c>
      <c r="D568">
        <v>5</v>
      </c>
      <c r="E568">
        <v>2</v>
      </c>
      <c r="F568">
        <v>3</v>
      </c>
      <c r="G568" s="3">
        <v>320107</v>
      </c>
      <c r="H568" s="3">
        <f t="shared" si="16"/>
        <v>960321</v>
      </c>
      <c r="I568" s="5">
        <f>Table2[[#This Row],[Total Revenue]]*0.3</f>
        <v>288096.3</v>
      </c>
      <c r="J568" s="6">
        <f t="shared" si="17"/>
        <v>0.3</v>
      </c>
      <c r="K568" t="str">
        <f>VLOOKUP(Table2[[#This Row],[ProductID]],Products!$A$1:C572,2)</f>
        <v>Monitor</v>
      </c>
      <c r="L568" t="str">
        <f>VLOOKUP(D568,Products!$A$1:C572,3)</f>
        <v>Accessories</v>
      </c>
      <c r="M568" t="str">
        <f>VLOOKUP(Table2[[#This Row],[AgentID]],Sales_Agents!$A$1:C571,2)</f>
        <v>Blessing</v>
      </c>
      <c r="N568" t="str">
        <f>VLOOKUP(Table2[[#This Row],[AgentID]],Sales_Agents!$A$1:C571,3)</f>
        <v>East</v>
      </c>
    </row>
    <row r="569" spans="1:14" x14ac:dyDescent="0.25">
      <c r="A569">
        <v>568</v>
      </c>
      <c r="B569" s="1">
        <v>45322</v>
      </c>
      <c r="C569" s="8" t="str">
        <f>TEXT(Table2[[#This Row],[OrderDate]],"mmm")</f>
        <v>Jan</v>
      </c>
      <c r="D569">
        <v>1</v>
      </c>
      <c r="E569">
        <v>3</v>
      </c>
      <c r="F569">
        <v>18</v>
      </c>
      <c r="G569" s="3">
        <v>340168</v>
      </c>
      <c r="H569" s="3">
        <f t="shared" si="16"/>
        <v>6123024</v>
      </c>
      <c r="I569" s="5">
        <f>Table2[[#This Row],[Total Revenue]]*0.3</f>
        <v>1836907.2</v>
      </c>
      <c r="J569" s="6">
        <f t="shared" si="17"/>
        <v>0.3</v>
      </c>
      <c r="K569" t="str">
        <f>VLOOKUP(Table2[[#This Row],[ProductID]],Products!$A$1:C573,2)</f>
        <v>Laptop</v>
      </c>
      <c r="L569" t="str">
        <f>VLOOKUP(D569,Products!$A$1:C573,3)</f>
        <v>Electronics</v>
      </c>
      <c r="M569" t="str">
        <f>VLOOKUP(Table2[[#This Row],[AgentID]],Sales_Agents!$A$1:C572,2)</f>
        <v>Chinedu</v>
      </c>
      <c r="N569" t="str">
        <f>VLOOKUP(Table2[[#This Row],[AgentID]],Sales_Agents!$A$1:C572,3)</f>
        <v>South</v>
      </c>
    </row>
    <row r="570" spans="1:14" x14ac:dyDescent="0.25">
      <c r="A570">
        <v>569</v>
      </c>
      <c r="B570" s="1">
        <v>45488</v>
      </c>
      <c r="C570" s="8" t="str">
        <f>TEXT(Table2[[#This Row],[OrderDate]],"mmm")</f>
        <v>Jul</v>
      </c>
      <c r="D570">
        <v>4</v>
      </c>
      <c r="E570">
        <v>2</v>
      </c>
      <c r="F570">
        <v>10</v>
      </c>
      <c r="G570" s="3">
        <v>339714</v>
      </c>
      <c r="H570" s="3">
        <f t="shared" si="16"/>
        <v>3397140</v>
      </c>
      <c r="I570" s="5">
        <f>Table2[[#This Row],[Total Revenue]]*0.3</f>
        <v>1019142</v>
      </c>
      <c r="J570" s="6">
        <f t="shared" si="17"/>
        <v>0.3</v>
      </c>
      <c r="K570" t="str">
        <f>VLOOKUP(Table2[[#This Row],[ProductID]],Products!$A$1:C574,2)</f>
        <v>Printer</v>
      </c>
      <c r="L570" t="str">
        <f>VLOOKUP(D570,Products!$A$1:C574,3)</f>
        <v>Accessories</v>
      </c>
      <c r="M570" t="str">
        <f>VLOOKUP(Table2[[#This Row],[AgentID]],Sales_Agents!$A$1:C573,2)</f>
        <v>Blessing</v>
      </c>
      <c r="N570" t="str">
        <f>VLOOKUP(Table2[[#This Row],[AgentID]],Sales_Agents!$A$1:C573,3)</f>
        <v>East</v>
      </c>
    </row>
    <row r="571" spans="1:14" x14ac:dyDescent="0.25">
      <c r="A571">
        <v>570</v>
      </c>
      <c r="B571" s="1">
        <v>45302</v>
      </c>
      <c r="C571" s="8" t="str">
        <f>TEXT(Table2[[#This Row],[OrderDate]],"mmm")</f>
        <v>Jan</v>
      </c>
      <c r="D571">
        <v>1</v>
      </c>
      <c r="E571">
        <v>3</v>
      </c>
      <c r="F571">
        <v>13</v>
      </c>
      <c r="G571" s="3">
        <v>67619</v>
      </c>
      <c r="H571" s="3">
        <f t="shared" si="16"/>
        <v>879047</v>
      </c>
      <c r="I571" s="5">
        <f>Table2[[#This Row],[Total Revenue]]*0.3</f>
        <v>263714.09999999998</v>
      </c>
      <c r="J571" s="6">
        <f t="shared" si="17"/>
        <v>0.3</v>
      </c>
      <c r="K571" t="str">
        <f>VLOOKUP(Table2[[#This Row],[ProductID]],Products!$A$1:C575,2)</f>
        <v>Laptop</v>
      </c>
      <c r="L571" t="str">
        <f>VLOOKUP(D571,Products!$A$1:C575,3)</f>
        <v>Electronics</v>
      </c>
      <c r="M571" t="str">
        <f>VLOOKUP(Table2[[#This Row],[AgentID]],Sales_Agents!$A$1:C574,2)</f>
        <v>Chinedu</v>
      </c>
      <c r="N571" t="str">
        <f>VLOOKUP(Table2[[#This Row],[AgentID]],Sales_Agents!$A$1:C574,3)</f>
        <v>South</v>
      </c>
    </row>
    <row r="572" spans="1:14" x14ac:dyDescent="0.25">
      <c r="A572">
        <v>571</v>
      </c>
      <c r="B572" s="1">
        <v>45364</v>
      </c>
      <c r="C572" s="8" t="str">
        <f>TEXT(Table2[[#This Row],[OrderDate]],"mmm")</f>
        <v>Mar</v>
      </c>
      <c r="D572">
        <v>4</v>
      </c>
      <c r="E572">
        <v>4</v>
      </c>
      <c r="F572">
        <v>18</v>
      </c>
      <c r="G572" s="3">
        <v>288869</v>
      </c>
      <c r="H572" s="3">
        <f t="shared" si="16"/>
        <v>5199642</v>
      </c>
      <c r="I572" s="5">
        <f>Table2[[#This Row],[Total Revenue]]*0.3</f>
        <v>1559892.5999999999</v>
      </c>
      <c r="J572" s="6">
        <f t="shared" si="17"/>
        <v>0.3</v>
      </c>
      <c r="K572" t="str">
        <f>VLOOKUP(Table2[[#This Row],[ProductID]],Products!$A$1:C576,2)</f>
        <v>Printer</v>
      </c>
      <c r="L572" t="str">
        <f>VLOOKUP(D572,Products!$A$1:C576,3)</f>
        <v>Accessories</v>
      </c>
      <c r="M572" t="str">
        <f>VLOOKUP(Table2[[#This Row],[AgentID]],Sales_Agents!$A$1:C575,2)</f>
        <v>Zainab</v>
      </c>
      <c r="N572" t="str">
        <f>VLOOKUP(Table2[[#This Row],[AgentID]],Sales_Agents!$A$1:C575,3)</f>
        <v>North</v>
      </c>
    </row>
    <row r="573" spans="1:14" x14ac:dyDescent="0.25">
      <c r="A573">
        <v>572</v>
      </c>
      <c r="B573" s="1">
        <v>45549</v>
      </c>
      <c r="C573" s="8" t="str">
        <f>TEXT(Table2[[#This Row],[OrderDate]],"mmm")</f>
        <v>Sept</v>
      </c>
      <c r="D573">
        <v>5</v>
      </c>
      <c r="E573">
        <v>3</v>
      </c>
      <c r="F573">
        <v>12</v>
      </c>
      <c r="G573" s="3">
        <v>61484</v>
      </c>
      <c r="H573" s="3">
        <f t="shared" si="16"/>
        <v>737808</v>
      </c>
      <c r="I573" s="5">
        <f>Table2[[#This Row],[Total Revenue]]*0.3</f>
        <v>221342.4</v>
      </c>
      <c r="J573" s="6">
        <f t="shared" si="17"/>
        <v>0.3</v>
      </c>
      <c r="K573" t="str">
        <f>VLOOKUP(Table2[[#This Row],[ProductID]],Products!$A$1:C577,2)</f>
        <v>Monitor</v>
      </c>
      <c r="L573" t="str">
        <f>VLOOKUP(D573,Products!$A$1:C577,3)</f>
        <v>Accessories</v>
      </c>
      <c r="M573" t="str">
        <f>VLOOKUP(Table2[[#This Row],[AgentID]],Sales_Agents!$A$1:C576,2)</f>
        <v>Chinedu</v>
      </c>
      <c r="N573" t="str">
        <f>VLOOKUP(Table2[[#This Row],[AgentID]],Sales_Agents!$A$1:C576,3)</f>
        <v>South</v>
      </c>
    </row>
    <row r="574" spans="1:14" x14ac:dyDescent="0.25">
      <c r="A574">
        <v>573</v>
      </c>
      <c r="B574" s="1">
        <v>45389</v>
      </c>
      <c r="C574" s="8" t="str">
        <f>TEXT(Table2[[#This Row],[OrderDate]],"mmm")</f>
        <v>Apr</v>
      </c>
      <c r="D574">
        <v>4</v>
      </c>
      <c r="E574">
        <v>2</v>
      </c>
      <c r="F574">
        <v>9</v>
      </c>
      <c r="G574" s="3">
        <v>261380</v>
      </c>
      <c r="H574" s="3">
        <f t="shared" si="16"/>
        <v>2352420</v>
      </c>
      <c r="I574" s="5">
        <f>Table2[[#This Row],[Total Revenue]]*0.3</f>
        <v>705726</v>
      </c>
      <c r="J574" s="6">
        <f t="shared" si="17"/>
        <v>0.3</v>
      </c>
      <c r="K574" t="str">
        <f>VLOOKUP(Table2[[#This Row],[ProductID]],Products!$A$1:C578,2)</f>
        <v>Printer</v>
      </c>
      <c r="L574" t="str">
        <f>VLOOKUP(D574,Products!$A$1:C578,3)</f>
        <v>Accessories</v>
      </c>
      <c r="M574" t="str">
        <f>VLOOKUP(Table2[[#This Row],[AgentID]],Sales_Agents!$A$1:C577,2)</f>
        <v>Blessing</v>
      </c>
      <c r="N574" t="str">
        <f>VLOOKUP(Table2[[#This Row],[AgentID]],Sales_Agents!$A$1:C577,3)</f>
        <v>East</v>
      </c>
    </row>
    <row r="575" spans="1:14" x14ac:dyDescent="0.25">
      <c r="A575">
        <v>574</v>
      </c>
      <c r="B575" s="1">
        <v>45552</v>
      </c>
      <c r="C575" s="8" t="str">
        <f>TEXT(Table2[[#This Row],[OrderDate]],"mmm")</f>
        <v>Sept</v>
      </c>
      <c r="D575">
        <v>5</v>
      </c>
      <c r="E575">
        <v>1</v>
      </c>
      <c r="F575">
        <v>1</v>
      </c>
      <c r="G575" s="3">
        <v>252872</v>
      </c>
      <c r="H575" s="3">
        <f t="shared" si="16"/>
        <v>252872</v>
      </c>
      <c r="I575" s="5">
        <f>Table2[[#This Row],[Total Revenue]]*0.3</f>
        <v>75861.599999999991</v>
      </c>
      <c r="J575" s="6">
        <f t="shared" si="17"/>
        <v>0.3</v>
      </c>
      <c r="K575" t="str">
        <f>VLOOKUP(Table2[[#This Row],[ProductID]],Products!$A$1:C579,2)</f>
        <v>Monitor</v>
      </c>
      <c r="L575" t="str">
        <f>VLOOKUP(D575,Products!$A$1:C579,3)</f>
        <v>Accessories</v>
      </c>
      <c r="M575" t="str">
        <f>VLOOKUP(Table2[[#This Row],[AgentID]],Sales_Agents!$A$1:C578,2)</f>
        <v>Akin</v>
      </c>
      <c r="N575" t="str">
        <f>VLOOKUP(Table2[[#This Row],[AgentID]],Sales_Agents!$A$1:C578,3)</f>
        <v>West</v>
      </c>
    </row>
    <row r="576" spans="1:14" x14ac:dyDescent="0.25">
      <c r="A576">
        <v>575</v>
      </c>
      <c r="B576" s="1">
        <v>45635</v>
      </c>
      <c r="C576" s="8" t="str">
        <f>TEXT(Table2[[#This Row],[OrderDate]],"mmm")</f>
        <v>Dec</v>
      </c>
      <c r="D576">
        <v>3</v>
      </c>
      <c r="E576">
        <v>3</v>
      </c>
      <c r="F576">
        <v>7</v>
      </c>
      <c r="G576" s="3">
        <v>351141</v>
      </c>
      <c r="H576" s="3">
        <f t="shared" si="16"/>
        <v>2457987</v>
      </c>
      <c r="I576" s="5">
        <f>Table2[[#This Row],[Total Revenue]]*0.3</f>
        <v>737396.1</v>
      </c>
      <c r="J576" s="6">
        <f t="shared" si="17"/>
        <v>0.3</v>
      </c>
      <c r="K576" t="str">
        <f>VLOOKUP(Table2[[#This Row],[ProductID]],Products!$A$1:C580,2)</f>
        <v>Tablet</v>
      </c>
      <c r="L576" t="str">
        <f>VLOOKUP(D576,Products!$A$1:C580,3)</f>
        <v>Electronics</v>
      </c>
      <c r="M576" t="str">
        <f>VLOOKUP(Table2[[#This Row],[AgentID]],Sales_Agents!$A$1:C579,2)</f>
        <v>Chinedu</v>
      </c>
      <c r="N576" t="str">
        <f>VLOOKUP(Table2[[#This Row],[AgentID]],Sales_Agents!$A$1:C579,3)</f>
        <v>South</v>
      </c>
    </row>
    <row r="577" spans="1:14" x14ac:dyDescent="0.25">
      <c r="A577">
        <v>576</v>
      </c>
      <c r="B577" s="1">
        <v>45377</v>
      </c>
      <c r="C577" s="8" t="str">
        <f>TEXT(Table2[[#This Row],[OrderDate]],"mmm")</f>
        <v>Mar</v>
      </c>
      <c r="D577">
        <v>5</v>
      </c>
      <c r="E577">
        <v>4</v>
      </c>
      <c r="F577">
        <v>10</v>
      </c>
      <c r="G577" s="3">
        <v>286868</v>
      </c>
      <c r="H577" s="3">
        <f t="shared" si="16"/>
        <v>2868680</v>
      </c>
      <c r="I577" s="5">
        <f>Table2[[#This Row],[Total Revenue]]*0.3</f>
        <v>860604</v>
      </c>
      <c r="J577" s="6">
        <f t="shared" si="17"/>
        <v>0.3</v>
      </c>
      <c r="K577" t="str">
        <f>VLOOKUP(Table2[[#This Row],[ProductID]],Products!$A$1:C581,2)</f>
        <v>Monitor</v>
      </c>
      <c r="L577" t="str">
        <f>VLOOKUP(D577,Products!$A$1:C581,3)</f>
        <v>Accessories</v>
      </c>
      <c r="M577" t="str">
        <f>VLOOKUP(Table2[[#This Row],[AgentID]],Sales_Agents!$A$1:C580,2)</f>
        <v>Zainab</v>
      </c>
      <c r="N577" t="str">
        <f>VLOOKUP(Table2[[#This Row],[AgentID]],Sales_Agents!$A$1:C580,3)</f>
        <v>North</v>
      </c>
    </row>
    <row r="578" spans="1:14" x14ac:dyDescent="0.25">
      <c r="A578">
        <v>577</v>
      </c>
      <c r="B578" s="1">
        <v>45556</v>
      </c>
      <c r="C578" s="8" t="str">
        <f>TEXT(Table2[[#This Row],[OrderDate]],"mmm")</f>
        <v>Sept</v>
      </c>
      <c r="D578">
        <v>4</v>
      </c>
      <c r="E578">
        <v>4</v>
      </c>
      <c r="F578">
        <v>11</v>
      </c>
      <c r="G578" s="3">
        <v>63608</v>
      </c>
      <c r="H578" s="3">
        <f t="shared" ref="H578:H641" si="18">G578*F578</f>
        <v>699688</v>
      </c>
      <c r="I578" s="5">
        <f>Table2[[#This Row],[Total Revenue]]*0.3</f>
        <v>209906.4</v>
      </c>
      <c r="J578" s="6">
        <f t="shared" ref="J578:J641" si="19">I578/H578</f>
        <v>0.3</v>
      </c>
      <c r="K578" t="str">
        <f>VLOOKUP(Table2[[#This Row],[ProductID]],Products!$A$1:C582,2)</f>
        <v>Printer</v>
      </c>
      <c r="L578" t="str">
        <f>VLOOKUP(D578,Products!$A$1:C582,3)</f>
        <v>Accessories</v>
      </c>
      <c r="M578" t="str">
        <f>VLOOKUP(Table2[[#This Row],[AgentID]],Sales_Agents!$A$1:C581,2)</f>
        <v>Zainab</v>
      </c>
      <c r="N578" t="str">
        <f>VLOOKUP(Table2[[#This Row],[AgentID]],Sales_Agents!$A$1:C581,3)</f>
        <v>North</v>
      </c>
    </row>
    <row r="579" spans="1:14" x14ac:dyDescent="0.25">
      <c r="A579">
        <v>578</v>
      </c>
      <c r="B579" s="1">
        <v>45495</v>
      </c>
      <c r="C579" s="8" t="str">
        <f>TEXT(Table2[[#This Row],[OrderDate]],"mmm")</f>
        <v>Jul</v>
      </c>
      <c r="D579">
        <v>4</v>
      </c>
      <c r="E579">
        <v>1</v>
      </c>
      <c r="F579">
        <v>20</v>
      </c>
      <c r="G579" s="3">
        <v>209082</v>
      </c>
      <c r="H579" s="3">
        <f t="shared" si="18"/>
        <v>4181640</v>
      </c>
      <c r="I579" s="5">
        <f>Table2[[#This Row],[Total Revenue]]*0.3</f>
        <v>1254492</v>
      </c>
      <c r="J579" s="6">
        <f t="shared" si="19"/>
        <v>0.3</v>
      </c>
      <c r="K579" t="str">
        <f>VLOOKUP(Table2[[#This Row],[ProductID]],Products!$A$1:C583,2)</f>
        <v>Printer</v>
      </c>
      <c r="L579" t="str">
        <f>VLOOKUP(D579,Products!$A$1:C583,3)</f>
        <v>Accessories</v>
      </c>
      <c r="M579" t="str">
        <f>VLOOKUP(Table2[[#This Row],[AgentID]],Sales_Agents!$A$1:C582,2)</f>
        <v>Akin</v>
      </c>
      <c r="N579" t="str">
        <f>VLOOKUP(Table2[[#This Row],[AgentID]],Sales_Agents!$A$1:C582,3)</f>
        <v>West</v>
      </c>
    </row>
    <row r="580" spans="1:14" x14ac:dyDescent="0.25">
      <c r="A580">
        <v>579</v>
      </c>
      <c r="B580" s="1">
        <v>45372</v>
      </c>
      <c r="C580" s="8" t="str">
        <f>TEXT(Table2[[#This Row],[OrderDate]],"mmm")</f>
        <v>Mar</v>
      </c>
      <c r="D580">
        <v>3</v>
      </c>
      <c r="E580">
        <v>2</v>
      </c>
      <c r="F580">
        <v>11</v>
      </c>
      <c r="G580" s="3">
        <v>272235</v>
      </c>
      <c r="H580" s="3">
        <f t="shared" si="18"/>
        <v>2994585</v>
      </c>
      <c r="I580" s="5">
        <f>Table2[[#This Row],[Total Revenue]]*0.3</f>
        <v>898375.5</v>
      </c>
      <c r="J580" s="6">
        <f t="shared" si="19"/>
        <v>0.3</v>
      </c>
      <c r="K580" t="str">
        <f>VLOOKUP(Table2[[#This Row],[ProductID]],Products!$A$1:C584,2)</f>
        <v>Tablet</v>
      </c>
      <c r="L580" t="str">
        <f>VLOOKUP(D580,Products!$A$1:C584,3)</f>
        <v>Electronics</v>
      </c>
      <c r="M580" t="str">
        <f>VLOOKUP(Table2[[#This Row],[AgentID]],Sales_Agents!$A$1:C583,2)</f>
        <v>Blessing</v>
      </c>
      <c r="N580" t="str">
        <f>VLOOKUP(Table2[[#This Row],[AgentID]],Sales_Agents!$A$1:C583,3)</f>
        <v>East</v>
      </c>
    </row>
    <row r="581" spans="1:14" x14ac:dyDescent="0.25">
      <c r="A581">
        <v>580</v>
      </c>
      <c r="B581" s="1">
        <v>45438</v>
      </c>
      <c r="C581" s="8" t="str">
        <f>TEXT(Table2[[#This Row],[OrderDate]],"mmm")</f>
        <v>May</v>
      </c>
      <c r="D581">
        <v>2</v>
      </c>
      <c r="E581">
        <v>1</v>
      </c>
      <c r="F581">
        <v>17</v>
      </c>
      <c r="G581" s="3">
        <v>78172</v>
      </c>
      <c r="H581" s="3">
        <f t="shared" si="18"/>
        <v>1328924</v>
      </c>
      <c r="I581" s="5">
        <f>Table2[[#This Row],[Total Revenue]]*0.3</f>
        <v>398677.2</v>
      </c>
      <c r="J581" s="6">
        <f t="shared" si="19"/>
        <v>0.3</v>
      </c>
      <c r="K581" t="str">
        <f>VLOOKUP(Table2[[#This Row],[ProductID]],Products!$A$1:C585,2)</f>
        <v>Phone</v>
      </c>
      <c r="L581" t="str">
        <f>VLOOKUP(D581,Products!$A$1:C585,3)</f>
        <v>Electronics</v>
      </c>
      <c r="M581" t="str">
        <f>VLOOKUP(Table2[[#This Row],[AgentID]],Sales_Agents!$A$1:C584,2)</f>
        <v>Akin</v>
      </c>
      <c r="N581" t="str">
        <f>VLOOKUP(Table2[[#This Row],[AgentID]],Sales_Agents!$A$1:C584,3)</f>
        <v>West</v>
      </c>
    </row>
    <row r="582" spans="1:14" x14ac:dyDescent="0.25">
      <c r="A582">
        <v>581</v>
      </c>
      <c r="B582" s="1">
        <v>45306</v>
      </c>
      <c r="C582" s="8" t="str">
        <f>TEXT(Table2[[#This Row],[OrderDate]],"mmm")</f>
        <v>Jan</v>
      </c>
      <c r="D582">
        <v>2</v>
      </c>
      <c r="E582">
        <v>3</v>
      </c>
      <c r="F582">
        <v>14</v>
      </c>
      <c r="G582" s="3">
        <v>85027</v>
      </c>
      <c r="H582" s="3">
        <f t="shared" si="18"/>
        <v>1190378</v>
      </c>
      <c r="I582" s="5">
        <f>Table2[[#This Row],[Total Revenue]]*0.3</f>
        <v>357113.39999999997</v>
      </c>
      <c r="J582" s="6">
        <f t="shared" si="19"/>
        <v>0.3</v>
      </c>
      <c r="K582" t="str">
        <f>VLOOKUP(Table2[[#This Row],[ProductID]],Products!$A$1:C586,2)</f>
        <v>Phone</v>
      </c>
      <c r="L582" t="str">
        <f>VLOOKUP(D582,Products!$A$1:C586,3)</f>
        <v>Electronics</v>
      </c>
      <c r="M582" t="str">
        <f>VLOOKUP(Table2[[#This Row],[AgentID]],Sales_Agents!$A$1:C585,2)</f>
        <v>Chinedu</v>
      </c>
      <c r="N582" t="str">
        <f>VLOOKUP(Table2[[#This Row],[AgentID]],Sales_Agents!$A$1:C585,3)</f>
        <v>South</v>
      </c>
    </row>
    <row r="583" spans="1:14" x14ac:dyDescent="0.25">
      <c r="A583">
        <v>582</v>
      </c>
      <c r="B583" s="1">
        <v>45588</v>
      </c>
      <c r="C583" s="8" t="str">
        <f>TEXT(Table2[[#This Row],[OrderDate]],"mmm")</f>
        <v>Oct</v>
      </c>
      <c r="D583">
        <v>4</v>
      </c>
      <c r="E583">
        <v>1</v>
      </c>
      <c r="F583">
        <v>16</v>
      </c>
      <c r="G583" s="3">
        <v>337003</v>
      </c>
      <c r="H583" s="3">
        <f t="shared" si="18"/>
        <v>5392048</v>
      </c>
      <c r="I583" s="5">
        <f>Table2[[#This Row],[Total Revenue]]*0.3</f>
        <v>1617614.4</v>
      </c>
      <c r="J583" s="6">
        <f t="shared" si="19"/>
        <v>0.3</v>
      </c>
      <c r="K583" t="str">
        <f>VLOOKUP(Table2[[#This Row],[ProductID]],Products!$A$1:C587,2)</f>
        <v>Printer</v>
      </c>
      <c r="L583" t="str">
        <f>VLOOKUP(D583,Products!$A$1:C587,3)</f>
        <v>Accessories</v>
      </c>
      <c r="M583" t="str">
        <f>VLOOKUP(Table2[[#This Row],[AgentID]],Sales_Agents!$A$1:C586,2)</f>
        <v>Akin</v>
      </c>
      <c r="N583" t="str">
        <f>VLOOKUP(Table2[[#This Row],[AgentID]],Sales_Agents!$A$1:C586,3)</f>
        <v>West</v>
      </c>
    </row>
    <row r="584" spans="1:14" x14ac:dyDescent="0.25">
      <c r="A584">
        <v>583</v>
      </c>
      <c r="B584" s="1">
        <v>45314</v>
      </c>
      <c r="C584" s="8" t="str">
        <f>TEXT(Table2[[#This Row],[OrderDate]],"mmm")</f>
        <v>Jan</v>
      </c>
      <c r="D584">
        <v>2</v>
      </c>
      <c r="E584">
        <v>3</v>
      </c>
      <c r="F584">
        <v>4</v>
      </c>
      <c r="G584" s="3">
        <v>134869</v>
      </c>
      <c r="H584" s="3">
        <f t="shared" si="18"/>
        <v>539476</v>
      </c>
      <c r="I584" s="5">
        <f>Table2[[#This Row],[Total Revenue]]*0.3</f>
        <v>161842.79999999999</v>
      </c>
      <c r="J584" s="6">
        <f t="shared" si="19"/>
        <v>0.3</v>
      </c>
      <c r="K584" t="str">
        <f>VLOOKUP(Table2[[#This Row],[ProductID]],Products!$A$1:C588,2)</f>
        <v>Phone</v>
      </c>
      <c r="L584" t="str">
        <f>VLOOKUP(D584,Products!$A$1:C588,3)</f>
        <v>Electronics</v>
      </c>
      <c r="M584" t="str">
        <f>VLOOKUP(Table2[[#This Row],[AgentID]],Sales_Agents!$A$1:C587,2)</f>
        <v>Chinedu</v>
      </c>
      <c r="N584" t="str">
        <f>VLOOKUP(Table2[[#This Row],[AgentID]],Sales_Agents!$A$1:C587,3)</f>
        <v>South</v>
      </c>
    </row>
    <row r="585" spans="1:14" x14ac:dyDescent="0.25">
      <c r="A585">
        <v>584</v>
      </c>
      <c r="B585" s="1">
        <v>45440</v>
      </c>
      <c r="C585" s="8" t="str">
        <f>TEXT(Table2[[#This Row],[OrderDate]],"mmm")</f>
        <v>May</v>
      </c>
      <c r="D585">
        <v>4</v>
      </c>
      <c r="E585">
        <v>1</v>
      </c>
      <c r="F585">
        <v>4</v>
      </c>
      <c r="G585" s="3">
        <v>165255</v>
      </c>
      <c r="H585" s="3">
        <f t="shared" si="18"/>
        <v>661020</v>
      </c>
      <c r="I585" s="5">
        <f>Table2[[#This Row],[Total Revenue]]*0.3</f>
        <v>198306</v>
      </c>
      <c r="J585" s="6">
        <f t="shared" si="19"/>
        <v>0.3</v>
      </c>
      <c r="K585" t="str">
        <f>VLOOKUP(Table2[[#This Row],[ProductID]],Products!$A$1:C589,2)</f>
        <v>Printer</v>
      </c>
      <c r="L585" t="str">
        <f>VLOOKUP(D585,Products!$A$1:C589,3)</f>
        <v>Accessories</v>
      </c>
      <c r="M585" t="str">
        <f>VLOOKUP(Table2[[#This Row],[AgentID]],Sales_Agents!$A$1:C588,2)</f>
        <v>Akin</v>
      </c>
      <c r="N585" t="str">
        <f>VLOOKUP(Table2[[#This Row],[AgentID]],Sales_Agents!$A$1:C588,3)</f>
        <v>West</v>
      </c>
    </row>
    <row r="586" spans="1:14" x14ac:dyDescent="0.25">
      <c r="A586">
        <v>585</v>
      </c>
      <c r="B586" s="1">
        <v>45537</v>
      </c>
      <c r="C586" s="8" t="str">
        <f>TEXT(Table2[[#This Row],[OrderDate]],"mmm")</f>
        <v>Sept</v>
      </c>
      <c r="D586">
        <v>4</v>
      </c>
      <c r="E586">
        <v>3</v>
      </c>
      <c r="F586">
        <v>5</v>
      </c>
      <c r="G586" s="3">
        <v>141193</v>
      </c>
      <c r="H586" s="3">
        <f t="shared" si="18"/>
        <v>705965</v>
      </c>
      <c r="I586" s="5">
        <f>Table2[[#This Row],[Total Revenue]]*0.3</f>
        <v>211789.5</v>
      </c>
      <c r="J586" s="6">
        <f t="shared" si="19"/>
        <v>0.3</v>
      </c>
      <c r="K586" t="str">
        <f>VLOOKUP(Table2[[#This Row],[ProductID]],Products!$A$1:C590,2)</f>
        <v>Printer</v>
      </c>
      <c r="L586" t="str">
        <f>VLOOKUP(D586,Products!$A$1:C590,3)</f>
        <v>Accessories</v>
      </c>
      <c r="M586" t="str">
        <f>VLOOKUP(Table2[[#This Row],[AgentID]],Sales_Agents!$A$1:C589,2)</f>
        <v>Chinedu</v>
      </c>
      <c r="N586" t="str">
        <f>VLOOKUP(Table2[[#This Row],[AgentID]],Sales_Agents!$A$1:C589,3)</f>
        <v>South</v>
      </c>
    </row>
    <row r="587" spans="1:14" x14ac:dyDescent="0.25">
      <c r="A587">
        <v>586</v>
      </c>
      <c r="B587" s="1">
        <v>45392</v>
      </c>
      <c r="C587" s="8" t="str">
        <f>TEXT(Table2[[#This Row],[OrderDate]],"mmm")</f>
        <v>Apr</v>
      </c>
      <c r="D587">
        <v>5</v>
      </c>
      <c r="E587">
        <v>1</v>
      </c>
      <c r="F587">
        <v>2</v>
      </c>
      <c r="G587" s="3">
        <v>390849</v>
      </c>
      <c r="H587" s="3">
        <f t="shared" si="18"/>
        <v>781698</v>
      </c>
      <c r="I587" s="5">
        <f>Table2[[#This Row],[Total Revenue]]*0.3</f>
        <v>234509.4</v>
      </c>
      <c r="J587" s="6">
        <f t="shared" si="19"/>
        <v>0.3</v>
      </c>
      <c r="K587" t="str">
        <f>VLOOKUP(Table2[[#This Row],[ProductID]],Products!$A$1:C591,2)</f>
        <v>Monitor</v>
      </c>
      <c r="L587" t="str">
        <f>VLOOKUP(D587,Products!$A$1:C591,3)</f>
        <v>Accessories</v>
      </c>
      <c r="M587" t="str">
        <f>VLOOKUP(Table2[[#This Row],[AgentID]],Sales_Agents!$A$1:C590,2)</f>
        <v>Akin</v>
      </c>
      <c r="N587" t="str">
        <f>VLOOKUP(Table2[[#This Row],[AgentID]],Sales_Agents!$A$1:C590,3)</f>
        <v>West</v>
      </c>
    </row>
    <row r="588" spans="1:14" x14ac:dyDescent="0.25">
      <c r="A588">
        <v>587</v>
      </c>
      <c r="B588" s="1">
        <v>45388</v>
      </c>
      <c r="C588" s="8" t="str">
        <f>TEXT(Table2[[#This Row],[OrderDate]],"mmm")</f>
        <v>Apr</v>
      </c>
      <c r="D588">
        <v>1</v>
      </c>
      <c r="E588">
        <v>1</v>
      </c>
      <c r="F588">
        <v>14</v>
      </c>
      <c r="G588" s="3">
        <v>316122</v>
      </c>
      <c r="H588" s="3">
        <f t="shared" si="18"/>
        <v>4425708</v>
      </c>
      <c r="I588" s="5">
        <f>Table2[[#This Row],[Total Revenue]]*0.3</f>
        <v>1327712.3999999999</v>
      </c>
      <c r="J588" s="6">
        <f t="shared" si="19"/>
        <v>0.3</v>
      </c>
      <c r="K588" t="str">
        <f>VLOOKUP(Table2[[#This Row],[ProductID]],Products!$A$1:C592,2)</f>
        <v>Laptop</v>
      </c>
      <c r="L588" t="str">
        <f>VLOOKUP(D588,Products!$A$1:C592,3)</f>
        <v>Electronics</v>
      </c>
      <c r="M588" t="str">
        <f>VLOOKUP(Table2[[#This Row],[AgentID]],Sales_Agents!$A$1:C591,2)</f>
        <v>Akin</v>
      </c>
      <c r="N588" t="str">
        <f>VLOOKUP(Table2[[#This Row],[AgentID]],Sales_Agents!$A$1:C591,3)</f>
        <v>West</v>
      </c>
    </row>
    <row r="589" spans="1:14" x14ac:dyDescent="0.25">
      <c r="A589">
        <v>588</v>
      </c>
      <c r="B589" s="1">
        <v>45605</v>
      </c>
      <c r="C589" s="8" t="str">
        <f>TEXT(Table2[[#This Row],[OrderDate]],"mmm")</f>
        <v>Nov</v>
      </c>
      <c r="D589">
        <v>4</v>
      </c>
      <c r="E589">
        <v>3</v>
      </c>
      <c r="F589">
        <v>13</v>
      </c>
      <c r="G589" s="3">
        <v>248670</v>
      </c>
      <c r="H589" s="3">
        <f t="shared" si="18"/>
        <v>3232710</v>
      </c>
      <c r="I589" s="5">
        <f>Table2[[#This Row],[Total Revenue]]*0.3</f>
        <v>969813</v>
      </c>
      <c r="J589" s="6">
        <f t="shared" si="19"/>
        <v>0.3</v>
      </c>
      <c r="K589" t="str">
        <f>VLOOKUP(Table2[[#This Row],[ProductID]],Products!$A$1:C593,2)</f>
        <v>Printer</v>
      </c>
      <c r="L589" t="str">
        <f>VLOOKUP(D589,Products!$A$1:C593,3)</f>
        <v>Accessories</v>
      </c>
      <c r="M589" t="str">
        <f>VLOOKUP(Table2[[#This Row],[AgentID]],Sales_Agents!$A$1:C592,2)</f>
        <v>Chinedu</v>
      </c>
      <c r="N589" t="str">
        <f>VLOOKUP(Table2[[#This Row],[AgentID]],Sales_Agents!$A$1:C592,3)</f>
        <v>South</v>
      </c>
    </row>
    <row r="590" spans="1:14" x14ac:dyDescent="0.25">
      <c r="A590">
        <v>589</v>
      </c>
      <c r="B590" s="1">
        <v>45528</v>
      </c>
      <c r="C590" s="8" t="str">
        <f>TEXT(Table2[[#This Row],[OrderDate]],"mmm")</f>
        <v>Aug</v>
      </c>
      <c r="D590">
        <v>5</v>
      </c>
      <c r="E590">
        <v>3</v>
      </c>
      <c r="F590">
        <v>10</v>
      </c>
      <c r="G590" s="3">
        <v>81601</v>
      </c>
      <c r="H590" s="3">
        <f t="shared" si="18"/>
        <v>816010</v>
      </c>
      <c r="I590" s="5">
        <f>Table2[[#This Row],[Total Revenue]]*0.3</f>
        <v>244803</v>
      </c>
      <c r="J590" s="6">
        <f t="shared" si="19"/>
        <v>0.3</v>
      </c>
      <c r="K590" t="str">
        <f>VLOOKUP(Table2[[#This Row],[ProductID]],Products!$A$1:C594,2)</f>
        <v>Monitor</v>
      </c>
      <c r="L590" t="str">
        <f>VLOOKUP(D590,Products!$A$1:C594,3)</f>
        <v>Accessories</v>
      </c>
      <c r="M590" t="str">
        <f>VLOOKUP(Table2[[#This Row],[AgentID]],Sales_Agents!$A$1:C593,2)</f>
        <v>Chinedu</v>
      </c>
      <c r="N590" t="str">
        <f>VLOOKUP(Table2[[#This Row],[AgentID]],Sales_Agents!$A$1:C593,3)</f>
        <v>South</v>
      </c>
    </row>
    <row r="591" spans="1:14" x14ac:dyDescent="0.25">
      <c r="A591">
        <v>590</v>
      </c>
      <c r="B591" s="1">
        <v>45540</v>
      </c>
      <c r="C591" s="8" t="str">
        <f>TEXT(Table2[[#This Row],[OrderDate]],"mmm")</f>
        <v>Sept</v>
      </c>
      <c r="D591">
        <v>4</v>
      </c>
      <c r="E591">
        <v>2</v>
      </c>
      <c r="F591">
        <v>20</v>
      </c>
      <c r="G591" s="3">
        <v>378934</v>
      </c>
      <c r="H591" s="3">
        <f t="shared" si="18"/>
        <v>7578680</v>
      </c>
      <c r="I591" s="5">
        <f>Table2[[#This Row],[Total Revenue]]*0.3</f>
        <v>2273604</v>
      </c>
      <c r="J591" s="6">
        <f t="shared" si="19"/>
        <v>0.3</v>
      </c>
      <c r="K591" t="str">
        <f>VLOOKUP(Table2[[#This Row],[ProductID]],Products!$A$1:C595,2)</f>
        <v>Printer</v>
      </c>
      <c r="L591" t="str">
        <f>VLOOKUP(D591,Products!$A$1:C595,3)</f>
        <v>Accessories</v>
      </c>
      <c r="M591" t="str">
        <f>VLOOKUP(Table2[[#This Row],[AgentID]],Sales_Agents!$A$1:C594,2)</f>
        <v>Blessing</v>
      </c>
      <c r="N591" t="str">
        <f>VLOOKUP(Table2[[#This Row],[AgentID]],Sales_Agents!$A$1:C594,3)</f>
        <v>East</v>
      </c>
    </row>
    <row r="592" spans="1:14" x14ac:dyDescent="0.25">
      <c r="A592">
        <v>591</v>
      </c>
      <c r="B592" s="1">
        <v>45647</v>
      </c>
      <c r="C592" s="8" t="str">
        <f>TEXT(Table2[[#This Row],[OrderDate]],"mmm")</f>
        <v>Dec</v>
      </c>
      <c r="D592">
        <v>5</v>
      </c>
      <c r="E592">
        <v>4</v>
      </c>
      <c r="F592">
        <v>3</v>
      </c>
      <c r="G592" s="3">
        <v>244634</v>
      </c>
      <c r="H592" s="3">
        <f t="shared" si="18"/>
        <v>733902</v>
      </c>
      <c r="I592" s="5">
        <f>Table2[[#This Row],[Total Revenue]]*0.3</f>
        <v>220170.6</v>
      </c>
      <c r="J592" s="6">
        <f t="shared" si="19"/>
        <v>0.3</v>
      </c>
      <c r="K592" t="str">
        <f>VLOOKUP(Table2[[#This Row],[ProductID]],Products!$A$1:C596,2)</f>
        <v>Monitor</v>
      </c>
      <c r="L592" t="str">
        <f>VLOOKUP(D592,Products!$A$1:C596,3)</f>
        <v>Accessories</v>
      </c>
      <c r="M592" t="str">
        <f>VLOOKUP(Table2[[#This Row],[AgentID]],Sales_Agents!$A$1:C595,2)</f>
        <v>Zainab</v>
      </c>
      <c r="N592" t="str">
        <f>VLOOKUP(Table2[[#This Row],[AgentID]],Sales_Agents!$A$1:C595,3)</f>
        <v>North</v>
      </c>
    </row>
    <row r="593" spans="1:14" x14ac:dyDescent="0.25">
      <c r="A593">
        <v>592</v>
      </c>
      <c r="B593" s="1">
        <v>45591</v>
      </c>
      <c r="C593" s="8" t="str">
        <f>TEXT(Table2[[#This Row],[OrderDate]],"mmm")</f>
        <v>Oct</v>
      </c>
      <c r="D593">
        <v>3</v>
      </c>
      <c r="E593">
        <v>1</v>
      </c>
      <c r="F593">
        <v>3</v>
      </c>
      <c r="G593" s="3">
        <v>193180</v>
      </c>
      <c r="H593" s="3">
        <f t="shared" si="18"/>
        <v>579540</v>
      </c>
      <c r="I593" s="5">
        <f>Table2[[#This Row],[Total Revenue]]*0.3</f>
        <v>173862</v>
      </c>
      <c r="J593" s="6">
        <f t="shared" si="19"/>
        <v>0.3</v>
      </c>
      <c r="K593" t="str">
        <f>VLOOKUP(Table2[[#This Row],[ProductID]],Products!$A$1:C597,2)</f>
        <v>Tablet</v>
      </c>
      <c r="L593" t="str">
        <f>VLOOKUP(D593,Products!$A$1:C597,3)</f>
        <v>Electronics</v>
      </c>
      <c r="M593" t="str">
        <f>VLOOKUP(Table2[[#This Row],[AgentID]],Sales_Agents!$A$1:C596,2)</f>
        <v>Akin</v>
      </c>
      <c r="N593" t="str">
        <f>VLOOKUP(Table2[[#This Row],[AgentID]],Sales_Agents!$A$1:C596,3)</f>
        <v>West</v>
      </c>
    </row>
    <row r="594" spans="1:14" x14ac:dyDescent="0.25">
      <c r="A594">
        <v>593</v>
      </c>
      <c r="B594" s="1">
        <v>45397</v>
      </c>
      <c r="C594" s="8" t="str">
        <f>TEXT(Table2[[#This Row],[OrderDate]],"mmm")</f>
        <v>Apr</v>
      </c>
      <c r="D594">
        <v>3</v>
      </c>
      <c r="E594">
        <v>3</v>
      </c>
      <c r="F594">
        <v>15</v>
      </c>
      <c r="G594" s="3">
        <v>173347</v>
      </c>
      <c r="H594" s="3">
        <f t="shared" si="18"/>
        <v>2600205</v>
      </c>
      <c r="I594" s="5">
        <f>Table2[[#This Row],[Total Revenue]]*0.3</f>
        <v>780061.5</v>
      </c>
      <c r="J594" s="6">
        <f t="shared" si="19"/>
        <v>0.3</v>
      </c>
      <c r="K594" t="str">
        <f>VLOOKUP(Table2[[#This Row],[ProductID]],Products!$A$1:C598,2)</f>
        <v>Tablet</v>
      </c>
      <c r="L594" t="str">
        <f>VLOOKUP(D594,Products!$A$1:C598,3)</f>
        <v>Electronics</v>
      </c>
      <c r="M594" t="str">
        <f>VLOOKUP(Table2[[#This Row],[AgentID]],Sales_Agents!$A$1:C597,2)</f>
        <v>Chinedu</v>
      </c>
      <c r="N594" t="str">
        <f>VLOOKUP(Table2[[#This Row],[AgentID]],Sales_Agents!$A$1:C597,3)</f>
        <v>South</v>
      </c>
    </row>
    <row r="595" spans="1:14" x14ac:dyDescent="0.25">
      <c r="A595">
        <v>594</v>
      </c>
      <c r="B595" s="1">
        <v>45564</v>
      </c>
      <c r="C595" s="8" t="str">
        <f>TEXT(Table2[[#This Row],[OrderDate]],"mmm")</f>
        <v>Sept</v>
      </c>
      <c r="D595">
        <v>5</v>
      </c>
      <c r="E595">
        <v>3</v>
      </c>
      <c r="F595">
        <v>5</v>
      </c>
      <c r="G595" s="3">
        <v>397868</v>
      </c>
      <c r="H595" s="3">
        <f t="shared" si="18"/>
        <v>1989340</v>
      </c>
      <c r="I595" s="5">
        <f>Table2[[#This Row],[Total Revenue]]*0.3</f>
        <v>596802</v>
      </c>
      <c r="J595" s="6">
        <f t="shared" si="19"/>
        <v>0.3</v>
      </c>
      <c r="K595" t="str">
        <f>VLOOKUP(Table2[[#This Row],[ProductID]],Products!$A$1:C599,2)</f>
        <v>Monitor</v>
      </c>
      <c r="L595" t="str">
        <f>VLOOKUP(D595,Products!$A$1:C599,3)</f>
        <v>Accessories</v>
      </c>
      <c r="M595" t="str">
        <f>VLOOKUP(Table2[[#This Row],[AgentID]],Sales_Agents!$A$1:C598,2)</f>
        <v>Chinedu</v>
      </c>
      <c r="N595" t="str">
        <f>VLOOKUP(Table2[[#This Row],[AgentID]],Sales_Agents!$A$1:C598,3)</f>
        <v>South</v>
      </c>
    </row>
    <row r="596" spans="1:14" x14ac:dyDescent="0.25">
      <c r="A596">
        <v>595</v>
      </c>
      <c r="B596" s="1">
        <v>45499</v>
      </c>
      <c r="C596" s="8" t="str">
        <f>TEXT(Table2[[#This Row],[OrderDate]],"mmm")</f>
        <v>Jul</v>
      </c>
      <c r="D596">
        <v>5</v>
      </c>
      <c r="E596">
        <v>2</v>
      </c>
      <c r="F596">
        <v>4</v>
      </c>
      <c r="G596" s="3">
        <v>312638</v>
      </c>
      <c r="H596" s="3">
        <f t="shared" si="18"/>
        <v>1250552</v>
      </c>
      <c r="I596" s="5">
        <f>Table2[[#This Row],[Total Revenue]]*0.3</f>
        <v>375165.6</v>
      </c>
      <c r="J596" s="6">
        <f t="shared" si="19"/>
        <v>0.3</v>
      </c>
      <c r="K596" t="str">
        <f>VLOOKUP(Table2[[#This Row],[ProductID]],Products!$A$1:C600,2)</f>
        <v>Monitor</v>
      </c>
      <c r="L596" t="str">
        <f>VLOOKUP(D596,Products!$A$1:C600,3)</f>
        <v>Accessories</v>
      </c>
      <c r="M596" t="str">
        <f>VLOOKUP(Table2[[#This Row],[AgentID]],Sales_Agents!$A$1:C599,2)</f>
        <v>Blessing</v>
      </c>
      <c r="N596" t="str">
        <f>VLOOKUP(Table2[[#This Row],[AgentID]],Sales_Agents!$A$1:C599,3)</f>
        <v>East</v>
      </c>
    </row>
    <row r="597" spans="1:14" x14ac:dyDescent="0.25">
      <c r="A597">
        <v>596</v>
      </c>
      <c r="B597" s="1">
        <v>45515</v>
      </c>
      <c r="C597" s="8" t="str">
        <f>TEXT(Table2[[#This Row],[OrderDate]],"mmm")</f>
        <v>Aug</v>
      </c>
      <c r="D597">
        <v>1</v>
      </c>
      <c r="E597">
        <v>4</v>
      </c>
      <c r="F597">
        <v>12</v>
      </c>
      <c r="G597" s="3">
        <v>335485</v>
      </c>
      <c r="H597" s="3">
        <f t="shared" si="18"/>
        <v>4025820</v>
      </c>
      <c r="I597" s="5">
        <f>Table2[[#This Row],[Total Revenue]]*0.3</f>
        <v>1207746</v>
      </c>
      <c r="J597" s="6">
        <f t="shared" si="19"/>
        <v>0.3</v>
      </c>
      <c r="K597" t="str">
        <f>VLOOKUP(Table2[[#This Row],[ProductID]],Products!$A$1:C601,2)</f>
        <v>Laptop</v>
      </c>
      <c r="L597" t="str">
        <f>VLOOKUP(D597,Products!$A$1:C601,3)</f>
        <v>Electronics</v>
      </c>
      <c r="M597" t="str">
        <f>VLOOKUP(Table2[[#This Row],[AgentID]],Sales_Agents!$A$1:C600,2)</f>
        <v>Zainab</v>
      </c>
      <c r="N597" t="str">
        <f>VLOOKUP(Table2[[#This Row],[AgentID]],Sales_Agents!$A$1:C600,3)</f>
        <v>North</v>
      </c>
    </row>
    <row r="598" spans="1:14" x14ac:dyDescent="0.25">
      <c r="A598">
        <v>597</v>
      </c>
      <c r="B598" s="1">
        <v>45517</v>
      </c>
      <c r="C598" s="8" t="str">
        <f>TEXT(Table2[[#This Row],[OrderDate]],"mmm")</f>
        <v>Aug</v>
      </c>
      <c r="D598">
        <v>1</v>
      </c>
      <c r="E598">
        <v>4</v>
      </c>
      <c r="F598">
        <v>12</v>
      </c>
      <c r="G598" s="3">
        <v>286258</v>
      </c>
      <c r="H598" s="3">
        <f t="shared" si="18"/>
        <v>3435096</v>
      </c>
      <c r="I598" s="5">
        <f>Table2[[#This Row],[Total Revenue]]*0.3</f>
        <v>1030528.7999999999</v>
      </c>
      <c r="J598" s="6">
        <f t="shared" si="19"/>
        <v>0.3</v>
      </c>
      <c r="K598" t="str">
        <f>VLOOKUP(Table2[[#This Row],[ProductID]],Products!$A$1:C602,2)</f>
        <v>Laptop</v>
      </c>
      <c r="L598" t="str">
        <f>VLOOKUP(D598,Products!$A$1:C602,3)</f>
        <v>Electronics</v>
      </c>
      <c r="M598" t="str">
        <f>VLOOKUP(Table2[[#This Row],[AgentID]],Sales_Agents!$A$1:C601,2)</f>
        <v>Zainab</v>
      </c>
      <c r="N598" t="str">
        <f>VLOOKUP(Table2[[#This Row],[AgentID]],Sales_Agents!$A$1:C601,3)</f>
        <v>North</v>
      </c>
    </row>
    <row r="599" spans="1:14" x14ac:dyDescent="0.25">
      <c r="A599">
        <v>598</v>
      </c>
      <c r="B599" s="1">
        <v>45643</v>
      </c>
      <c r="C599" s="8" t="str">
        <f>TEXT(Table2[[#This Row],[OrderDate]],"mmm")</f>
        <v>Dec</v>
      </c>
      <c r="D599">
        <v>4</v>
      </c>
      <c r="E599">
        <v>1</v>
      </c>
      <c r="F599">
        <v>15</v>
      </c>
      <c r="G599" s="3">
        <v>132803</v>
      </c>
      <c r="H599" s="3">
        <f t="shared" si="18"/>
        <v>1992045</v>
      </c>
      <c r="I599" s="5">
        <f>Table2[[#This Row],[Total Revenue]]*0.3</f>
        <v>597613.5</v>
      </c>
      <c r="J599" s="6">
        <f t="shared" si="19"/>
        <v>0.3</v>
      </c>
      <c r="K599" t="str">
        <f>VLOOKUP(Table2[[#This Row],[ProductID]],Products!$A$1:C603,2)</f>
        <v>Printer</v>
      </c>
      <c r="L599" t="str">
        <f>VLOOKUP(D599,Products!$A$1:C603,3)</f>
        <v>Accessories</v>
      </c>
      <c r="M599" t="str">
        <f>VLOOKUP(Table2[[#This Row],[AgentID]],Sales_Agents!$A$1:C602,2)</f>
        <v>Akin</v>
      </c>
      <c r="N599" t="str">
        <f>VLOOKUP(Table2[[#This Row],[AgentID]],Sales_Agents!$A$1:C602,3)</f>
        <v>West</v>
      </c>
    </row>
    <row r="600" spans="1:14" x14ac:dyDescent="0.25">
      <c r="A600">
        <v>599</v>
      </c>
      <c r="B600" s="1">
        <v>45538</v>
      </c>
      <c r="C600" s="8" t="str">
        <f>TEXT(Table2[[#This Row],[OrderDate]],"mmm")</f>
        <v>Sept</v>
      </c>
      <c r="D600">
        <v>2</v>
      </c>
      <c r="E600">
        <v>4</v>
      </c>
      <c r="F600">
        <v>6</v>
      </c>
      <c r="G600" s="3">
        <v>329502</v>
      </c>
      <c r="H600" s="3">
        <f t="shared" si="18"/>
        <v>1977012</v>
      </c>
      <c r="I600" s="5">
        <f>Table2[[#This Row],[Total Revenue]]*0.3</f>
        <v>593103.6</v>
      </c>
      <c r="J600" s="6">
        <f t="shared" si="19"/>
        <v>0.3</v>
      </c>
      <c r="K600" t="str">
        <f>VLOOKUP(Table2[[#This Row],[ProductID]],Products!$A$1:C604,2)</f>
        <v>Phone</v>
      </c>
      <c r="L600" t="str">
        <f>VLOOKUP(D600,Products!$A$1:C604,3)</f>
        <v>Electronics</v>
      </c>
      <c r="M600" t="str">
        <f>VLOOKUP(Table2[[#This Row],[AgentID]],Sales_Agents!$A$1:C603,2)</f>
        <v>Zainab</v>
      </c>
      <c r="N600" t="str">
        <f>VLOOKUP(Table2[[#This Row],[AgentID]],Sales_Agents!$A$1:C603,3)</f>
        <v>North</v>
      </c>
    </row>
    <row r="601" spans="1:14" x14ac:dyDescent="0.25">
      <c r="A601">
        <v>600</v>
      </c>
      <c r="B601" s="1">
        <v>45591</v>
      </c>
      <c r="C601" s="8" t="str">
        <f>TEXT(Table2[[#This Row],[OrderDate]],"mmm")</f>
        <v>Oct</v>
      </c>
      <c r="D601">
        <v>3</v>
      </c>
      <c r="E601">
        <v>3</v>
      </c>
      <c r="F601">
        <v>20</v>
      </c>
      <c r="G601" s="3">
        <v>336069</v>
      </c>
      <c r="H601" s="3">
        <f t="shared" si="18"/>
        <v>6721380</v>
      </c>
      <c r="I601" s="5">
        <f>Table2[[#This Row],[Total Revenue]]*0.3</f>
        <v>2016414</v>
      </c>
      <c r="J601" s="6">
        <f t="shared" si="19"/>
        <v>0.3</v>
      </c>
      <c r="K601" t="str">
        <f>VLOOKUP(Table2[[#This Row],[ProductID]],Products!$A$1:C605,2)</f>
        <v>Tablet</v>
      </c>
      <c r="L601" t="str">
        <f>VLOOKUP(D601,Products!$A$1:C605,3)</f>
        <v>Electronics</v>
      </c>
      <c r="M601" t="str">
        <f>VLOOKUP(Table2[[#This Row],[AgentID]],Sales_Agents!$A$1:C604,2)</f>
        <v>Chinedu</v>
      </c>
      <c r="N601" t="str">
        <f>VLOOKUP(Table2[[#This Row],[AgentID]],Sales_Agents!$A$1:C604,3)</f>
        <v>South</v>
      </c>
    </row>
    <row r="602" spans="1:14" x14ac:dyDescent="0.25">
      <c r="A602">
        <v>601</v>
      </c>
      <c r="B602" s="1">
        <v>45364</v>
      </c>
      <c r="C602" s="8" t="str">
        <f>TEXT(Table2[[#This Row],[OrderDate]],"mmm")</f>
        <v>Mar</v>
      </c>
      <c r="D602">
        <v>5</v>
      </c>
      <c r="E602">
        <v>4</v>
      </c>
      <c r="F602">
        <v>5</v>
      </c>
      <c r="G602" s="3">
        <v>118928</v>
      </c>
      <c r="H602" s="3">
        <f t="shared" si="18"/>
        <v>594640</v>
      </c>
      <c r="I602" s="5">
        <f>Table2[[#This Row],[Total Revenue]]*0.3</f>
        <v>178392</v>
      </c>
      <c r="J602" s="6">
        <f t="shared" si="19"/>
        <v>0.3</v>
      </c>
      <c r="K602" t="str">
        <f>VLOOKUP(Table2[[#This Row],[ProductID]],Products!$A$1:C606,2)</f>
        <v>Monitor</v>
      </c>
      <c r="L602" t="str">
        <f>VLOOKUP(D602,Products!$A$1:C606,3)</f>
        <v>Accessories</v>
      </c>
      <c r="M602" t="str">
        <f>VLOOKUP(Table2[[#This Row],[AgentID]],Sales_Agents!$A$1:C605,2)</f>
        <v>Zainab</v>
      </c>
      <c r="N602" t="str">
        <f>VLOOKUP(Table2[[#This Row],[AgentID]],Sales_Agents!$A$1:C605,3)</f>
        <v>North</v>
      </c>
    </row>
    <row r="603" spans="1:14" x14ac:dyDescent="0.25">
      <c r="A603">
        <v>602</v>
      </c>
      <c r="B603" s="1">
        <v>45562</v>
      </c>
      <c r="C603" s="8" t="str">
        <f>TEXT(Table2[[#This Row],[OrderDate]],"mmm")</f>
        <v>Sept</v>
      </c>
      <c r="D603">
        <v>4</v>
      </c>
      <c r="E603">
        <v>3</v>
      </c>
      <c r="F603">
        <v>6</v>
      </c>
      <c r="G603" s="3">
        <v>53394</v>
      </c>
      <c r="H603" s="3">
        <f t="shared" si="18"/>
        <v>320364</v>
      </c>
      <c r="I603" s="5">
        <f>Table2[[#This Row],[Total Revenue]]*0.3</f>
        <v>96109.2</v>
      </c>
      <c r="J603" s="6">
        <f t="shared" si="19"/>
        <v>0.3</v>
      </c>
      <c r="K603" t="str">
        <f>VLOOKUP(Table2[[#This Row],[ProductID]],Products!$A$1:C607,2)</f>
        <v>Printer</v>
      </c>
      <c r="L603" t="str">
        <f>VLOOKUP(D603,Products!$A$1:C607,3)</f>
        <v>Accessories</v>
      </c>
      <c r="M603" t="str">
        <f>VLOOKUP(Table2[[#This Row],[AgentID]],Sales_Agents!$A$1:C606,2)</f>
        <v>Chinedu</v>
      </c>
      <c r="N603" t="str">
        <f>VLOOKUP(Table2[[#This Row],[AgentID]],Sales_Agents!$A$1:C606,3)</f>
        <v>South</v>
      </c>
    </row>
    <row r="604" spans="1:14" x14ac:dyDescent="0.25">
      <c r="A604">
        <v>603</v>
      </c>
      <c r="B604" s="1">
        <v>45365</v>
      </c>
      <c r="C604" s="8" t="str">
        <f>TEXT(Table2[[#This Row],[OrderDate]],"mmm")</f>
        <v>Mar</v>
      </c>
      <c r="D604">
        <v>3</v>
      </c>
      <c r="E604">
        <v>3</v>
      </c>
      <c r="F604">
        <v>1</v>
      </c>
      <c r="G604" s="3">
        <v>137061</v>
      </c>
      <c r="H604" s="3">
        <f t="shared" si="18"/>
        <v>137061</v>
      </c>
      <c r="I604" s="5">
        <f>Table2[[#This Row],[Total Revenue]]*0.3</f>
        <v>41118.299999999996</v>
      </c>
      <c r="J604" s="6">
        <f t="shared" si="19"/>
        <v>0.3</v>
      </c>
      <c r="K604" t="str">
        <f>VLOOKUP(Table2[[#This Row],[ProductID]],Products!$A$1:C608,2)</f>
        <v>Tablet</v>
      </c>
      <c r="L604" t="str">
        <f>VLOOKUP(D604,Products!$A$1:C608,3)</f>
        <v>Electronics</v>
      </c>
      <c r="M604" t="str">
        <f>VLOOKUP(Table2[[#This Row],[AgentID]],Sales_Agents!$A$1:C607,2)</f>
        <v>Chinedu</v>
      </c>
      <c r="N604" t="str">
        <f>VLOOKUP(Table2[[#This Row],[AgentID]],Sales_Agents!$A$1:C607,3)</f>
        <v>South</v>
      </c>
    </row>
    <row r="605" spans="1:14" x14ac:dyDescent="0.25">
      <c r="A605">
        <v>604</v>
      </c>
      <c r="B605" s="1">
        <v>45565</v>
      </c>
      <c r="C605" s="8" t="str">
        <f>TEXT(Table2[[#This Row],[OrderDate]],"mmm")</f>
        <v>Sept</v>
      </c>
      <c r="D605">
        <v>2</v>
      </c>
      <c r="E605">
        <v>3</v>
      </c>
      <c r="F605">
        <v>10</v>
      </c>
      <c r="G605" s="3">
        <v>57180</v>
      </c>
      <c r="H605" s="3">
        <f t="shared" si="18"/>
        <v>571800</v>
      </c>
      <c r="I605" s="5">
        <f>Table2[[#This Row],[Total Revenue]]*0.3</f>
        <v>171540</v>
      </c>
      <c r="J605" s="6">
        <f t="shared" si="19"/>
        <v>0.3</v>
      </c>
      <c r="K605" t="str">
        <f>VLOOKUP(Table2[[#This Row],[ProductID]],Products!$A$1:C609,2)</f>
        <v>Phone</v>
      </c>
      <c r="L605" t="str">
        <f>VLOOKUP(D605,Products!$A$1:C609,3)</f>
        <v>Electronics</v>
      </c>
      <c r="M605" t="str">
        <f>VLOOKUP(Table2[[#This Row],[AgentID]],Sales_Agents!$A$1:C608,2)</f>
        <v>Chinedu</v>
      </c>
      <c r="N605" t="str">
        <f>VLOOKUP(Table2[[#This Row],[AgentID]],Sales_Agents!$A$1:C608,3)</f>
        <v>South</v>
      </c>
    </row>
    <row r="606" spans="1:14" x14ac:dyDescent="0.25">
      <c r="A606">
        <v>605</v>
      </c>
      <c r="B606" s="1">
        <v>45623</v>
      </c>
      <c r="C606" s="8" t="str">
        <f>TEXT(Table2[[#This Row],[OrderDate]],"mmm")</f>
        <v>Nov</v>
      </c>
      <c r="D606">
        <v>2</v>
      </c>
      <c r="E606">
        <v>2</v>
      </c>
      <c r="F606">
        <v>13</v>
      </c>
      <c r="G606" s="3">
        <v>120657</v>
      </c>
      <c r="H606" s="3">
        <f t="shared" si="18"/>
        <v>1568541</v>
      </c>
      <c r="I606" s="5">
        <f>Table2[[#This Row],[Total Revenue]]*0.3</f>
        <v>470562.3</v>
      </c>
      <c r="J606" s="6">
        <f t="shared" si="19"/>
        <v>0.3</v>
      </c>
      <c r="K606" t="str">
        <f>VLOOKUP(Table2[[#This Row],[ProductID]],Products!$A$1:C610,2)</f>
        <v>Phone</v>
      </c>
      <c r="L606" t="str">
        <f>VLOOKUP(D606,Products!$A$1:C610,3)</f>
        <v>Electronics</v>
      </c>
      <c r="M606" t="str">
        <f>VLOOKUP(Table2[[#This Row],[AgentID]],Sales_Agents!$A$1:C609,2)</f>
        <v>Blessing</v>
      </c>
      <c r="N606" t="str">
        <f>VLOOKUP(Table2[[#This Row],[AgentID]],Sales_Agents!$A$1:C609,3)</f>
        <v>East</v>
      </c>
    </row>
    <row r="607" spans="1:14" x14ac:dyDescent="0.25">
      <c r="A607">
        <v>606</v>
      </c>
      <c r="B607" s="1">
        <v>45436</v>
      </c>
      <c r="C607" s="8" t="str">
        <f>TEXT(Table2[[#This Row],[OrderDate]],"mmm")</f>
        <v>May</v>
      </c>
      <c r="D607">
        <v>3</v>
      </c>
      <c r="E607">
        <v>2</v>
      </c>
      <c r="F607">
        <v>9</v>
      </c>
      <c r="G607" s="3">
        <v>103064</v>
      </c>
      <c r="H607" s="3">
        <f t="shared" si="18"/>
        <v>927576</v>
      </c>
      <c r="I607" s="5">
        <f>Table2[[#This Row],[Total Revenue]]*0.3</f>
        <v>278272.8</v>
      </c>
      <c r="J607" s="6">
        <f t="shared" si="19"/>
        <v>0.3</v>
      </c>
      <c r="K607" t="str">
        <f>VLOOKUP(Table2[[#This Row],[ProductID]],Products!$A$1:C611,2)</f>
        <v>Tablet</v>
      </c>
      <c r="L607" t="str">
        <f>VLOOKUP(D607,Products!$A$1:C611,3)</f>
        <v>Electronics</v>
      </c>
      <c r="M607" t="str">
        <f>VLOOKUP(Table2[[#This Row],[AgentID]],Sales_Agents!$A$1:C610,2)</f>
        <v>Blessing</v>
      </c>
      <c r="N607" t="str">
        <f>VLOOKUP(Table2[[#This Row],[AgentID]],Sales_Agents!$A$1:C610,3)</f>
        <v>East</v>
      </c>
    </row>
    <row r="608" spans="1:14" x14ac:dyDescent="0.25">
      <c r="A608">
        <v>607</v>
      </c>
      <c r="B608" s="1">
        <v>45377</v>
      </c>
      <c r="C608" s="8" t="str">
        <f>TEXT(Table2[[#This Row],[OrderDate]],"mmm")</f>
        <v>Mar</v>
      </c>
      <c r="D608">
        <v>3</v>
      </c>
      <c r="E608">
        <v>3</v>
      </c>
      <c r="F608">
        <v>14</v>
      </c>
      <c r="G608" s="3">
        <v>265361</v>
      </c>
      <c r="H608" s="3">
        <f t="shared" si="18"/>
        <v>3715054</v>
      </c>
      <c r="I608" s="5">
        <f>Table2[[#This Row],[Total Revenue]]*0.3</f>
        <v>1114516.2</v>
      </c>
      <c r="J608" s="6">
        <f t="shared" si="19"/>
        <v>0.3</v>
      </c>
      <c r="K608" t="str">
        <f>VLOOKUP(Table2[[#This Row],[ProductID]],Products!$A$1:C612,2)</f>
        <v>Tablet</v>
      </c>
      <c r="L608" t="str">
        <f>VLOOKUP(D608,Products!$A$1:C612,3)</f>
        <v>Electronics</v>
      </c>
      <c r="M608" t="str">
        <f>VLOOKUP(Table2[[#This Row],[AgentID]],Sales_Agents!$A$1:C611,2)</f>
        <v>Chinedu</v>
      </c>
      <c r="N608" t="str">
        <f>VLOOKUP(Table2[[#This Row],[AgentID]],Sales_Agents!$A$1:C611,3)</f>
        <v>South</v>
      </c>
    </row>
    <row r="609" spans="1:14" x14ac:dyDescent="0.25">
      <c r="A609">
        <v>608</v>
      </c>
      <c r="B609" s="1">
        <v>45457</v>
      </c>
      <c r="C609" s="8" t="str">
        <f>TEXT(Table2[[#This Row],[OrderDate]],"mmm")</f>
        <v>Jun</v>
      </c>
      <c r="D609">
        <v>2</v>
      </c>
      <c r="E609">
        <v>3</v>
      </c>
      <c r="F609">
        <v>6</v>
      </c>
      <c r="G609" s="3">
        <v>353198</v>
      </c>
      <c r="H609" s="3">
        <f t="shared" si="18"/>
        <v>2119188</v>
      </c>
      <c r="I609" s="5">
        <f>Table2[[#This Row],[Total Revenue]]*0.3</f>
        <v>635756.4</v>
      </c>
      <c r="J609" s="6">
        <f t="shared" si="19"/>
        <v>0.3</v>
      </c>
      <c r="K609" t="str">
        <f>VLOOKUP(Table2[[#This Row],[ProductID]],Products!$A$1:C613,2)</f>
        <v>Phone</v>
      </c>
      <c r="L609" t="str">
        <f>VLOOKUP(D609,Products!$A$1:C613,3)</f>
        <v>Electronics</v>
      </c>
      <c r="M609" t="str">
        <f>VLOOKUP(Table2[[#This Row],[AgentID]],Sales_Agents!$A$1:C612,2)</f>
        <v>Chinedu</v>
      </c>
      <c r="N609" t="str">
        <f>VLOOKUP(Table2[[#This Row],[AgentID]],Sales_Agents!$A$1:C612,3)</f>
        <v>South</v>
      </c>
    </row>
    <row r="610" spans="1:14" x14ac:dyDescent="0.25">
      <c r="A610">
        <v>609</v>
      </c>
      <c r="B610" s="1">
        <v>45301</v>
      </c>
      <c r="C610" s="8" t="str">
        <f>TEXT(Table2[[#This Row],[OrderDate]],"mmm")</f>
        <v>Jan</v>
      </c>
      <c r="D610">
        <v>3</v>
      </c>
      <c r="E610">
        <v>3</v>
      </c>
      <c r="F610">
        <v>3</v>
      </c>
      <c r="G610" s="3">
        <v>386811</v>
      </c>
      <c r="H610" s="3">
        <f t="shared" si="18"/>
        <v>1160433</v>
      </c>
      <c r="I610" s="5">
        <f>Table2[[#This Row],[Total Revenue]]*0.3</f>
        <v>348129.89999999997</v>
      </c>
      <c r="J610" s="6">
        <f t="shared" si="19"/>
        <v>0.3</v>
      </c>
      <c r="K610" t="str">
        <f>VLOOKUP(Table2[[#This Row],[ProductID]],Products!$A$1:C614,2)</f>
        <v>Tablet</v>
      </c>
      <c r="L610" t="str">
        <f>VLOOKUP(D610,Products!$A$1:C614,3)</f>
        <v>Electronics</v>
      </c>
      <c r="M610" t="str">
        <f>VLOOKUP(Table2[[#This Row],[AgentID]],Sales_Agents!$A$1:C613,2)</f>
        <v>Chinedu</v>
      </c>
      <c r="N610" t="str">
        <f>VLOOKUP(Table2[[#This Row],[AgentID]],Sales_Agents!$A$1:C613,3)</f>
        <v>South</v>
      </c>
    </row>
    <row r="611" spans="1:14" x14ac:dyDescent="0.25">
      <c r="A611">
        <v>610</v>
      </c>
      <c r="B611" s="1">
        <v>45396</v>
      </c>
      <c r="C611" s="8" t="str">
        <f>TEXT(Table2[[#This Row],[OrderDate]],"mmm")</f>
        <v>Apr</v>
      </c>
      <c r="D611">
        <v>1</v>
      </c>
      <c r="E611">
        <v>1</v>
      </c>
      <c r="F611">
        <v>4</v>
      </c>
      <c r="G611" s="3">
        <v>336546</v>
      </c>
      <c r="H611" s="3">
        <f t="shared" si="18"/>
        <v>1346184</v>
      </c>
      <c r="I611" s="5">
        <f>Table2[[#This Row],[Total Revenue]]*0.3</f>
        <v>403855.2</v>
      </c>
      <c r="J611" s="6">
        <f t="shared" si="19"/>
        <v>0.3</v>
      </c>
      <c r="K611" t="str">
        <f>VLOOKUP(Table2[[#This Row],[ProductID]],Products!$A$1:C615,2)</f>
        <v>Laptop</v>
      </c>
      <c r="L611" t="str">
        <f>VLOOKUP(D611,Products!$A$1:C615,3)</f>
        <v>Electronics</v>
      </c>
      <c r="M611" t="str">
        <f>VLOOKUP(Table2[[#This Row],[AgentID]],Sales_Agents!$A$1:C614,2)</f>
        <v>Akin</v>
      </c>
      <c r="N611" t="str">
        <f>VLOOKUP(Table2[[#This Row],[AgentID]],Sales_Agents!$A$1:C614,3)</f>
        <v>West</v>
      </c>
    </row>
    <row r="612" spans="1:14" x14ac:dyDescent="0.25">
      <c r="A612">
        <v>611</v>
      </c>
      <c r="B612" s="1">
        <v>45429</v>
      </c>
      <c r="C612" s="8" t="str">
        <f>TEXT(Table2[[#This Row],[OrderDate]],"mmm")</f>
        <v>May</v>
      </c>
      <c r="D612">
        <v>1</v>
      </c>
      <c r="E612">
        <v>2</v>
      </c>
      <c r="F612">
        <v>6</v>
      </c>
      <c r="G612" s="3">
        <v>250661</v>
      </c>
      <c r="H612" s="3">
        <f t="shared" si="18"/>
        <v>1503966</v>
      </c>
      <c r="I612" s="5">
        <f>Table2[[#This Row],[Total Revenue]]*0.3</f>
        <v>451189.8</v>
      </c>
      <c r="J612" s="6">
        <f t="shared" si="19"/>
        <v>0.3</v>
      </c>
      <c r="K612" t="str">
        <f>VLOOKUP(Table2[[#This Row],[ProductID]],Products!$A$1:C616,2)</f>
        <v>Laptop</v>
      </c>
      <c r="L612" t="str">
        <f>VLOOKUP(D612,Products!$A$1:C616,3)</f>
        <v>Electronics</v>
      </c>
      <c r="M612" t="str">
        <f>VLOOKUP(Table2[[#This Row],[AgentID]],Sales_Agents!$A$1:C615,2)</f>
        <v>Blessing</v>
      </c>
      <c r="N612" t="str">
        <f>VLOOKUP(Table2[[#This Row],[AgentID]],Sales_Agents!$A$1:C615,3)</f>
        <v>East</v>
      </c>
    </row>
    <row r="613" spans="1:14" x14ac:dyDescent="0.25">
      <c r="A613">
        <v>612</v>
      </c>
      <c r="B613" s="1">
        <v>45635</v>
      </c>
      <c r="C613" s="8" t="str">
        <f>TEXT(Table2[[#This Row],[OrderDate]],"mmm")</f>
        <v>Dec</v>
      </c>
      <c r="D613">
        <v>3</v>
      </c>
      <c r="E613">
        <v>3</v>
      </c>
      <c r="F613">
        <v>4</v>
      </c>
      <c r="G613" s="3">
        <v>147673</v>
      </c>
      <c r="H613" s="3">
        <f t="shared" si="18"/>
        <v>590692</v>
      </c>
      <c r="I613" s="5">
        <f>Table2[[#This Row],[Total Revenue]]*0.3</f>
        <v>177207.6</v>
      </c>
      <c r="J613" s="6">
        <f t="shared" si="19"/>
        <v>0.3</v>
      </c>
      <c r="K613" t="str">
        <f>VLOOKUP(Table2[[#This Row],[ProductID]],Products!$A$1:C617,2)</f>
        <v>Tablet</v>
      </c>
      <c r="L613" t="str">
        <f>VLOOKUP(D613,Products!$A$1:C617,3)</f>
        <v>Electronics</v>
      </c>
      <c r="M613" t="str">
        <f>VLOOKUP(Table2[[#This Row],[AgentID]],Sales_Agents!$A$1:C616,2)</f>
        <v>Chinedu</v>
      </c>
      <c r="N613" t="str">
        <f>VLOOKUP(Table2[[#This Row],[AgentID]],Sales_Agents!$A$1:C616,3)</f>
        <v>South</v>
      </c>
    </row>
    <row r="614" spans="1:14" x14ac:dyDescent="0.25">
      <c r="A614">
        <v>613</v>
      </c>
      <c r="B614" s="1">
        <v>45625</v>
      </c>
      <c r="C614" s="8" t="str">
        <f>TEXT(Table2[[#This Row],[OrderDate]],"mmm")</f>
        <v>Nov</v>
      </c>
      <c r="D614">
        <v>5</v>
      </c>
      <c r="E614">
        <v>3</v>
      </c>
      <c r="F614">
        <v>9</v>
      </c>
      <c r="G614" s="3">
        <v>118769</v>
      </c>
      <c r="H614" s="3">
        <f t="shared" si="18"/>
        <v>1068921</v>
      </c>
      <c r="I614" s="5">
        <f>Table2[[#This Row],[Total Revenue]]*0.3</f>
        <v>320676.3</v>
      </c>
      <c r="J614" s="6">
        <f t="shared" si="19"/>
        <v>0.3</v>
      </c>
      <c r="K614" t="str">
        <f>VLOOKUP(Table2[[#This Row],[ProductID]],Products!$A$1:C618,2)</f>
        <v>Monitor</v>
      </c>
      <c r="L614" t="str">
        <f>VLOOKUP(D614,Products!$A$1:C618,3)</f>
        <v>Accessories</v>
      </c>
      <c r="M614" t="str">
        <f>VLOOKUP(Table2[[#This Row],[AgentID]],Sales_Agents!$A$1:C617,2)</f>
        <v>Chinedu</v>
      </c>
      <c r="N614" t="str">
        <f>VLOOKUP(Table2[[#This Row],[AgentID]],Sales_Agents!$A$1:C617,3)</f>
        <v>South</v>
      </c>
    </row>
    <row r="615" spans="1:14" x14ac:dyDescent="0.25">
      <c r="A615">
        <v>614</v>
      </c>
      <c r="B615" s="1">
        <v>45632</v>
      </c>
      <c r="C615" s="8" t="str">
        <f>TEXT(Table2[[#This Row],[OrderDate]],"mmm")</f>
        <v>Dec</v>
      </c>
      <c r="D615">
        <v>2</v>
      </c>
      <c r="E615">
        <v>2</v>
      </c>
      <c r="F615">
        <v>11</v>
      </c>
      <c r="G615" s="3">
        <v>185486</v>
      </c>
      <c r="H615" s="3">
        <f t="shared" si="18"/>
        <v>2040346</v>
      </c>
      <c r="I615" s="5">
        <f>Table2[[#This Row],[Total Revenue]]*0.3</f>
        <v>612103.79999999993</v>
      </c>
      <c r="J615" s="6">
        <f t="shared" si="19"/>
        <v>0.3</v>
      </c>
      <c r="K615" t="str">
        <f>VLOOKUP(Table2[[#This Row],[ProductID]],Products!$A$1:C619,2)</f>
        <v>Phone</v>
      </c>
      <c r="L615" t="str">
        <f>VLOOKUP(D615,Products!$A$1:C619,3)</f>
        <v>Electronics</v>
      </c>
      <c r="M615" t="str">
        <f>VLOOKUP(Table2[[#This Row],[AgentID]],Sales_Agents!$A$1:C618,2)</f>
        <v>Blessing</v>
      </c>
      <c r="N615" t="str">
        <f>VLOOKUP(Table2[[#This Row],[AgentID]],Sales_Agents!$A$1:C618,3)</f>
        <v>East</v>
      </c>
    </row>
    <row r="616" spans="1:14" x14ac:dyDescent="0.25">
      <c r="A616">
        <v>615</v>
      </c>
      <c r="B616" s="1">
        <v>45373</v>
      </c>
      <c r="C616" s="8" t="str">
        <f>TEXT(Table2[[#This Row],[OrderDate]],"mmm")</f>
        <v>Mar</v>
      </c>
      <c r="D616">
        <v>1</v>
      </c>
      <c r="E616">
        <v>1</v>
      </c>
      <c r="F616">
        <v>20</v>
      </c>
      <c r="G616" s="3">
        <v>114733</v>
      </c>
      <c r="H616" s="3">
        <f t="shared" si="18"/>
        <v>2294660</v>
      </c>
      <c r="I616" s="5">
        <f>Table2[[#This Row],[Total Revenue]]*0.3</f>
        <v>688398</v>
      </c>
      <c r="J616" s="6">
        <f t="shared" si="19"/>
        <v>0.3</v>
      </c>
      <c r="K616" t="str">
        <f>VLOOKUP(Table2[[#This Row],[ProductID]],Products!$A$1:C620,2)</f>
        <v>Laptop</v>
      </c>
      <c r="L616" t="str">
        <f>VLOOKUP(D616,Products!$A$1:C620,3)</f>
        <v>Electronics</v>
      </c>
      <c r="M616" t="str">
        <f>VLOOKUP(Table2[[#This Row],[AgentID]],Sales_Agents!$A$1:C619,2)</f>
        <v>Akin</v>
      </c>
      <c r="N616" t="str">
        <f>VLOOKUP(Table2[[#This Row],[AgentID]],Sales_Agents!$A$1:C619,3)</f>
        <v>West</v>
      </c>
    </row>
    <row r="617" spans="1:14" x14ac:dyDescent="0.25">
      <c r="A617">
        <v>616</v>
      </c>
      <c r="B617" s="1">
        <v>45621</v>
      </c>
      <c r="C617" s="8" t="str">
        <f>TEXT(Table2[[#This Row],[OrderDate]],"mmm")</f>
        <v>Nov</v>
      </c>
      <c r="D617">
        <v>4</v>
      </c>
      <c r="E617">
        <v>2</v>
      </c>
      <c r="F617">
        <v>8</v>
      </c>
      <c r="G617" s="3">
        <v>232975</v>
      </c>
      <c r="H617" s="3">
        <f t="shared" si="18"/>
        <v>1863800</v>
      </c>
      <c r="I617" s="5">
        <f>Table2[[#This Row],[Total Revenue]]*0.3</f>
        <v>559140</v>
      </c>
      <c r="J617" s="6">
        <f t="shared" si="19"/>
        <v>0.3</v>
      </c>
      <c r="K617" t="str">
        <f>VLOOKUP(Table2[[#This Row],[ProductID]],Products!$A$1:C621,2)</f>
        <v>Printer</v>
      </c>
      <c r="L617" t="str">
        <f>VLOOKUP(D617,Products!$A$1:C621,3)</f>
        <v>Accessories</v>
      </c>
      <c r="M617" t="str">
        <f>VLOOKUP(Table2[[#This Row],[AgentID]],Sales_Agents!$A$1:C620,2)</f>
        <v>Blessing</v>
      </c>
      <c r="N617" t="str">
        <f>VLOOKUP(Table2[[#This Row],[AgentID]],Sales_Agents!$A$1:C620,3)</f>
        <v>East</v>
      </c>
    </row>
    <row r="618" spans="1:14" x14ac:dyDescent="0.25">
      <c r="A618">
        <v>617</v>
      </c>
      <c r="B618" s="1">
        <v>45383</v>
      </c>
      <c r="C618" s="8" t="str">
        <f>TEXT(Table2[[#This Row],[OrderDate]],"mmm")</f>
        <v>Apr</v>
      </c>
      <c r="D618">
        <v>1</v>
      </c>
      <c r="E618">
        <v>2</v>
      </c>
      <c r="F618">
        <v>15</v>
      </c>
      <c r="G618" s="3">
        <v>104823</v>
      </c>
      <c r="H618" s="3">
        <f t="shared" si="18"/>
        <v>1572345</v>
      </c>
      <c r="I618" s="5">
        <f>Table2[[#This Row],[Total Revenue]]*0.3</f>
        <v>471703.5</v>
      </c>
      <c r="J618" s="6">
        <f t="shared" si="19"/>
        <v>0.3</v>
      </c>
      <c r="K618" t="str">
        <f>VLOOKUP(Table2[[#This Row],[ProductID]],Products!$A$1:C622,2)</f>
        <v>Laptop</v>
      </c>
      <c r="L618" t="str">
        <f>VLOOKUP(D618,Products!$A$1:C622,3)</f>
        <v>Electronics</v>
      </c>
      <c r="M618" t="str">
        <f>VLOOKUP(Table2[[#This Row],[AgentID]],Sales_Agents!$A$1:C621,2)</f>
        <v>Blessing</v>
      </c>
      <c r="N618" t="str">
        <f>VLOOKUP(Table2[[#This Row],[AgentID]],Sales_Agents!$A$1:C621,3)</f>
        <v>East</v>
      </c>
    </row>
    <row r="619" spans="1:14" x14ac:dyDescent="0.25">
      <c r="A619">
        <v>618</v>
      </c>
      <c r="B619" s="1">
        <v>45408</v>
      </c>
      <c r="C619" s="8" t="str">
        <f>TEXT(Table2[[#This Row],[OrderDate]],"mmm")</f>
        <v>Apr</v>
      </c>
      <c r="D619">
        <v>3</v>
      </c>
      <c r="E619">
        <v>4</v>
      </c>
      <c r="F619">
        <v>16</v>
      </c>
      <c r="G619" s="3">
        <v>294316</v>
      </c>
      <c r="H619" s="3">
        <f t="shared" si="18"/>
        <v>4709056</v>
      </c>
      <c r="I619" s="5">
        <f>Table2[[#This Row],[Total Revenue]]*0.3</f>
        <v>1412716.8</v>
      </c>
      <c r="J619" s="6">
        <f t="shared" si="19"/>
        <v>0.3</v>
      </c>
      <c r="K619" t="str">
        <f>VLOOKUP(Table2[[#This Row],[ProductID]],Products!$A$1:C623,2)</f>
        <v>Tablet</v>
      </c>
      <c r="L619" t="str">
        <f>VLOOKUP(D619,Products!$A$1:C623,3)</f>
        <v>Electronics</v>
      </c>
      <c r="M619" t="str">
        <f>VLOOKUP(Table2[[#This Row],[AgentID]],Sales_Agents!$A$1:C622,2)</f>
        <v>Zainab</v>
      </c>
      <c r="N619" t="str">
        <f>VLOOKUP(Table2[[#This Row],[AgentID]],Sales_Agents!$A$1:C622,3)</f>
        <v>North</v>
      </c>
    </row>
    <row r="620" spans="1:14" x14ac:dyDescent="0.25">
      <c r="A620">
        <v>619</v>
      </c>
      <c r="B620" s="1">
        <v>45457</v>
      </c>
      <c r="C620" s="8" t="str">
        <f>TEXT(Table2[[#This Row],[OrderDate]],"mmm")</f>
        <v>Jun</v>
      </c>
      <c r="D620">
        <v>1</v>
      </c>
      <c r="E620">
        <v>1</v>
      </c>
      <c r="F620">
        <v>10</v>
      </c>
      <c r="G620" s="3">
        <v>207129</v>
      </c>
      <c r="H620" s="3">
        <f t="shared" si="18"/>
        <v>2071290</v>
      </c>
      <c r="I620" s="5">
        <f>Table2[[#This Row],[Total Revenue]]*0.3</f>
        <v>621387</v>
      </c>
      <c r="J620" s="6">
        <f t="shared" si="19"/>
        <v>0.3</v>
      </c>
      <c r="K620" t="str">
        <f>VLOOKUP(Table2[[#This Row],[ProductID]],Products!$A$1:C624,2)</f>
        <v>Laptop</v>
      </c>
      <c r="L620" t="str">
        <f>VLOOKUP(D620,Products!$A$1:C624,3)</f>
        <v>Electronics</v>
      </c>
      <c r="M620" t="str">
        <f>VLOOKUP(Table2[[#This Row],[AgentID]],Sales_Agents!$A$1:C623,2)</f>
        <v>Akin</v>
      </c>
      <c r="N620" t="str">
        <f>VLOOKUP(Table2[[#This Row],[AgentID]],Sales_Agents!$A$1:C623,3)</f>
        <v>West</v>
      </c>
    </row>
    <row r="621" spans="1:14" x14ac:dyDescent="0.25">
      <c r="A621">
        <v>620</v>
      </c>
      <c r="B621" s="1">
        <v>45377</v>
      </c>
      <c r="C621" s="8" t="str">
        <f>TEXT(Table2[[#This Row],[OrderDate]],"mmm")</f>
        <v>Mar</v>
      </c>
      <c r="D621">
        <v>5</v>
      </c>
      <c r="E621">
        <v>4</v>
      </c>
      <c r="F621">
        <v>2</v>
      </c>
      <c r="G621" s="3">
        <v>311378</v>
      </c>
      <c r="H621" s="3">
        <f t="shared" si="18"/>
        <v>622756</v>
      </c>
      <c r="I621" s="5">
        <f>Table2[[#This Row],[Total Revenue]]*0.3</f>
        <v>186826.8</v>
      </c>
      <c r="J621" s="6">
        <f t="shared" si="19"/>
        <v>0.3</v>
      </c>
      <c r="K621" t="str">
        <f>VLOOKUP(Table2[[#This Row],[ProductID]],Products!$A$1:C625,2)</f>
        <v>Monitor</v>
      </c>
      <c r="L621" t="str">
        <f>VLOOKUP(D621,Products!$A$1:C625,3)</f>
        <v>Accessories</v>
      </c>
      <c r="M621" t="str">
        <f>VLOOKUP(Table2[[#This Row],[AgentID]],Sales_Agents!$A$1:C624,2)</f>
        <v>Zainab</v>
      </c>
      <c r="N621" t="str">
        <f>VLOOKUP(Table2[[#This Row],[AgentID]],Sales_Agents!$A$1:C624,3)</f>
        <v>North</v>
      </c>
    </row>
    <row r="622" spans="1:14" x14ac:dyDescent="0.25">
      <c r="A622">
        <v>621</v>
      </c>
      <c r="B622" s="1">
        <v>45380</v>
      </c>
      <c r="C622" s="8" t="str">
        <f>TEXT(Table2[[#This Row],[OrderDate]],"mmm")</f>
        <v>Mar</v>
      </c>
      <c r="D622">
        <v>2</v>
      </c>
      <c r="E622">
        <v>1</v>
      </c>
      <c r="F622">
        <v>20</v>
      </c>
      <c r="G622" s="3">
        <v>117187</v>
      </c>
      <c r="H622" s="3">
        <f t="shared" si="18"/>
        <v>2343740</v>
      </c>
      <c r="I622" s="5">
        <f>Table2[[#This Row],[Total Revenue]]*0.3</f>
        <v>703122</v>
      </c>
      <c r="J622" s="6">
        <f t="shared" si="19"/>
        <v>0.3</v>
      </c>
      <c r="K622" t="str">
        <f>VLOOKUP(Table2[[#This Row],[ProductID]],Products!$A$1:C626,2)</f>
        <v>Phone</v>
      </c>
      <c r="L622" t="str">
        <f>VLOOKUP(D622,Products!$A$1:C626,3)</f>
        <v>Electronics</v>
      </c>
      <c r="M622" t="str">
        <f>VLOOKUP(Table2[[#This Row],[AgentID]],Sales_Agents!$A$1:C625,2)</f>
        <v>Akin</v>
      </c>
      <c r="N622" t="str">
        <f>VLOOKUP(Table2[[#This Row],[AgentID]],Sales_Agents!$A$1:C625,3)</f>
        <v>West</v>
      </c>
    </row>
    <row r="623" spans="1:14" x14ac:dyDescent="0.25">
      <c r="A623">
        <v>622</v>
      </c>
      <c r="B623" s="1">
        <v>45605</v>
      </c>
      <c r="C623" s="8" t="str">
        <f>TEXT(Table2[[#This Row],[OrderDate]],"mmm")</f>
        <v>Nov</v>
      </c>
      <c r="D623">
        <v>4</v>
      </c>
      <c r="E623">
        <v>3</v>
      </c>
      <c r="F623">
        <v>18</v>
      </c>
      <c r="G623" s="3">
        <v>66303</v>
      </c>
      <c r="H623" s="3">
        <f t="shared" si="18"/>
        <v>1193454</v>
      </c>
      <c r="I623" s="5">
        <f>Table2[[#This Row],[Total Revenue]]*0.3</f>
        <v>358036.2</v>
      </c>
      <c r="J623" s="6">
        <f t="shared" si="19"/>
        <v>0.3</v>
      </c>
      <c r="K623" t="str">
        <f>VLOOKUP(Table2[[#This Row],[ProductID]],Products!$A$1:C627,2)</f>
        <v>Printer</v>
      </c>
      <c r="L623" t="str">
        <f>VLOOKUP(D623,Products!$A$1:C627,3)</f>
        <v>Accessories</v>
      </c>
      <c r="M623" t="str">
        <f>VLOOKUP(Table2[[#This Row],[AgentID]],Sales_Agents!$A$1:C626,2)</f>
        <v>Chinedu</v>
      </c>
      <c r="N623" t="str">
        <f>VLOOKUP(Table2[[#This Row],[AgentID]],Sales_Agents!$A$1:C626,3)</f>
        <v>South</v>
      </c>
    </row>
    <row r="624" spans="1:14" x14ac:dyDescent="0.25">
      <c r="A624">
        <v>623</v>
      </c>
      <c r="B624" s="1">
        <v>45653</v>
      </c>
      <c r="C624" s="8" t="str">
        <f>TEXT(Table2[[#This Row],[OrderDate]],"mmm")</f>
        <v>Dec</v>
      </c>
      <c r="D624">
        <v>1</v>
      </c>
      <c r="E624">
        <v>4</v>
      </c>
      <c r="F624">
        <v>1</v>
      </c>
      <c r="G624" s="3">
        <v>386830</v>
      </c>
      <c r="H624" s="3">
        <f t="shared" si="18"/>
        <v>386830</v>
      </c>
      <c r="I624" s="5">
        <f>Table2[[#This Row],[Total Revenue]]*0.3</f>
        <v>116049</v>
      </c>
      <c r="J624" s="6">
        <f t="shared" si="19"/>
        <v>0.3</v>
      </c>
      <c r="K624" t="str">
        <f>VLOOKUP(Table2[[#This Row],[ProductID]],Products!$A$1:C628,2)</f>
        <v>Laptop</v>
      </c>
      <c r="L624" t="str">
        <f>VLOOKUP(D624,Products!$A$1:C628,3)</f>
        <v>Electronics</v>
      </c>
      <c r="M624" t="str">
        <f>VLOOKUP(Table2[[#This Row],[AgentID]],Sales_Agents!$A$1:C627,2)</f>
        <v>Zainab</v>
      </c>
      <c r="N624" t="str">
        <f>VLOOKUP(Table2[[#This Row],[AgentID]],Sales_Agents!$A$1:C627,3)</f>
        <v>North</v>
      </c>
    </row>
    <row r="625" spans="1:14" x14ac:dyDescent="0.25">
      <c r="A625">
        <v>624</v>
      </c>
      <c r="B625" s="1">
        <v>45588</v>
      </c>
      <c r="C625" s="8" t="str">
        <f>TEXT(Table2[[#This Row],[OrderDate]],"mmm")</f>
        <v>Oct</v>
      </c>
      <c r="D625">
        <v>4</v>
      </c>
      <c r="E625">
        <v>2</v>
      </c>
      <c r="F625">
        <v>6</v>
      </c>
      <c r="G625" s="3">
        <v>185144</v>
      </c>
      <c r="H625" s="3">
        <f t="shared" si="18"/>
        <v>1110864</v>
      </c>
      <c r="I625" s="5">
        <f>Table2[[#This Row],[Total Revenue]]*0.3</f>
        <v>333259.2</v>
      </c>
      <c r="J625" s="6">
        <f t="shared" si="19"/>
        <v>0.3</v>
      </c>
      <c r="K625" t="str">
        <f>VLOOKUP(Table2[[#This Row],[ProductID]],Products!$A$1:C629,2)</f>
        <v>Printer</v>
      </c>
      <c r="L625" t="str">
        <f>VLOOKUP(D625,Products!$A$1:C629,3)</f>
        <v>Accessories</v>
      </c>
      <c r="M625" t="str">
        <f>VLOOKUP(Table2[[#This Row],[AgentID]],Sales_Agents!$A$1:C628,2)</f>
        <v>Blessing</v>
      </c>
      <c r="N625" t="str">
        <f>VLOOKUP(Table2[[#This Row],[AgentID]],Sales_Agents!$A$1:C628,3)</f>
        <v>East</v>
      </c>
    </row>
    <row r="626" spans="1:14" x14ac:dyDescent="0.25">
      <c r="A626">
        <v>625</v>
      </c>
      <c r="B626" s="1">
        <v>45331</v>
      </c>
      <c r="C626" s="8" t="str">
        <f>TEXT(Table2[[#This Row],[OrderDate]],"mmm")</f>
        <v>Feb</v>
      </c>
      <c r="D626">
        <v>5</v>
      </c>
      <c r="E626">
        <v>3</v>
      </c>
      <c r="F626">
        <v>12</v>
      </c>
      <c r="G626" s="3">
        <v>392356</v>
      </c>
      <c r="H626" s="3">
        <f t="shared" si="18"/>
        <v>4708272</v>
      </c>
      <c r="I626" s="5">
        <f>Table2[[#This Row],[Total Revenue]]*0.3</f>
        <v>1412481.5999999999</v>
      </c>
      <c r="J626" s="6">
        <f t="shared" si="19"/>
        <v>0.3</v>
      </c>
      <c r="K626" t="str">
        <f>VLOOKUP(Table2[[#This Row],[ProductID]],Products!$A$1:C630,2)</f>
        <v>Monitor</v>
      </c>
      <c r="L626" t="str">
        <f>VLOOKUP(D626,Products!$A$1:C630,3)</f>
        <v>Accessories</v>
      </c>
      <c r="M626" t="str">
        <f>VLOOKUP(Table2[[#This Row],[AgentID]],Sales_Agents!$A$1:C629,2)</f>
        <v>Chinedu</v>
      </c>
      <c r="N626" t="str">
        <f>VLOOKUP(Table2[[#This Row],[AgentID]],Sales_Agents!$A$1:C629,3)</f>
        <v>South</v>
      </c>
    </row>
    <row r="627" spans="1:14" x14ac:dyDescent="0.25">
      <c r="A627">
        <v>626</v>
      </c>
      <c r="B627" s="1">
        <v>45389</v>
      </c>
      <c r="C627" s="8" t="str">
        <f>TEXT(Table2[[#This Row],[OrderDate]],"mmm")</f>
        <v>Apr</v>
      </c>
      <c r="D627">
        <v>3</v>
      </c>
      <c r="E627">
        <v>2</v>
      </c>
      <c r="F627">
        <v>3</v>
      </c>
      <c r="G627" s="3">
        <v>292239</v>
      </c>
      <c r="H627" s="3">
        <f t="shared" si="18"/>
        <v>876717</v>
      </c>
      <c r="I627" s="5">
        <f>Table2[[#This Row],[Total Revenue]]*0.3</f>
        <v>263015.09999999998</v>
      </c>
      <c r="J627" s="6">
        <f t="shared" si="19"/>
        <v>0.3</v>
      </c>
      <c r="K627" t="str">
        <f>VLOOKUP(Table2[[#This Row],[ProductID]],Products!$A$1:C631,2)</f>
        <v>Tablet</v>
      </c>
      <c r="L627" t="str">
        <f>VLOOKUP(D627,Products!$A$1:C631,3)</f>
        <v>Electronics</v>
      </c>
      <c r="M627" t="str">
        <f>VLOOKUP(Table2[[#This Row],[AgentID]],Sales_Agents!$A$1:C630,2)</f>
        <v>Blessing</v>
      </c>
      <c r="N627" t="str">
        <f>VLOOKUP(Table2[[#This Row],[AgentID]],Sales_Agents!$A$1:C630,3)</f>
        <v>East</v>
      </c>
    </row>
    <row r="628" spans="1:14" x14ac:dyDescent="0.25">
      <c r="A628">
        <v>627</v>
      </c>
      <c r="B628" s="1">
        <v>45500</v>
      </c>
      <c r="C628" s="8" t="str">
        <f>TEXT(Table2[[#This Row],[OrderDate]],"mmm")</f>
        <v>Jul</v>
      </c>
      <c r="D628">
        <v>1</v>
      </c>
      <c r="E628">
        <v>3</v>
      </c>
      <c r="F628">
        <v>1</v>
      </c>
      <c r="G628" s="3">
        <v>51019</v>
      </c>
      <c r="H628" s="3">
        <f t="shared" si="18"/>
        <v>51019</v>
      </c>
      <c r="I628" s="5">
        <f>Table2[[#This Row],[Total Revenue]]*0.3</f>
        <v>15305.699999999999</v>
      </c>
      <c r="J628" s="6">
        <f t="shared" si="19"/>
        <v>0.3</v>
      </c>
      <c r="K628" t="str">
        <f>VLOOKUP(Table2[[#This Row],[ProductID]],Products!$A$1:C632,2)</f>
        <v>Laptop</v>
      </c>
      <c r="L628" t="str">
        <f>VLOOKUP(D628,Products!$A$1:C632,3)</f>
        <v>Electronics</v>
      </c>
      <c r="M628" t="str">
        <f>VLOOKUP(Table2[[#This Row],[AgentID]],Sales_Agents!$A$1:C631,2)</f>
        <v>Chinedu</v>
      </c>
      <c r="N628" t="str">
        <f>VLOOKUP(Table2[[#This Row],[AgentID]],Sales_Agents!$A$1:C631,3)</f>
        <v>South</v>
      </c>
    </row>
    <row r="629" spans="1:14" x14ac:dyDescent="0.25">
      <c r="A629">
        <v>628</v>
      </c>
      <c r="B629" s="1">
        <v>45444</v>
      </c>
      <c r="C629" s="8" t="str">
        <f>TEXT(Table2[[#This Row],[OrderDate]],"mmm")</f>
        <v>Jun</v>
      </c>
      <c r="D629">
        <v>5</v>
      </c>
      <c r="E629">
        <v>2</v>
      </c>
      <c r="F629">
        <v>18</v>
      </c>
      <c r="G629" s="3">
        <v>140111</v>
      </c>
      <c r="H629" s="3">
        <f t="shared" si="18"/>
        <v>2521998</v>
      </c>
      <c r="I629" s="5">
        <f>Table2[[#This Row],[Total Revenue]]*0.3</f>
        <v>756599.4</v>
      </c>
      <c r="J629" s="6">
        <f t="shared" si="19"/>
        <v>0.3</v>
      </c>
      <c r="K629" t="str">
        <f>VLOOKUP(Table2[[#This Row],[ProductID]],Products!$A$1:C633,2)</f>
        <v>Monitor</v>
      </c>
      <c r="L629" t="str">
        <f>VLOOKUP(D629,Products!$A$1:C633,3)</f>
        <v>Accessories</v>
      </c>
      <c r="M629" t="str">
        <f>VLOOKUP(Table2[[#This Row],[AgentID]],Sales_Agents!$A$1:C632,2)</f>
        <v>Blessing</v>
      </c>
      <c r="N629" t="str">
        <f>VLOOKUP(Table2[[#This Row],[AgentID]],Sales_Agents!$A$1:C632,3)</f>
        <v>East</v>
      </c>
    </row>
    <row r="630" spans="1:14" x14ac:dyDescent="0.25">
      <c r="A630">
        <v>629</v>
      </c>
      <c r="B630" s="1">
        <v>45609</v>
      </c>
      <c r="C630" s="8" t="str">
        <f>TEXT(Table2[[#This Row],[OrderDate]],"mmm")</f>
        <v>Nov</v>
      </c>
      <c r="D630">
        <v>2</v>
      </c>
      <c r="E630">
        <v>4</v>
      </c>
      <c r="F630">
        <v>13</v>
      </c>
      <c r="G630" s="3">
        <v>100473</v>
      </c>
      <c r="H630" s="3">
        <f t="shared" si="18"/>
        <v>1306149</v>
      </c>
      <c r="I630" s="5">
        <f>Table2[[#This Row],[Total Revenue]]*0.3</f>
        <v>391844.7</v>
      </c>
      <c r="J630" s="6">
        <f t="shared" si="19"/>
        <v>0.3</v>
      </c>
      <c r="K630" t="str">
        <f>VLOOKUP(Table2[[#This Row],[ProductID]],Products!$A$1:C634,2)</f>
        <v>Phone</v>
      </c>
      <c r="L630" t="str">
        <f>VLOOKUP(D630,Products!$A$1:C634,3)</f>
        <v>Electronics</v>
      </c>
      <c r="M630" t="str">
        <f>VLOOKUP(Table2[[#This Row],[AgentID]],Sales_Agents!$A$1:C633,2)</f>
        <v>Zainab</v>
      </c>
      <c r="N630" t="str">
        <f>VLOOKUP(Table2[[#This Row],[AgentID]],Sales_Agents!$A$1:C633,3)</f>
        <v>North</v>
      </c>
    </row>
    <row r="631" spans="1:14" x14ac:dyDescent="0.25">
      <c r="A631">
        <v>630</v>
      </c>
      <c r="B631" s="1">
        <v>45506</v>
      </c>
      <c r="C631" s="8" t="str">
        <f>TEXT(Table2[[#This Row],[OrderDate]],"mmm")</f>
        <v>Aug</v>
      </c>
      <c r="D631">
        <v>1</v>
      </c>
      <c r="E631">
        <v>2</v>
      </c>
      <c r="F631">
        <v>7</v>
      </c>
      <c r="G631" s="3">
        <v>126454</v>
      </c>
      <c r="H631" s="3">
        <f t="shared" si="18"/>
        <v>885178</v>
      </c>
      <c r="I631" s="5">
        <f>Table2[[#This Row],[Total Revenue]]*0.3</f>
        <v>265553.39999999997</v>
      </c>
      <c r="J631" s="6">
        <f t="shared" si="19"/>
        <v>0.29999999999999993</v>
      </c>
      <c r="K631" t="str">
        <f>VLOOKUP(Table2[[#This Row],[ProductID]],Products!$A$1:C635,2)</f>
        <v>Laptop</v>
      </c>
      <c r="L631" t="str">
        <f>VLOOKUP(D631,Products!$A$1:C635,3)</f>
        <v>Electronics</v>
      </c>
      <c r="M631" t="str">
        <f>VLOOKUP(Table2[[#This Row],[AgentID]],Sales_Agents!$A$1:C634,2)</f>
        <v>Blessing</v>
      </c>
      <c r="N631" t="str">
        <f>VLOOKUP(Table2[[#This Row],[AgentID]],Sales_Agents!$A$1:C634,3)</f>
        <v>East</v>
      </c>
    </row>
    <row r="632" spans="1:14" x14ac:dyDescent="0.25">
      <c r="A632">
        <v>631</v>
      </c>
      <c r="B632" s="1">
        <v>45546</v>
      </c>
      <c r="C632" s="8" t="str">
        <f>TEXT(Table2[[#This Row],[OrderDate]],"mmm")</f>
        <v>Sept</v>
      </c>
      <c r="D632">
        <v>1</v>
      </c>
      <c r="E632">
        <v>3</v>
      </c>
      <c r="F632">
        <v>10</v>
      </c>
      <c r="G632" s="3">
        <v>190213</v>
      </c>
      <c r="H632" s="3">
        <f t="shared" si="18"/>
        <v>1902130</v>
      </c>
      <c r="I632" s="5">
        <f>Table2[[#This Row],[Total Revenue]]*0.3</f>
        <v>570639</v>
      </c>
      <c r="J632" s="6">
        <f t="shared" si="19"/>
        <v>0.3</v>
      </c>
      <c r="K632" t="str">
        <f>VLOOKUP(Table2[[#This Row],[ProductID]],Products!$A$1:C636,2)</f>
        <v>Laptop</v>
      </c>
      <c r="L632" t="str">
        <f>VLOOKUP(D632,Products!$A$1:C636,3)</f>
        <v>Electronics</v>
      </c>
      <c r="M632" t="str">
        <f>VLOOKUP(Table2[[#This Row],[AgentID]],Sales_Agents!$A$1:C635,2)</f>
        <v>Chinedu</v>
      </c>
      <c r="N632" t="str">
        <f>VLOOKUP(Table2[[#This Row],[AgentID]],Sales_Agents!$A$1:C635,3)</f>
        <v>South</v>
      </c>
    </row>
    <row r="633" spans="1:14" x14ac:dyDescent="0.25">
      <c r="A633">
        <v>632</v>
      </c>
      <c r="B633" s="1">
        <v>45639</v>
      </c>
      <c r="C633" s="8" t="str">
        <f>TEXT(Table2[[#This Row],[OrderDate]],"mmm")</f>
        <v>Dec</v>
      </c>
      <c r="D633">
        <v>2</v>
      </c>
      <c r="E633">
        <v>4</v>
      </c>
      <c r="F633">
        <v>14</v>
      </c>
      <c r="G633" s="3">
        <v>299597</v>
      </c>
      <c r="H633" s="3">
        <f t="shared" si="18"/>
        <v>4194358</v>
      </c>
      <c r="I633" s="5">
        <f>Table2[[#This Row],[Total Revenue]]*0.3</f>
        <v>1258307.3999999999</v>
      </c>
      <c r="J633" s="6">
        <f t="shared" si="19"/>
        <v>0.3</v>
      </c>
      <c r="K633" t="str">
        <f>VLOOKUP(Table2[[#This Row],[ProductID]],Products!$A$1:C637,2)</f>
        <v>Phone</v>
      </c>
      <c r="L633" t="str">
        <f>VLOOKUP(D633,Products!$A$1:C637,3)</f>
        <v>Electronics</v>
      </c>
      <c r="M633" t="str">
        <f>VLOOKUP(Table2[[#This Row],[AgentID]],Sales_Agents!$A$1:C636,2)</f>
        <v>Zainab</v>
      </c>
      <c r="N633" t="str">
        <f>VLOOKUP(Table2[[#This Row],[AgentID]],Sales_Agents!$A$1:C636,3)</f>
        <v>North</v>
      </c>
    </row>
    <row r="634" spans="1:14" x14ac:dyDescent="0.25">
      <c r="A634">
        <v>633</v>
      </c>
      <c r="B634" s="1">
        <v>45644</v>
      </c>
      <c r="C634" s="8" t="str">
        <f>TEXT(Table2[[#This Row],[OrderDate]],"mmm")</f>
        <v>Dec</v>
      </c>
      <c r="D634">
        <v>2</v>
      </c>
      <c r="E634">
        <v>1</v>
      </c>
      <c r="F634">
        <v>8</v>
      </c>
      <c r="G634" s="3">
        <v>139220</v>
      </c>
      <c r="H634" s="3">
        <f t="shared" si="18"/>
        <v>1113760</v>
      </c>
      <c r="I634" s="5">
        <f>Table2[[#This Row],[Total Revenue]]*0.3</f>
        <v>334128</v>
      </c>
      <c r="J634" s="6">
        <f t="shared" si="19"/>
        <v>0.3</v>
      </c>
      <c r="K634" t="str">
        <f>VLOOKUP(Table2[[#This Row],[ProductID]],Products!$A$1:C638,2)</f>
        <v>Phone</v>
      </c>
      <c r="L634" t="str">
        <f>VLOOKUP(D634,Products!$A$1:C638,3)</f>
        <v>Electronics</v>
      </c>
      <c r="M634" t="str">
        <f>VLOOKUP(Table2[[#This Row],[AgentID]],Sales_Agents!$A$1:C637,2)</f>
        <v>Akin</v>
      </c>
      <c r="N634" t="str">
        <f>VLOOKUP(Table2[[#This Row],[AgentID]],Sales_Agents!$A$1:C637,3)</f>
        <v>West</v>
      </c>
    </row>
    <row r="635" spans="1:14" x14ac:dyDescent="0.25">
      <c r="A635">
        <v>634</v>
      </c>
      <c r="B635" s="1">
        <v>45341</v>
      </c>
      <c r="C635" s="8" t="str">
        <f>TEXT(Table2[[#This Row],[OrderDate]],"mmm")</f>
        <v>Feb</v>
      </c>
      <c r="D635">
        <v>3</v>
      </c>
      <c r="E635">
        <v>4</v>
      </c>
      <c r="F635">
        <v>6</v>
      </c>
      <c r="G635" s="3">
        <v>192276</v>
      </c>
      <c r="H635" s="3">
        <f t="shared" si="18"/>
        <v>1153656</v>
      </c>
      <c r="I635" s="5">
        <f>Table2[[#This Row],[Total Revenue]]*0.3</f>
        <v>346096.8</v>
      </c>
      <c r="J635" s="6">
        <f t="shared" si="19"/>
        <v>0.3</v>
      </c>
      <c r="K635" t="str">
        <f>VLOOKUP(Table2[[#This Row],[ProductID]],Products!$A$1:C639,2)</f>
        <v>Tablet</v>
      </c>
      <c r="L635" t="str">
        <f>VLOOKUP(D635,Products!$A$1:C639,3)</f>
        <v>Electronics</v>
      </c>
      <c r="M635" t="str">
        <f>VLOOKUP(Table2[[#This Row],[AgentID]],Sales_Agents!$A$1:C638,2)</f>
        <v>Zainab</v>
      </c>
      <c r="N635" t="str">
        <f>VLOOKUP(Table2[[#This Row],[AgentID]],Sales_Agents!$A$1:C638,3)</f>
        <v>North</v>
      </c>
    </row>
    <row r="636" spans="1:14" x14ac:dyDescent="0.25">
      <c r="A636">
        <v>635</v>
      </c>
      <c r="B636" s="1">
        <v>45428</v>
      </c>
      <c r="C636" s="8" t="str">
        <f>TEXT(Table2[[#This Row],[OrderDate]],"mmm")</f>
        <v>May</v>
      </c>
      <c r="D636">
        <v>1</v>
      </c>
      <c r="E636">
        <v>4</v>
      </c>
      <c r="F636">
        <v>5</v>
      </c>
      <c r="G636" s="3">
        <v>312220</v>
      </c>
      <c r="H636" s="3">
        <f t="shared" si="18"/>
        <v>1561100</v>
      </c>
      <c r="I636" s="5">
        <f>Table2[[#This Row],[Total Revenue]]*0.3</f>
        <v>468330</v>
      </c>
      <c r="J636" s="6">
        <f t="shared" si="19"/>
        <v>0.3</v>
      </c>
      <c r="K636" t="str">
        <f>VLOOKUP(Table2[[#This Row],[ProductID]],Products!$A$1:C640,2)</f>
        <v>Laptop</v>
      </c>
      <c r="L636" t="str">
        <f>VLOOKUP(D636,Products!$A$1:C640,3)</f>
        <v>Electronics</v>
      </c>
      <c r="M636" t="str">
        <f>VLOOKUP(Table2[[#This Row],[AgentID]],Sales_Agents!$A$1:C639,2)</f>
        <v>Zainab</v>
      </c>
      <c r="N636" t="str">
        <f>VLOOKUP(Table2[[#This Row],[AgentID]],Sales_Agents!$A$1:C639,3)</f>
        <v>North</v>
      </c>
    </row>
    <row r="637" spans="1:14" x14ac:dyDescent="0.25">
      <c r="A637">
        <v>636</v>
      </c>
      <c r="B637" s="1">
        <v>45314</v>
      </c>
      <c r="C637" s="8" t="str">
        <f>TEXT(Table2[[#This Row],[OrderDate]],"mmm")</f>
        <v>Jan</v>
      </c>
      <c r="D637">
        <v>3</v>
      </c>
      <c r="E637">
        <v>3</v>
      </c>
      <c r="F637">
        <v>13</v>
      </c>
      <c r="G637" s="3">
        <v>111582</v>
      </c>
      <c r="H637" s="3">
        <f t="shared" si="18"/>
        <v>1450566</v>
      </c>
      <c r="I637" s="5">
        <f>Table2[[#This Row],[Total Revenue]]*0.3</f>
        <v>435169.8</v>
      </c>
      <c r="J637" s="6">
        <f t="shared" si="19"/>
        <v>0.3</v>
      </c>
      <c r="K637" t="str">
        <f>VLOOKUP(Table2[[#This Row],[ProductID]],Products!$A$1:C641,2)</f>
        <v>Tablet</v>
      </c>
      <c r="L637" t="str">
        <f>VLOOKUP(D637,Products!$A$1:C641,3)</f>
        <v>Electronics</v>
      </c>
      <c r="M637" t="str">
        <f>VLOOKUP(Table2[[#This Row],[AgentID]],Sales_Agents!$A$1:C640,2)</f>
        <v>Chinedu</v>
      </c>
      <c r="N637" t="str">
        <f>VLOOKUP(Table2[[#This Row],[AgentID]],Sales_Agents!$A$1:C640,3)</f>
        <v>South</v>
      </c>
    </row>
    <row r="638" spans="1:14" x14ac:dyDescent="0.25">
      <c r="A638">
        <v>637</v>
      </c>
      <c r="B638" s="1">
        <v>45322</v>
      </c>
      <c r="C638" s="8" t="str">
        <f>TEXT(Table2[[#This Row],[OrderDate]],"mmm")</f>
        <v>Jan</v>
      </c>
      <c r="D638">
        <v>2</v>
      </c>
      <c r="E638">
        <v>1</v>
      </c>
      <c r="F638">
        <v>10</v>
      </c>
      <c r="G638" s="3">
        <v>240516</v>
      </c>
      <c r="H638" s="3">
        <f t="shared" si="18"/>
        <v>2405160</v>
      </c>
      <c r="I638" s="5">
        <f>Table2[[#This Row],[Total Revenue]]*0.3</f>
        <v>721548</v>
      </c>
      <c r="J638" s="6">
        <f t="shared" si="19"/>
        <v>0.3</v>
      </c>
      <c r="K638" t="str">
        <f>VLOOKUP(Table2[[#This Row],[ProductID]],Products!$A$1:C642,2)</f>
        <v>Phone</v>
      </c>
      <c r="L638" t="str">
        <f>VLOOKUP(D638,Products!$A$1:C642,3)</f>
        <v>Electronics</v>
      </c>
      <c r="M638" t="str">
        <f>VLOOKUP(Table2[[#This Row],[AgentID]],Sales_Agents!$A$1:C641,2)</f>
        <v>Akin</v>
      </c>
      <c r="N638" t="str">
        <f>VLOOKUP(Table2[[#This Row],[AgentID]],Sales_Agents!$A$1:C641,3)</f>
        <v>West</v>
      </c>
    </row>
    <row r="639" spans="1:14" x14ac:dyDescent="0.25">
      <c r="A639">
        <v>638</v>
      </c>
      <c r="B639" s="1">
        <v>45317</v>
      </c>
      <c r="C639" s="8" t="str">
        <f>TEXT(Table2[[#This Row],[OrderDate]],"mmm")</f>
        <v>Jan</v>
      </c>
      <c r="D639">
        <v>2</v>
      </c>
      <c r="E639">
        <v>1</v>
      </c>
      <c r="F639">
        <v>9</v>
      </c>
      <c r="G639" s="3">
        <v>251759</v>
      </c>
      <c r="H639" s="3">
        <f t="shared" si="18"/>
        <v>2265831</v>
      </c>
      <c r="I639" s="5">
        <f>Table2[[#This Row],[Total Revenue]]*0.3</f>
        <v>679749.29999999993</v>
      </c>
      <c r="J639" s="6">
        <f t="shared" si="19"/>
        <v>0.3</v>
      </c>
      <c r="K639" t="str">
        <f>VLOOKUP(Table2[[#This Row],[ProductID]],Products!$A$1:C643,2)</f>
        <v>Phone</v>
      </c>
      <c r="L639" t="str">
        <f>VLOOKUP(D639,Products!$A$1:C643,3)</f>
        <v>Electronics</v>
      </c>
      <c r="M639" t="str">
        <f>VLOOKUP(Table2[[#This Row],[AgentID]],Sales_Agents!$A$1:C642,2)</f>
        <v>Akin</v>
      </c>
      <c r="N639" t="str">
        <f>VLOOKUP(Table2[[#This Row],[AgentID]],Sales_Agents!$A$1:C642,3)</f>
        <v>West</v>
      </c>
    </row>
    <row r="640" spans="1:14" x14ac:dyDescent="0.25">
      <c r="A640">
        <v>639</v>
      </c>
      <c r="B640" s="1">
        <v>45585</v>
      </c>
      <c r="C640" s="8" t="str">
        <f>TEXT(Table2[[#This Row],[OrderDate]],"mmm")</f>
        <v>Oct</v>
      </c>
      <c r="D640">
        <v>1</v>
      </c>
      <c r="E640">
        <v>2</v>
      </c>
      <c r="F640">
        <v>3</v>
      </c>
      <c r="G640" s="3">
        <v>294044</v>
      </c>
      <c r="H640" s="3">
        <f t="shared" si="18"/>
        <v>882132</v>
      </c>
      <c r="I640" s="5">
        <f>Table2[[#This Row],[Total Revenue]]*0.3</f>
        <v>264639.59999999998</v>
      </c>
      <c r="J640" s="6">
        <f t="shared" si="19"/>
        <v>0.3</v>
      </c>
      <c r="K640" t="str">
        <f>VLOOKUP(Table2[[#This Row],[ProductID]],Products!$A$1:C644,2)</f>
        <v>Laptop</v>
      </c>
      <c r="L640" t="str">
        <f>VLOOKUP(D640,Products!$A$1:C644,3)</f>
        <v>Electronics</v>
      </c>
      <c r="M640" t="str">
        <f>VLOOKUP(Table2[[#This Row],[AgentID]],Sales_Agents!$A$1:C643,2)</f>
        <v>Blessing</v>
      </c>
      <c r="N640" t="str">
        <f>VLOOKUP(Table2[[#This Row],[AgentID]],Sales_Agents!$A$1:C643,3)</f>
        <v>East</v>
      </c>
    </row>
    <row r="641" spans="1:14" x14ac:dyDescent="0.25">
      <c r="A641">
        <v>640</v>
      </c>
      <c r="B641" s="1">
        <v>45575</v>
      </c>
      <c r="C641" s="8" t="str">
        <f>TEXT(Table2[[#This Row],[OrderDate]],"mmm")</f>
        <v>Oct</v>
      </c>
      <c r="D641">
        <v>5</v>
      </c>
      <c r="E641">
        <v>2</v>
      </c>
      <c r="F641">
        <v>17</v>
      </c>
      <c r="G641" s="3">
        <v>328956</v>
      </c>
      <c r="H641" s="3">
        <f t="shared" si="18"/>
        <v>5592252</v>
      </c>
      <c r="I641" s="5">
        <f>Table2[[#This Row],[Total Revenue]]*0.3</f>
        <v>1677675.5999999999</v>
      </c>
      <c r="J641" s="6">
        <f t="shared" si="19"/>
        <v>0.3</v>
      </c>
      <c r="K641" t="str">
        <f>VLOOKUP(Table2[[#This Row],[ProductID]],Products!$A$1:C645,2)</f>
        <v>Monitor</v>
      </c>
      <c r="L641" t="str">
        <f>VLOOKUP(D641,Products!$A$1:C645,3)</f>
        <v>Accessories</v>
      </c>
      <c r="M641" t="str">
        <f>VLOOKUP(Table2[[#This Row],[AgentID]],Sales_Agents!$A$1:C644,2)</f>
        <v>Blessing</v>
      </c>
      <c r="N641" t="str">
        <f>VLOOKUP(Table2[[#This Row],[AgentID]],Sales_Agents!$A$1:C644,3)</f>
        <v>East</v>
      </c>
    </row>
    <row r="642" spans="1:14" x14ac:dyDescent="0.25">
      <c r="A642">
        <v>641</v>
      </c>
      <c r="B642" s="1">
        <v>45358</v>
      </c>
      <c r="C642" s="8" t="str">
        <f>TEXT(Table2[[#This Row],[OrderDate]],"mmm")</f>
        <v>Mar</v>
      </c>
      <c r="D642">
        <v>1</v>
      </c>
      <c r="E642">
        <v>2</v>
      </c>
      <c r="F642">
        <v>1</v>
      </c>
      <c r="G642" s="3">
        <v>363343</v>
      </c>
      <c r="H642" s="3">
        <f t="shared" ref="H642:H705" si="20">G642*F642</f>
        <v>363343</v>
      </c>
      <c r="I642" s="5">
        <f>Table2[[#This Row],[Total Revenue]]*0.3</f>
        <v>109002.9</v>
      </c>
      <c r="J642" s="6">
        <f t="shared" ref="J642:J705" si="21">I642/H642</f>
        <v>0.3</v>
      </c>
      <c r="K642" t="str">
        <f>VLOOKUP(Table2[[#This Row],[ProductID]],Products!$A$1:C646,2)</f>
        <v>Laptop</v>
      </c>
      <c r="L642" t="str">
        <f>VLOOKUP(D642,Products!$A$1:C646,3)</f>
        <v>Electronics</v>
      </c>
      <c r="M642" t="str">
        <f>VLOOKUP(Table2[[#This Row],[AgentID]],Sales_Agents!$A$1:C645,2)</f>
        <v>Blessing</v>
      </c>
      <c r="N642" t="str">
        <f>VLOOKUP(Table2[[#This Row],[AgentID]],Sales_Agents!$A$1:C645,3)</f>
        <v>East</v>
      </c>
    </row>
    <row r="643" spans="1:14" x14ac:dyDescent="0.25">
      <c r="A643">
        <v>642</v>
      </c>
      <c r="B643" s="1">
        <v>45551</v>
      </c>
      <c r="C643" s="8" t="str">
        <f>TEXT(Table2[[#This Row],[OrderDate]],"mmm")</f>
        <v>Sept</v>
      </c>
      <c r="D643">
        <v>3</v>
      </c>
      <c r="E643">
        <v>4</v>
      </c>
      <c r="F643">
        <v>19</v>
      </c>
      <c r="G643" s="3">
        <v>144090</v>
      </c>
      <c r="H643" s="3">
        <f t="shared" si="20"/>
        <v>2737710</v>
      </c>
      <c r="I643" s="5">
        <f>Table2[[#This Row],[Total Revenue]]*0.3</f>
        <v>821313</v>
      </c>
      <c r="J643" s="6">
        <f t="shared" si="21"/>
        <v>0.3</v>
      </c>
      <c r="K643" t="str">
        <f>VLOOKUP(Table2[[#This Row],[ProductID]],Products!$A$1:C647,2)</f>
        <v>Tablet</v>
      </c>
      <c r="L643" t="str">
        <f>VLOOKUP(D643,Products!$A$1:C647,3)</f>
        <v>Electronics</v>
      </c>
      <c r="M643" t="str">
        <f>VLOOKUP(Table2[[#This Row],[AgentID]],Sales_Agents!$A$1:C646,2)</f>
        <v>Zainab</v>
      </c>
      <c r="N643" t="str">
        <f>VLOOKUP(Table2[[#This Row],[AgentID]],Sales_Agents!$A$1:C646,3)</f>
        <v>North</v>
      </c>
    </row>
    <row r="644" spans="1:14" x14ac:dyDescent="0.25">
      <c r="A644">
        <v>643</v>
      </c>
      <c r="B644" s="1">
        <v>45313</v>
      </c>
      <c r="C644" s="8" t="str">
        <f>TEXT(Table2[[#This Row],[OrderDate]],"mmm")</f>
        <v>Jan</v>
      </c>
      <c r="D644">
        <v>4</v>
      </c>
      <c r="E644">
        <v>2</v>
      </c>
      <c r="F644">
        <v>7</v>
      </c>
      <c r="G644" s="3">
        <v>289672</v>
      </c>
      <c r="H644" s="3">
        <f t="shared" si="20"/>
        <v>2027704</v>
      </c>
      <c r="I644" s="5">
        <f>Table2[[#This Row],[Total Revenue]]*0.3</f>
        <v>608311.19999999995</v>
      </c>
      <c r="J644" s="6">
        <f t="shared" si="21"/>
        <v>0.3</v>
      </c>
      <c r="K644" t="str">
        <f>VLOOKUP(Table2[[#This Row],[ProductID]],Products!$A$1:C648,2)</f>
        <v>Printer</v>
      </c>
      <c r="L644" t="str">
        <f>VLOOKUP(D644,Products!$A$1:C648,3)</f>
        <v>Accessories</v>
      </c>
      <c r="M644" t="str">
        <f>VLOOKUP(Table2[[#This Row],[AgentID]],Sales_Agents!$A$1:C647,2)</f>
        <v>Blessing</v>
      </c>
      <c r="N644" t="str">
        <f>VLOOKUP(Table2[[#This Row],[AgentID]],Sales_Agents!$A$1:C647,3)</f>
        <v>East</v>
      </c>
    </row>
    <row r="645" spans="1:14" x14ac:dyDescent="0.25">
      <c r="A645">
        <v>644</v>
      </c>
      <c r="B645" s="1">
        <v>45340</v>
      </c>
      <c r="C645" s="8" t="str">
        <f>TEXT(Table2[[#This Row],[OrderDate]],"mmm")</f>
        <v>Feb</v>
      </c>
      <c r="D645">
        <v>4</v>
      </c>
      <c r="E645">
        <v>2</v>
      </c>
      <c r="F645">
        <v>9</v>
      </c>
      <c r="G645" s="3">
        <v>54294</v>
      </c>
      <c r="H645" s="3">
        <f t="shared" si="20"/>
        <v>488646</v>
      </c>
      <c r="I645" s="5">
        <f>Table2[[#This Row],[Total Revenue]]*0.3</f>
        <v>146593.79999999999</v>
      </c>
      <c r="J645" s="6">
        <f t="shared" si="21"/>
        <v>0.3</v>
      </c>
      <c r="K645" t="str">
        <f>VLOOKUP(Table2[[#This Row],[ProductID]],Products!$A$1:C649,2)</f>
        <v>Printer</v>
      </c>
      <c r="L645" t="str">
        <f>VLOOKUP(D645,Products!$A$1:C649,3)</f>
        <v>Accessories</v>
      </c>
      <c r="M645" t="str">
        <f>VLOOKUP(Table2[[#This Row],[AgentID]],Sales_Agents!$A$1:C648,2)</f>
        <v>Blessing</v>
      </c>
      <c r="N645" t="str">
        <f>VLOOKUP(Table2[[#This Row],[AgentID]],Sales_Agents!$A$1:C648,3)</f>
        <v>East</v>
      </c>
    </row>
    <row r="646" spans="1:14" x14ac:dyDescent="0.25">
      <c r="A646">
        <v>645</v>
      </c>
      <c r="B646" s="1">
        <v>45361</v>
      </c>
      <c r="C646" s="8" t="str">
        <f>TEXT(Table2[[#This Row],[OrderDate]],"mmm")</f>
        <v>Mar</v>
      </c>
      <c r="D646">
        <v>4</v>
      </c>
      <c r="E646">
        <v>1</v>
      </c>
      <c r="F646">
        <v>9</v>
      </c>
      <c r="G646" s="3">
        <v>329145</v>
      </c>
      <c r="H646" s="3">
        <f t="shared" si="20"/>
        <v>2962305</v>
      </c>
      <c r="I646" s="5">
        <f>Table2[[#This Row],[Total Revenue]]*0.3</f>
        <v>888691.5</v>
      </c>
      <c r="J646" s="6">
        <f t="shared" si="21"/>
        <v>0.3</v>
      </c>
      <c r="K646" t="str">
        <f>VLOOKUP(Table2[[#This Row],[ProductID]],Products!$A$1:C650,2)</f>
        <v>Printer</v>
      </c>
      <c r="L646" t="str">
        <f>VLOOKUP(D646,Products!$A$1:C650,3)</f>
        <v>Accessories</v>
      </c>
      <c r="M646" t="str">
        <f>VLOOKUP(Table2[[#This Row],[AgentID]],Sales_Agents!$A$1:C649,2)</f>
        <v>Akin</v>
      </c>
      <c r="N646" t="str">
        <f>VLOOKUP(Table2[[#This Row],[AgentID]],Sales_Agents!$A$1:C649,3)</f>
        <v>West</v>
      </c>
    </row>
    <row r="647" spans="1:14" x14ac:dyDescent="0.25">
      <c r="A647">
        <v>646</v>
      </c>
      <c r="B647" s="1">
        <v>45582</v>
      </c>
      <c r="C647" s="8" t="str">
        <f>TEXT(Table2[[#This Row],[OrderDate]],"mmm")</f>
        <v>Oct</v>
      </c>
      <c r="D647">
        <v>3</v>
      </c>
      <c r="E647">
        <v>2</v>
      </c>
      <c r="F647">
        <v>15</v>
      </c>
      <c r="G647" s="3">
        <v>193152</v>
      </c>
      <c r="H647" s="3">
        <f t="shared" si="20"/>
        <v>2897280</v>
      </c>
      <c r="I647" s="5">
        <f>Table2[[#This Row],[Total Revenue]]*0.3</f>
        <v>869184</v>
      </c>
      <c r="J647" s="6">
        <f t="shared" si="21"/>
        <v>0.3</v>
      </c>
      <c r="K647" t="str">
        <f>VLOOKUP(Table2[[#This Row],[ProductID]],Products!$A$1:C651,2)</f>
        <v>Tablet</v>
      </c>
      <c r="L647" t="str">
        <f>VLOOKUP(D647,Products!$A$1:C651,3)</f>
        <v>Electronics</v>
      </c>
      <c r="M647" t="str">
        <f>VLOOKUP(Table2[[#This Row],[AgentID]],Sales_Agents!$A$1:C650,2)</f>
        <v>Blessing</v>
      </c>
      <c r="N647" t="str">
        <f>VLOOKUP(Table2[[#This Row],[AgentID]],Sales_Agents!$A$1:C650,3)</f>
        <v>East</v>
      </c>
    </row>
    <row r="648" spans="1:14" x14ac:dyDescent="0.25">
      <c r="A648">
        <v>647</v>
      </c>
      <c r="B648" s="1">
        <v>45403</v>
      </c>
      <c r="C648" s="8" t="str">
        <f>TEXT(Table2[[#This Row],[OrderDate]],"mmm")</f>
        <v>Apr</v>
      </c>
      <c r="D648">
        <v>1</v>
      </c>
      <c r="E648">
        <v>1</v>
      </c>
      <c r="F648">
        <v>11</v>
      </c>
      <c r="G648" s="3">
        <v>282850</v>
      </c>
      <c r="H648" s="3">
        <f t="shared" si="20"/>
        <v>3111350</v>
      </c>
      <c r="I648" s="5">
        <f>Table2[[#This Row],[Total Revenue]]*0.3</f>
        <v>933405</v>
      </c>
      <c r="J648" s="6">
        <f t="shared" si="21"/>
        <v>0.3</v>
      </c>
      <c r="K648" t="str">
        <f>VLOOKUP(Table2[[#This Row],[ProductID]],Products!$A$1:C652,2)</f>
        <v>Laptop</v>
      </c>
      <c r="L648" t="str">
        <f>VLOOKUP(D648,Products!$A$1:C652,3)</f>
        <v>Electronics</v>
      </c>
      <c r="M648" t="str">
        <f>VLOOKUP(Table2[[#This Row],[AgentID]],Sales_Agents!$A$1:C651,2)</f>
        <v>Akin</v>
      </c>
      <c r="N648" t="str">
        <f>VLOOKUP(Table2[[#This Row],[AgentID]],Sales_Agents!$A$1:C651,3)</f>
        <v>West</v>
      </c>
    </row>
    <row r="649" spans="1:14" x14ac:dyDescent="0.25">
      <c r="A649">
        <v>648</v>
      </c>
      <c r="B649" s="1">
        <v>45639</v>
      </c>
      <c r="C649" s="8" t="str">
        <f>TEXT(Table2[[#This Row],[OrderDate]],"mmm")</f>
        <v>Dec</v>
      </c>
      <c r="D649">
        <v>3</v>
      </c>
      <c r="E649">
        <v>3</v>
      </c>
      <c r="F649">
        <v>7</v>
      </c>
      <c r="G649" s="3">
        <v>90064</v>
      </c>
      <c r="H649" s="3">
        <f t="shared" si="20"/>
        <v>630448</v>
      </c>
      <c r="I649" s="5">
        <f>Table2[[#This Row],[Total Revenue]]*0.3</f>
        <v>189134.4</v>
      </c>
      <c r="J649" s="6">
        <f t="shared" si="21"/>
        <v>0.3</v>
      </c>
      <c r="K649" t="str">
        <f>VLOOKUP(Table2[[#This Row],[ProductID]],Products!$A$1:C653,2)</f>
        <v>Tablet</v>
      </c>
      <c r="L649" t="str">
        <f>VLOOKUP(D649,Products!$A$1:C653,3)</f>
        <v>Electronics</v>
      </c>
      <c r="M649" t="str">
        <f>VLOOKUP(Table2[[#This Row],[AgentID]],Sales_Agents!$A$1:C652,2)</f>
        <v>Chinedu</v>
      </c>
      <c r="N649" t="str">
        <f>VLOOKUP(Table2[[#This Row],[AgentID]],Sales_Agents!$A$1:C652,3)</f>
        <v>South</v>
      </c>
    </row>
    <row r="650" spans="1:14" x14ac:dyDescent="0.25">
      <c r="A650">
        <v>649</v>
      </c>
      <c r="B650" s="1">
        <v>45321</v>
      </c>
      <c r="C650" s="8" t="str">
        <f>TEXT(Table2[[#This Row],[OrderDate]],"mmm")</f>
        <v>Jan</v>
      </c>
      <c r="D650">
        <v>1</v>
      </c>
      <c r="E650">
        <v>1</v>
      </c>
      <c r="F650">
        <v>20</v>
      </c>
      <c r="G650" s="3">
        <v>212392</v>
      </c>
      <c r="H650" s="3">
        <f t="shared" si="20"/>
        <v>4247840</v>
      </c>
      <c r="I650" s="5">
        <f>Table2[[#This Row],[Total Revenue]]*0.3</f>
        <v>1274352</v>
      </c>
      <c r="J650" s="6">
        <f t="shared" si="21"/>
        <v>0.3</v>
      </c>
      <c r="K650" t="str">
        <f>VLOOKUP(Table2[[#This Row],[ProductID]],Products!$A$1:C654,2)</f>
        <v>Laptop</v>
      </c>
      <c r="L650" t="str">
        <f>VLOOKUP(D650,Products!$A$1:C654,3)</f>
        <v>Electronics</v>
      </c>
      <c r="M650" t="str">
        <f>VLOOKUP(Table2[[#This Row],[AgentID]],Sales_Agents!$A$1:C653,2)</f>
        <v>Akin</v>
      </c>
      <c r="N650" t="str">
        <f>VLOOKUP(Table2[[#This Row],[AgentID]],Sales_Agents!$A$1:C653,3)</f>
        <v>West</v>
      </c>
    </row>
    <row r="651" spans="1:14" x14ac:dyDescent="0.25">
      <c r="A651">
        <v>650</v>
      </c>
      <c r="B651" s="1">
        <v>45325</v>
      </c>
      <c r="C651" s="8" t="str">
        <f>TEXT(Table2[[#This Row],[OrderDate]],"mmm")</f>
        <v>Feb</v>
      </c>
      <c r="D651">
        <v>1</v>
      </c>
      <c r="E651">
        <v>3</v>
      </c>
      <c r="F651">
        <v>5</v>
      </c>
      <c r="G651" s="3">
        <v>215988</v>
      </c>
      <c r="H651" s="3">
        <f t="shared" si="20"/>
        <v>1079940</v>
      </c>
      <c r="I651" s="5">
        <f>Table2[[#This Row],[Total Revenue]]*0.3</f>
        <v>323982</v>
      </c>
      <c r="J651" s="6">
        <f t="shared" si="21"/>
        <v>0.3</v>
      </c>
      <c r="K651" t="str">
        <f>VLOOKUP(Table2[[#This Row],[ProductID]],Products!$A$1:C655,2)</f>
        <v>Laptop</v>
      </c>
      <c r="L651" t="str">
        <f>VLOOKUP(D651,Products!$A$1:C655,3)</f>
        <v>Electronics</v>
      </c>
      <c r="M651" t="str">
        <f>VLOOKUP(Table2[[#This Row],[AgentID]],Sales_Agents!$A$1:C654,2)</f>
        <v>Chinedu</v>
      </c>
      <c r="N651" t="str">
        <f>VLOOKUP(Table2[[#This Row],[AgentID]],Sales_Agents!$A$1:C654,3)</f>
        <v>South</v>
      </c>
    </row>
    <row r="652" spans="1:14" x14ac:dyDescent="0.25">
      <c r="A652">
        <v>651</v>
      </c>
      <c r="B652" s="1">
        <v>45404</v>
      </c>
      <c r="C652" s="8" t="str">
        <f>TEXT(Table2[[#This Row],[OrderDate]],"mmm")</f>
        <v>Apr</v>
      </c>
      <c r="D652">
        <v>2</v>
      </c>
      <c r="E652">
        <v>1</v>
      </c>
      <c r="F652">
        <v>8</v>
      </c>
      <c r="G652" s="3">
        <v>324084</v>
      </c>
      <c r="H652" s="3">
        <f t="shared" si="20"/>
        <v>2592672</v>
      </c>
      <c r="I652" s="5">
        <f>Table2[[#This Row],[Total Revenue]]*0.3</f>
        <v>777801.6</v>
      </c>
      <c r="J652" s="6">
        <f t="shared" si="21"/>
        <v>0.3</v>
      </c>
      <c r="K652" t="str">
        <f>VLOOKUP(Table2[[#This Row],[ProductID]],Products!$A$1:C656,2)</f>
        <v>Phone</v>
      </c>
      <c r="L652" t="str">
        <f>VLOOKUP(D652,Products!$A$1:C656,3)</f>
        <v>Electronics</v>
      </c>
      <c r="M652" t="str">
        <f>VLOOKUP(Table2[[#This Row],[AgentID]],Sales_Agents!$A$1:C655,2)</f>
        <v>Akin</v>
      </c>
      <c r="N652" t="str">
        <f>VLOOKUP(Table2[[#This Row],[AgentID]],Sales_Agents!$A$1:C655,3)</f>
        <v>West</v>
      </c>
    </row>
    <row r="653" spans="1:14" x14ac:dyDescent="0.25">
      <c r="A653">
        <v>652</v>
      </c>
      <c r="B653" s="1">
        <v>45448</v>
      </c>
      <c r="C653" s="8" t="str">
        <f>TEXT(Table2[[#This Row],[OrderDate]],"mmm")</f>
        <v>Jun</v>
      </c>
      <c r="D653">
        <v>2</v>
      </c>
      <c r="E653">
        <v>4</v>
      </c>
      <c r="F653">
        <v>17</v>
      </c>
      <c r="G653" s="3">
        <v>214051</v>
      </c>
      <c r="H653" s="3">
        <f t="shared" si="20"/>
        <v>3638867</v>
      </c>
      <c r="I653" s="5">
        <f>Table2[[#This Row],[Total Revenue]]*0.3</f>
        <v>1091660.0999999999</v>
      </c>
      <c r="J653" s="6">
        <f t="shared" si="21"/>
        <v>0.3</v>
      </c>
      <c r="K653" t="str">
        <f>VLOOKUP(Table2[[#This Row],[ProductID]],Products!$A$1:C657,2)</f>
        <v>Phone</v>
      </c>
      <c r="L653" t="str">
        <f>VLOOKUP(D653,Products!$A$1:C657,3)</f>
        <v>Electronics</v>
      </c>
      <c r="M653" t="str">
        <f>VLOOKUP(Table2[[#This Row],[AgentID]],Sales_Agents!$A$1:C656,2)</f>
        <v>Zainab</v>
      </c>
      <c r="N653" t="str">
        <f>VLOOKUP(Table2[[#This Row],[AgentID]],Sales_Agents!$A$1:C656,3)</f>
        <v>North</v>
      </c>
    </row>
    <row r="654" spans="1:14" x14ac:dyDescent="0.25">
      <c r="A654">
        <v>653</v>
      </c>
      <c r="B654" s="1">
        <v>45315</v>
      </c>
      <c r="C654" s="8" t="str">
        <f>TEXT(Table2[[#This Row],[OrderDate]],"mmm")</f>
        <v>Jan</v>
      </c>
      <c r="D654">
        <v>3</v>
      </c>
      <c r="E654">
        <v>2</v>
      </c>
      <c r="F654">
        <v>19</v>
      </c>
      <c r="G654" s="3">
        <v>274166</v>
      </c>
      <c r="H654" s="3">
        <f t="shared" si="20"/>
        <v>5209154</v>
      </c>
      <c r="I654" s="5">
        <f>Table2[[#This Row],[Total Revenue]]*0.3</f>
        <v>1562746.2</v>
      </c>
      <c r="J654" s="6">
        <f t="shared" si="21"/>
        <v>0.3</v>
      </c>
      <c r="K654" t="str">
        <f>VLOOKUP(Table2[[#This Row],[ProductID]],Products!$A$1:C658,2)</f>
        <v>Tablet</v>
      </c>
      <c r="L654" t="str">
        <f>VLOOKUP(D654,Products!$A$1:C658,3)</f>
        <v>Electronics</v>
      </c>
      <c r="M654" t="str">
        <f>VLOOKUP(Table2[[#This Row],[AgentID]],Sales_Agents!$A$1:C657,2)</f>
        <v>Blessing</v>
      </c>
      <c r="N654" t="str">
        <f>VLOOKUP(Table2[[#This Row],[AgentID]],Sales_Agents!$A$1:C657,3)</f>
        <v>East</v>
      </c>
    </row>
    <row r="655" spans="1:14" x14ac:dyDescent="0.25">
      <c r="A655">
        <v>654</v>
      </c>
      <c r="B655" s="1">
        <v>45594</v>
      </c>
      <c r="C655" s="8" t="str">
        <f>TEXT(Table2[[#This Row],[OrderDate]],"mmm")</f>
        <v>Oct</v>
      </c>
      <c r="D655">
        <v>2</v>
      </c>
      <c r="E655">
        <v>1</v>
      </c>
      <c r="F655">
        <v>7</v>
      </c>
      <c r="G655" s="3">
        <v>312182</v>
      </c>
      <c r="H655" s="3">
        <f t="shared" si="20"/>
        <v>2185274</v>
      </c>
      <c r="I655" s="5">
        <f>Table2[[#This Row],[Total Revenue]]*0.3</f>
        <v>655582.19999999995</v>
      </c>
      <c r="J655" s="6">
        <f t="shared" si="21"/>
        <v>0.3</v>
      </c>
      <c r="K655" t="str">
        <f>VLOOKUP(Table2[[#This Row],[ProductID]],Products!$A$1:C659,2)</f>
        <v>Phone</v>
      </c>
      <c r="L655" t="str">
        <f>VLOOKUP(D655,Products!$A$1:C659,3)</f>
        <v>Electronics</v>
      </c>
      <c r="M655" t="str">
        <f>VLOOKUP(Table2[[#This Row],[AgentID]],Sales_Agents!$A$1:C658,2)</f>
        <v>Akin</v>
      </c>
      <c r="N655" t="str">
        <f>VLOOKUP(Table2[[#This Row],[AgentID]],Sales_Agents!$A$1:C658,3)</f>
        <v>West</v>
      </c>
    </row>
    <row r="656" spans="1:14" x14ac:dyDescent="0.25">
      <c r="A656">
        <v>655</v>
      </c>
      <c r="B656" s="1">
        <v>45417</v>
      </c>
      <c r="C656" s="8" t="str">
        <f>TEXT(Table2[[#This Row],[OrderDate]],"mmm")</f>
        <v>May</v>
      </c>
      <c r="D656">
        <v>1</v>
      </c>
      <c r="E656">
        <v>1</v>
      </c>
      <c r="F656">
        <v>18</v>
      </c>
      <c r="G656" s="3">
        <v>168827</v>
      </c>
      <c r="H656" s="3">
        <f t="shared" si="20"/>
        <v>3038886</v>
      </c>
      <c r="I656" s="5">
        <f>Table2[[#This Row],[Total Revenue]]*0.3</f>
        <v>911665.79999999993</v>
      </c>
      <c r="J656" s="6">
        <f t="shared" si="21"/>
        <v>0.3</v>
      </c>
      <c r="K656" t="str">
        <f>VLOOKUP(Table2[[#This Row],[ProductID]],Products!$A$1:C660,2)</f>
        <v>Laptop</v>
      </c>
      <c r="L656" t="str">
        <f>VLOOKUP(D656,Products!$A$1:C660,3)</f>
        <v>Electronics</v>
      </c>
      <c r="M656" t="str">
        <f>VLOOKUP(Table2[[#This Row],[AgentID]],Sales_Agents!$A$1:C659,2)</f>
        <v>Akin</v>
      </c>
      <c r="N656" t="str">
        <f>VLOOKUP(Table2[[#This Row],[AgentID]],Sales_Agents!$A$1:C659,3)</f>
        <v>West</v>
      </c>
    </row>
    <row r="657" spans="1:14" x14ac:dyDescent="0.25">
      <c r="A657">
        <v>656</v>
      </c>
      <c r="B657" s="1">
        <v>45578</v>
      </c>
      <c r="C657" s="8" t="str">
        <f>TEXT(Table2[[#This Row],[OrderDate]],"mmm")</f>
        <v>Oct</v>
      </c>
      <c r="D657">
        <v>5</v>
      </c>
      <c r="E657">
        <v>2</v>
      </c>
      <c r="F657">
        <v>4</v>
      </c>
      <c r="G657" s="3">
        <v>165467</v>
      </c>
      <c r="H657" s="3">
        <f t="shared" si="20"/>
        <v>661868</v>
      </c>
      <c r="I657" s="5">
        <f>Table2[[#This Row],[Total Revenue]]*0.3</f>
        <v>198560.4</v>
      </c>
      <c r="J657" s="6">
        <f t="shared" si="21"/>
        <v>0.3</v>
      </c>
      <c r="K657" t="str">
        <f>VLOOKUP(Table2[[#This Row],[ProductID]],Products!$A$1:C661,2)</f>
        <v>Monitor</v>
      </c>
      <c r="L657" t="str">
        <f>VLOOKUP(D657,Products!$A$1:C661,3)</f>
        <v>Accessories</v>
      </c>
      <c r="M657" t="str">
        <f>VLOOKUP(Table2[[#This Row],[AgentID]],Sales_Agents!$A$1:C660,2)</f>
        <v>Blessing</v>
      </c>
      <c r="N657" t="str">
        <f>VLOOKUP(Table2[[#This Row],[AgentID]],Sales_Agents!$A$1:C660,3)</f>
        <v>East</v>
      </c>
    </row>
    <row r="658" spans="1:14" x14ac:dyDescent="0.25">
      <c r="A658">
        <v>657</v>
      </c>
      <c r="B658" s="1">
        <v>45499</v>
      </c>
      <c r="C658" s="8" t="str">
        <f>TEXT(Table2[[#This Row],[OrderDate]],"mmm")</f>
        <v>Jul</v>
      </c>
      <c r="D658">
        <v>3</v>
      </c>
      <c r="E658">
        <v>2</v>
      </c>
      <c r="F658">
        <v>1</v>
      </c>
      <c r="G658" s="3">
        <v>264804</v>
      </c>
      <c r="H658" s="3">
        <f t="shared" si="20"/>
        <v>264804</v>
      </c>
      <c r="I658" s="5">
        <f>Table2[[#This Row],[Total Revenue]]*0.3</f>
        <v>79441.2</v>
      </c>
      <c r="J658" s="6">
        <f t="shared" si="21"/>
        <v>0.3</v>
      </c>
      <c r="K658" t="str">
        <f>VLOOKUP(Table2[[#This Row],[ProductID]],Products!$A$1:C662,2)</f>
        <v>Tablet</v>
      </c>
      <c r="L658" t="str">
        <f>VLOOKUP(D658,Products!$A$1:C662,3)</f>
        <v>Electronics</v>
      </c>
      <c r="M658" t="str">
        <f>VLOOKUP(Table2[[#This Row],[AgentID]],Sales_Agents!$A$1:C661,2)</f>
        <v>Blessing</v>
      </c>
      <c r="N658" t="str">
        <f>VLOOKUP(Table2[[#This Row],[AgentID]],Sales_Agents!$A$1:C661,3)</f>
        <v>East</v>
      </c>
    </row>
    <row r="659" spans="1:14" x14ac:dyDescent="0.25">
      <c r="A659">
        <v>658</v>
      </c>
      <c r="B659" s="1">
        <v>45550</v>
      </c>
      <c r="C659" s="8" t="str">
        <f>TEXT(Table2[[#This Row],[OrderDate]],"mmm")</f>
        <v>Sept</v>
      </c>
      <c r="D659">
        <v>2</v>
      </c>
      <c r="E659">
        <v>4</v>
      </c>
      <c r="F659">
        <v>17</v>
      </c>
      <c r="G659" s="3">
        <v>171593</v>
      </c>
      <c r="H659" s="3">
        <f t="shared" si="20"/>
        <v>2917081</v>
      </c>
      <c r="I659" s="5">
        <f>Table2[[#This Row],[Total Revenue]]*0.3</f>
        <v>875124.29999999993</v>
      </c>
      <c r="J659" s="6">
        <f t="shared" si="21"/>
        <v>0.3</v>
      </c>
      <c r="K659" t="str">
        <f>VLOOKUP(Table2[[#This Row],[ProductID]],Products!$A$1:C663,2)</f>
        <v>Phone</v>
      </c>
      <c r="L659" t="str">
        <f>VLOOKUP(D659,Products!$A$1:C663,3)</f>
        <v>Electronics</v>
      </c>
      <c r="M659" t="str">
        <f>VLOOKUP(Table2[[#This Row],[AgentID]],Sales_Agents!$A$1:C662,2)</f>
        <v>Zainab</v>
      </c>
      <c r="N659" t="str">
        <f>VLOOKUP(Table2[[#This Row],[AgentID]],Sales_Agents!$A$1:C662,3)</f>
        <v>North</v>
      </c>
    </row>
    <row r="660" spans="1:14" x14ac:dyDescent="0.25">
      <c r="A660">
        <v>659</v>
      </c>
      <c r="B660" s="1">
        <v>45351</v>
      </c>
      <c r="C660" s="8" t="str">
        <f>TEXT(Table2[[#This Row],[OrderDate]],"mmm")</f>
        <v>Feb</v>
      </c>
      <c r="D660">
        <v>3</v>
      </c>
      <c r="E660">
        <v>4</v>
      </c>
      <c r="F660">
        <v>7</v>
      </c>
      <c r="G660" s="3">
        <v>374631</v>
      </c>
      <c r="H660" s="3">
        <f t="shared" si="20"/>
        <v>2622417</v>
      </c>
      <c r="I660" s="5">
        <f>Table2[[#This Row],[Total Revenue]]*0.3</f>
        <v>786725.1</v>
      </c>
      <c r="J660" s="6">
        <f t="shared" si="21"/>
        <v>0.3</v>
      </c>
      <c r="K660" t="str">
        <f>VLOOKUP(Table2[[#This Row],[ProductID]],Products!$A$1:C664,2)</f>
        <v>Tablet</v>
      </c>
      <c r="L660" t="str">
        <f>VLOOKUP(D660,Products!$A$1:C664,3)</f>
        <v>Electronics</v>
      </c>
      <c r="M660" t="str">
        <f>VLOOKUP(Table2[[#This Row],[AgentID]],Sales_Agents!$A$1:C663,2)</f>
        <v>Zainab</v>
      </c>
      <c r="N660" t="str">
        <f>VLOOKUP(Table2[[#This Row],[AgentID]],Sales_Agents!$A$1:C663,3)</f>
        <v>North</v>
      </c>
    </row>
    <row r="661" spans="1:14" x14ac:dyDescent="0.25">
      <c r="A661">
        <v>660</v>
      </c>
      <c r="B661" s="1">
        <v>45588</v>
      </c>
      <c r="C661" s="8" t="str">
        <f>TEXT(Table2[[#This Row],[OrderDate]],"mmm")</f>
        <v>Oct</v>
      </c>
      <c r="D661">
        <v>1</v>
      </c>
      <c r="E661">
        <v>3</v>
      </c>
      <c r="F661">
        <v>11</v>
      </c>
      <c r="G661" s="3">
        <v>381206</v>
      </c>
      <c r="H661" s="3">
        <f t="shared" si="20"/>
        <v>4193266</v>
      </c>
      <c r="I661" s="5">
        <f>Table2[[#This Row],[Total Revenue]]*0.3</f>
        <v>1257979.8</v>
      </c>
      <c r="J661" s="6">
        <f t="shared" si="21"/>
        <v>0.3</v>
      </c>
      <c r="K661" t="str">
        <f>VLOOKUP(Table2[[#This Row],[ProductID]],Products!$A$1:C665,2)</f>
        <v>Laptop</v>
      </c>
      <c r="L661" t="str">
        <f>VLOOKUP(D661,Products!$A$1:C665,3)</f>
        <v>Electronics</v>
      </c>
      <c r="M661" t="str">
        <f>VLOOKUP(Table2[[#This Row],[AgentID]],Sales_Agents!$A$1:C664,2)</f>
        <v>Chinedu</v>
      </c>
      <c r="N661" t="str">
        <f>VLOOKUP(Table2[[#This Row],[AgentID]],Sales_Agents!$A$1:C664,3)</f>
        <v>South</v>
      </c>
    </row>
    <row r="662" spans="1:14" x14ac:dyDescent="0.25">
      <c r="A662">
        <v>661</v>
      </c>
      <c r="B662" s="1">
        <v>45553</v>
      </c>
      <c r="C662" s="8" t="str">
        <f>TEXT(Table2[[#This Row],[OrderDate]],"mmm")</f>
        <v>Sept</v>
      </c>
      <c r="D662">
        <v>5</v>
      </c>
      <c r="E662">
        <v>3</v>
      </c>
      <c r="F662">
        <v>19</v>
      </c>
      <c r="G662" s="3">
        <v>124467</v>
      </c>
      <c r="H662" s="3">
        <f t="shared" si="20"/>
        <v>2364873</v>
      </c>
      <c r="I662" s="5">
        <f>Table2[[#This Row],[Total Revenue]]*0.3</f>
        <v>709461.9</v>
      </c>
      <c r="J662" s="6">
        <f t="shared" si="21"/>
        <v>0.3</v>
      </c>
      <c r="K662" t="str">
        <f>VLOOKUP(Table2[[#This Row],[ProductID]],Products!$A$1:C666,2)</f>
        <v>Monitor</v>
      </c>
      <c r="L662" t="str">
        <f>VLOOKUP(D662,Products!$A$1:C666,3)</f>
        <v>Accessories</v>
      </c>
      <c r="M662" t="str">
        <f>VLOOKUP(Table2[[#This Row],[AgentID]],Sales_Agents!$A$1:C665,2)</f>
        <v>Chinedu</v>
      </c>
      <c r="N662" t="str">
        <f>VLOOKUP(Table2[[#This Row],[AgentID]],Sales_Agents!$A$1:C665,3)</f>
        <v>South</v>
      </c>
    </row>
    <row r="663" spans="1:14" x14ac:dyDescent="0.25">
      <c r="A663">
        <v>662</v>
      </c>
      <c r="B663" s="1">
        <v>45609</v>
      </c>
      <c r="C663" s="8" t="str">
        <f>TEXT(Table2[[#This Row],[OrderDate]],"mmm")</f>
        <v>Nov</v>
      </c>
      <c r="D663">
        <v>5</v>
      </c>
      <c r="E663">
        <v>1</v>
      </c>
      <c r="F663">
        <v>6</v>
      </c>
      <c r="G663" s="3">
        <v>328516</v>
      </c>
      <c r="H663" s="3">
        <f t="shared" si="20"/>
        <v>1971096</v>
      </c>
      <c r="I663" s="5">
        <f>Table2[[#This Row],[Total Revenue]]*0.3</f>
        <v>591328.79999999993</v>
      </c>
      <c r="J663" s="6">
        <f t="shared" si="21"/>
        <v>0.3</v>
      </c>
      <c r="K663" t="str">
        <f>VLOOKUP(Table2[[#This Row],[ProductID]],Products!$A$1:C667,2)</f>
        <v>Monitor</v>
      </c>
      <c r="L663" t="str">
        <f>VLOOKUP(D663,Products!$A$1:C667,3)</f>
        <v>Accessories</v>
      </c>
      <c r="M663" t="str">
        <f>VLOOKUP(Table2[[#This Row],[AgentID]],Sales_Agents!$A$1:C666,2)</f>
        <v>Akin</v>
      </c>
      <c r="N663" t="str">
        <f>VLOOKUP(Table2[[#This Row],[AgentID]],Sales_Agents!$A$1:C666,3)</f>
        <v>West</v>
      </c>
    </row>
    <row r="664" spans="1:14" x14ac:dyDescent="0.25">
      <c r="A664">
        <v>663</v>
      </c>
      <c r="B664" s="1">
        <v>45320</v>
      </c>
      <c r="C664" s="8" t="str">
        <f>TEXT(Table2[[#This Row],[OrderDate]],"mmm")</f>
        <v>Jan</v>
      </c>
      <c r="D664">
        <v>5</v>
      </c>
      <c r="E664">
        <v>4</v>
      </c>
      <c r="F664">
        <v>15</v>
      </c>
      <c r="G664" s="3">
        <v>232385</v>
      </c>
      <c r="H664" s="3">
        <f t="shared" si="20"/>
        <v>3485775</v>
      </c>
      <c r="I664" s="5">
        <f>Table2[[#This Row],[Total Revenue]]*0.3</f>
        <v>1045732.5</v>
      </c>
      <c r="J664" s="6">
        <f t="shared" si="21"/>
        <v>0.3</v>
      </c>
      <c r="K664" t="str">
        <f>VLOOKUP(Table2[[#This Row],[ProductID]],Products!$A$1:C668,2)</f>
        <v>Monitor</v>
      </c>
      <c r="L664" t="str">
        <f>VLOOKUP(D664,Products!$A$1:C668,3)</f>
        <v>Accessories</v>
      </c>
      <c r="M664" t="str">
        <f>VLOOKUP(Table2[[#This Row],[AgentID]],Sales_Agents!$A$1:C667,2)</f>
        <v>Zainab</v>
      </c>
      <c r="N664" t="str">
        <f>VLOOKUP(Table2[[#This Row],[AgentID]],Sales_Agents!$A$1:C667,3)</f>
        <v>North</v>
      </c>
    </row>
    <row r="665" spans="1:14" x14ac:dyDescent="0.25">
      <c r="A665">
        <v>664</v>
      </c>
      <c r="B665" s="1">
        <v>45388</v>
      </c>
      <c r="C665" s="8" t="str">
        <f>TEXT(Table2[[#This Row],[OrderDate]],"mmm")</f>
        <v>Apr</v>
      </c>
      <c r="D665">
        <v>3</v>
      </c>
      <c r="E665">
        <v>3</v>
      </c>
      <c r="F665">
        <v>2</v>
      </c>
      <c r="G665" s="3">
        <v>357863</v>
      </c>
      <c r="H665" s="3">
        <f t="shared" si="20"/>
        <v>715726</v>
      </c>
      <c r="I665" s="5">
        <f>Table2[[#This Row],[Total Revenue]]*0.3</f>
        <v>214717.8</v>
      </c>
      <c r="J665" s="6">
        <f t="shared" si="21"/>
        <v>0.3</v>
      </c>
      <c r="K665" t="str">
        <f>VLOOKUP(Table2[[#This Row],[ProductID]],Products!$A$1:C669,2)</f>
        <v>Tablet</v>
      </c>
      <c r="L665" t="str">
        <f>VLOOKUP(D665,Products!$A$1:C669,3)</f>
        <v>Electronics</v>
      </c>
      <c r="M665" t="str">
        <f>VLOOKUP(Table2[[#This Row],[AgentID]],Sales_Agents!$A$1:C668,2)</f>
        <v>Chinedu</v>
      </c>
      <c r="N665" t="str">
        <f>VLOOKUP(Table2[[#This Row],[AgentID]],Sales_Agents!$A$1:C668,3)</f>
        <v>South</v>
      </c>
    </row>
    <row r="666" spans="1:14" x14ac:dyDescent="0.25">
      <c r="A666">
        <v>665</v>
      </c>
      <c r="B666" s="1">
        <v>45502</v>
      </c>
      <c r="C666" s="8" t="str">
        <f>TEXT(Table2[[#This Row],[OrderDate]],"mmm")</f>
        <v>Jul</v>
      </c>
      <c r="D666">
        <v>2</v>
      </c>
      <c r="E666">
        <v>1</v>
      </c>
      <c r="F666">
        <v>12</v>
      </c>
      <c r="G666" s="3">
        <v>240580</v>
      </c>
      <c r="H666" s="3">
        <f t="shared" si="20"/>
        <v>2886960</v>
      </c>
      <c r="I666" s="5">
        <f>Table2[[#This Row],[Total Revenue]]*0.3</f>
        <v>866088</v>
      </c>
      <c r="J666" s="6">
        <f t="shared" si="21"/>
        <v>0.3</v>
      </c>
      <c r="K666" t="str">
        <f>VLOOKUP(Table2[[#This Row],[ProductID]],Products!$A$1:C670,2)</f>
        <v>Phone</v>
      </c>
      <c r="L666" t="str">
        <f>VLOOKUP(D666,Products!$A$1:C670,3)</f>
        <v>Electronics</v>
      </c>
      <c r="M666" t="str">
        <f>VLOOKUP(Table2[[#This Row],[AgentID]],Sales_Agents!$A$1:C669,2)</f>
        <v>Akin</v>
      </c>
      <c r="N666" t="str">
        <f>VLOOKUP(Table2[[#This Row],[AgentID]],Sales_Agents!$A$1:C669,3)</f>
        <v>West</v>
      </c>
    </row>
    <row r="667" spans="1:14" x14ac:dyDescent="0.25">
      <c r="A667">
        <v>666</v>
      </c>
      <c r="B667" s="1">
        <v>45465</v>
      </c>
      <c r="C667" s="8" t="str">
        <f>TEXT(Table2[[#This Row],[OrderDate]],"mmm")</f>
        <v>Jun</v>
      </c>
      <c r="D667">
        <v>5</v>
      </c>
      <c r="E667">
        <v>4</v>
      </c>
      <c r="F667">
        <v>4</v>
      </c>
      <c r="G667" s="3">
        <v>100636</v>
      </c>
      <c r="H667" s="3">
        <f t="shared" si="20"/>
        <v>402544</v>
      </c>
      <c r="I667" s="5">
        <f>Table2[[#This Row],[Total Revenue]]*0.3</f>
        <v>120763.2</v>
      </c>
      <c r="J667" s="6">
        <f t="shared" si="21"/>
        <v>0.3</v>
      </c>
      <c r="K667" t="str">
        <f>VLOOKUP(Table2[[#This Row],[ProductID]],Products!$A$1:C671,2)</f>
        <v>Monitor</v>
      </c>
      <c r="L667" t="str">
        <f>VLOOKUP(D667,Products!$A$1:C671,3)</f>
        <v>Accessories</v>
      </c>
      <c r="M667" t="str">
        <f>VLOOKUP(Table2[[#This Row],[AgentID]],Sales_Agents!$A$1:C670,2)</f>
        <v>Zainab</v>
      </c>
      <c r="N667" t="str">
        <f>VLOOKUP(Table2[[#This Row],[AgentID]],Sales_Agents!$A$1:C670,3)</f>
        <v>North</v>
      </c>
    </row>
    <row r="668" spans="1:14" x14ac:dyDescent="0.25">
      <c r="A668">
        <v>667</v>
      </c>
      <c r="B668" s="1">
        <v>45358</v>
      </c>
      <c r="C668" s="8" t="str">
        <f>TEXT(Table2[[#This Row],[OrderDate]],"mmm")</f>
        <v>Mar</v>
      </c>
      <c r="D668">
        <v>4</v>
      </c>
      <c r="E668">
        <v>2</v>
      </c>
      <c r="F668">
        <v>7</v>
      </c>
      <c r="G668" s="3">
        <v>114435</v>
      </c>
      <c r="H668" s="3">
        <f t="shared" si="20"/>
        <v>801045</v>
      </c>
      <c r="I668" s="5">
        <f>Table2[[#This Row],[Total Revenue]]*0.3</f>
        <v>240313.5</v>
      </c>
      <c r="J668" s="6">
        <f t="shared" si="21"/>
        <v>0.3</v>
      </c>
      <c r="K668" t="str">
        <f>VLOOKUP(Table2[[#This Row],[ProductID]],Products!$A$1:C672,2)</f>
        <v>Printer</v>
      </c>
      <c r="L668" t="str">
        <f>VLOOKUP(D668,Products!$A$1:C672,3)</f>
        <v>Accessories</v>
      </c>
      <c r="M668" t="str">
        <f>VLOOKUP(Table2[[#This Row],[AgentID]],Sales_Agents!$A$1:C671,2)</f>
        <v>Blessing</v>
      </c>
      <c r="N668" t="str">
        <f>VLOOKUP(Table2[[#This Row],[AgentID]],Sales_Agents!$A$1:C671,3)</f>
        <v>East</v>
      </c>
    </row>
    <row r="669" spans="1:14" x14ac:dyDescent="0.25">
      <c r="A669">
        <v>668</v>
      </c>
      <c r="B669" s="1">
        <v>45442</v>
      </c>
      <c r="C669" s="8" t="str">
        <f>TEXT(Table2[[#This Row],[OrderDate]],"mmm")</f>
        <v>May</v>
      </c>
      <c r="D669">
        <v>2</v>
      </c>
      <c r="E669">
        <v>4</v>
      </c>
      <c r="F669">
        <v>14</v>
      </c>
      <c r="G669" s="3">
        <v>351973</v>
      </c>
      <c r="H669" s="3">
        <f t="shared" si="20"/>
        <v>4927622</v>
      </c>
      <c r="I669" s="5">
        <f>Table2[[#This Row],[Total Revenue]]*0.3</f>
        <v>1478286.5999999999</v>
      </c>
      <c r="J669" s="6">
        <f t="shared" si="21"/>
        <v>0.3</v>
      </c>
      <c r="K669" t="str">
        <f>VLOOKUP(Table2[[#This Row],[ProductID]],Products!$A$1:C673,2)</f>
        <v>Phone</v>
      </c>
      <c r="L669" t="str">
        <f>VLOOKUP(D669,Products!$A$1:C673,3)</f>
        <v>Electronics</v>
      </c>
      <c r="M669" t="str">
        <f>VLOOKUP(Table2[[#This Row],[AgentID]],Sales_Agents!$A$1:C672,2)</f>
        <v>Zainab</v>
      </c>
      <c r="N669" t="str">
        <f>VLOOKUP(Table2[[#This Row],[AgentID]],Sales_Agents!$A$1:C672,3)</f>
        <v>North</v>
      </c>
    </row>
    <row r="670" spans="1:14" x14ac:dyDescent="0.25">
      <c r="A670">
        <v>669</v>
      </c>
      <c r="B670" s="1">
        <v>45325</v>
      </c>
      <c r="C670" s="8" t="str">
        <f>TEXT(Table2[[#This Row],[OrderDate]],"mmm")</f>
        <v>Feb</v>
      </c>
      <c r="D670">
        <v>4</v>
      </c>
      <c r="E670">
        <v>1</v>
      </c>
      <c r="F670">
        <v>17</v>
      </c>
      <c r="G670" s="3">
        <v>116576</v>
      </c>
      <c r="H670" s="3">
        <f t="shared" si="20"/>
        <v>1981792</v>
      </c>
      <c r="I670" s="5">
        <f>Table2[[#This Row],[Total Revenue]]*0.3</f>
        <v>594537.6</v>
      </c>
      <c r="J670" s="6">
        <f t="shared" si="21"/>
        <v>0.3</v>
      </c>
      <c r="K670" t="str">
        <f>VLOOKUP(Table2[[#This Row],[ProductID]],Products!$A$1:C674,2)</f>
        <v>Printer</v>
      </c>
      <c r="L670" t="str">
        <f>VLOOKUP(D670,Products!$A$1:C674,3)</f>
        <v>Accessories</v>
      </c>
      <c r="M670" t="str">
        <f>VLOOKUP(Table2[[#This Row],[AgentID]],Sales_Agents!$A$1:C673,2)</f>
        <v>Akin</v>
      </c>
      <c r="N670" t="str">
        <f>VLOOKUP(Table2[[#This Row],[AgentID]],Sales_Agents!$A$1:C673,3)</f>
        <v>West</v>
      </c>
    </row>
    <row r="671" spans="1:14" x14ac:dyDescent="0.25">
      <c r="A671">
        <v>670</v>
      </c>
      <c r="B671" s="1">
        <v>45347</v>
      </c>
      <c r="C671" s="8" t="str">
        <f>TEXT(Table2[[#This Row],[OrderDate]],"mmm")</f>
        <v>Feb</v>
      </c>
      <c r="D671">
        <v>5</v>
      </c>
      <c r="E671">
        <v>2</v>
      </c>
      <c r="F671">
        <v>9</v>
      </c>
      <c r="G671" s="3">
        <v>340644</v>
      </c>
      <c r="H671" s="3">
        <f t="shared" si="20"/>
        <v>3065796</v>
      </c>
      <c r="I671" s="5">
        <f>Table2[[#This Row],[Total Revenue]]*0.3</f>
        <v>919738.79999999993</v>
      </c>
      <c r="J671" s="6">
        <f t="shared" si="21"/>
        <v>0.3</v>
      </c>
      <c r="K671" t="str">
        <f>VLOOKUP(Table2[[#This Row],[ProductID]],Products!$A$1:C675,2)</f>
        <v>Monitor</v>
      </c>
      <c r="L671" t="str">
        <f>VLOOKUP(D671,Products!$A$1:C675,3)</f>
        <v>Accessories</v>
      </c>
      <c r="M671" t="str">
        <f>VLOOKUP(Table2[[#This Row],[AgentID]],Sales_Agents!$A$1:C674,2)</f>
        <v>Blessing</v>
      </c>
      <c r="N671" t="str">
        <f>VLOOKUP(Table2[[#This Row],[AgentID]],Sales_Agents!$A$1:C674,3)</f>
        <v>East</v>
      </c>
    </row>
    <row r="672" spans="1:14" x14ac:dyDescent="0.25">
      <c r="A672">
        <v>671</v>
      </c>
      <c r="B672" s="1">
        <v>45515</v>
      </c>
      <c r="C672" s="8" t="str">
        <f>TEXT(Table2[[#This Row],[OrderDate]],"mmm")</f>
        <v>Aug</v>
      </c>
      <c r="D672">
        <v>4</v>
      </c>
      <c r="E672">
        <v>1</v>
      </c>
      <c r="F672">
        <v>5</v>
      </c>
      <c r="G672" s="3">
        <v>138570</v>
      </c>
      <c r="H672" s="3">
        <f t="shared" si="20"/>
        <v>692850</v>
      </c>
      <c r="I672" s="5">
        <f>Table2[[#This Row],[Total Revenue]]*0.3</f>
        <v>207855</v>
      </c>
      <c r="J672" s="6">
        <f t="shared" si="21"/>
        <v>0.3</v>
      </c>
      <c r="K672" t="str">
        <f>VLOOKUP(Table2[[#This Row],[ProductID]],Products!$A$1:C676,2)</f>
        <v>Printer</v>
      </c>
      <c r="L672" t="str">
        <f>VLOOKUP(D672,Products!$A$1:C676,3)</f>
        <v>Accessories</v>
      </c>
      <c r="M672" t="str">
        <f>VLOOKUP(Table2[[#This Row],[AgentID]],Sales_Agents!$A$1:C675,2)</f>
        <v>Akin</v>
      </c>
      <c r="N672" t="str">
        <f>VLOOKUP(Table2[[#This Row],[AgentID]],Sales_Agents!$A$1:C675,3)</f>
        <v>West</v>
      </c>
    </row>
    <row r="673" spans="1:14" x14ac:dyDescent="0.25">
      <c r="A673">
        <v>672</v>
      </c>
      <c r="B673" s="1">
        <v>45446</v>
      </c>
      <c r="C673" s="8" t="str">
        <f>TEXT(Table2[[#This Row],[OrderDate]],"mmm")</f>
        <v>Jun</v>
      </c>
      <c r="D673">
        <v>5</v>
      </c>
      <c r="E673">
        <v>2</v>
      </c>
      <c r="F673">
        <v>9</v>
      </c>
      <c r="G673" s="3">
        <v>275202</v>
      </c>
      <c r="H673" s="3">
        <f t="shared" si="20"/>
        <v>2476818</v>
      </c>
      <c r="I673" s="5">
        <f>Table2[[#This Row],[Total Revenue]]*0.3</f>
        <v>743045.4</v>
      </c>
      <c r="J673" s="6">
        <f t="shared" si="21"/>
        <v>0.3</v>
      </c>
      <c r="K673" t="str">
        <f>VLOOKUP(Table2[[#This Row],[ProductID]],Products!$A$1:C677,2)</f>
        <v>Monitor</v>
      </c>
      <c r="L673" t="str">
        <f>VLOOKUP(D673,Products!$A$1:C677,3)</f>
        <v>Accessories</v>
      </c>
      <c r="M673" t="str">
        <f>VLOOKUP(Table2[[#This Row],[AgentID]],Sales_Agents!$A$1:C676,2)</f>
        <v>Blessing</v>
      </c>
      <c r="N673" t="str">
        <f>VLOOKUP(Table2[[#This Row],[AgentID]],Sales_Agents!$A$1:C676,3)</f>
        <v>East</v>
      </c>
    </row>
    <row r="674" spans="1:14" x14ac:dyDescent="0.25">
      <c r="A674">
        <v>673</v>
      </c>
      <c r="B674" s="1">
        <v>45480</v>
      </c>
      <c r="C674" s="8" t="str">
        <f>TEXT(Table2[[#This Row],[OrderDate]],"mmm")</f>
        <v>Jul</v>
      </c>
      <c r="D674">
        <v>2</v>
      </c>
      <c r="E674">
        <v>1</v>
      </c>
      <c r="F674">
        <v>1</v>
      </c>
      <c r="G674" s="3">
        <v>141478</v>
      </c>
      <c r="H674" s="3">
        <f t="shared" si="20"/>
        <v>141478</v>
      </c>
      <c r="I674" s="5">
        <f>Table2[[#This Row],[Total Revenue]]*0.3</f>
        <v>42443.4</v>
      </c>
      <c r="J674" s="6">
        <f t="shared" si="21"/>
        <v>0.3</v>
      </c>
      <c r="K674" t="str">
        <f>VLOOKUP(Table2[[#This Row],[ProductID]],Products!$A$1:C678,2)</f>
        <v>Phone</v>
      </c>
      <c r="L674" t="str">
        <f>VLOOKUP(D674,Products!$A$1:C678,3)</f>
        <v>Electronics</v>
      </c>
      <c r="M674" t="str">
        <f>VLOOKUP(Table2[[#This Row],[AgentID]],Sales_Agents!$A$1:C677,2)</f>
        <v>Akin</v>
      </c>
      <c r="N674" t="str">
        <f>VLOOKUP(Table2[[#This Row],[AgentID]],Sales_Agents!$A$1:C677,3)</f>
        <v>West</v>
      </c>
    </row>
    <row r="675" spans="1:14" x14ac:dyDescent="0.25">
      <c r="A675">
        <v>674</v>
      </c>
      <c r="B675" s="1">
        <v>45473</v>
      </c>
      <c r="C675" s="8" t="str">
        <f>TEXT(Table2[[#This Row],[OrderDate]],"mmm")</f>
        <v>Jun</v>
      </c>
      <c r="D675">
        <v>3</v>
      </c>
      <c r="E675">
        <v>2</v>
      </c>
      <c r="F675">
        <v>13</v>
      </c>
      <c r="G675" s="3">
        <v>380505</v>
      </c>
      <c r="H675" s="3">
        <f t="shared" si="20"/>
        <v>4946565</v>
      </c>
      <c r="I675" s="5">
        <f>Table2[[#This Row],[Total Revenue]]*0.3</f>
        <v>1483969.5</v>
      </c>
      <c r="J675" s="6">
        <f t="shared" si="21"/>
        <v>0.3</v>
      </c>
      <c r="K675" t="str">
        <f>VLOOKUP(Table2[[#This Row],[ProductID]],Products!$A$1:C679,2)</f>
        <v>Tablet</v>
      </c>
      <c r="L675" t="str">
        <f>VLOOKUP(D675,Products!$A$1:C679,3)</f>
        <v>Electronics</v>
      </c>
      <c r="M675" t="str">
        <f>VLOOKUP(Table2[[#This Row],[AgentID]],Sales_Agents!$A$1:C678,2)</f>
        <v>Blessing</v>
      </c>
      <c r="N675" t="str">
        <f>VLOOKUP(Table2[[#This Row],[AgentID]],Sales_Agents!$A$1:C678,3)</f>
        <v>East</v>
      </c>
    </row>
    <row r="676" spans="1:14" x14ac:dyDescent="0.25">
      <c r="A676">
        <v>675</v>
      </c>
      <c r="B676" s="1">
        <v>45314</v>
      </c>
      <c r="C676" s="8" t="str">
        <f>TEXT(Table2[[#This Row],[OrderDate]],"mmm")</f>
        <v>Jan</v>
      </c>
      <c r="D676">
        <v>4</v>
      </c>
      <c r="E676">
        <v>2</v>
      </c>
      <c r="F676">
        <v>1</v>
      </c>
      <c r="G676" s="3">
        <v>151387</v>
      </c>
      <c r="H676" s="3">
        <f t="shared" si="20"/>
        <v>151387</v>
      </c>
      <c r="I676" s="5">
        <f>Table2[[#This Row],[Total Revenue]]*0.3</f>
        <v>45416.1</v>
      </c>
      <c r="J676" s="6">
        <f t="shared" si="21"/>
        <v>0.3</v>
      </c>
      <c r="K676" t="str">
        <f>VLOOKUP(Table2[[#This Row],[ProductID]],Products!$A$1:C680,2)</f>
        <v>Printer</v>
      </c>
      <c r="L676" t="str">
        <f>VLOOKUP(D676,Products!$A$1:C680,3)</f>
        <v>Accessories</v>
      </c>
      <c r="M676" t="str">
        <f>VLOOKUP(Table2[[#This Row],[AgentID]],Sales_Agents!$A$1:C679,2)</f>
        <v>Blessing</v>
      </c>
      <c r="N676" t="str">
        <f>VLOOKUP(Table2[[#This Row],[AgentID]],Sales_Agents!$A$1:C679,3)</f>
        <v>East</v>
      </c>
    </row>
    <row r="677" spans="1:14" x14ac:dyDescent="0.25">
      <c r="A677">
        <v>676</v>
      </c>
      <c r="B677" s="1">
        <v>45642</v>
      </c>
      <c r="C677" s="8" t="str">
        <f>TEXT(Table2[[#This Row],[OrderDate]],"mmm")</f>
        <v>Dec</v>
      </c>
      <c r="D677">
        <v>1</v>
      </c>
      <c r="E677">
        <v>2</v>
      </c>
      <c r="F677">
        <v>6</v>
      </c>
      <c r="G677" s="3">
        <v>391561</v>
      </c>
      <c r="H677" s="3">
        <f t="shared" si="20"/>
        <v>2349366</v>
      </c>
      <c r="I677" s="5">
        <f>Table2[[#This Row],[Total Revenue]]*0.3</f>
        <v>704809.79999999993</v>
      </c>
      <c r="J677" s="6">
        <f t="shared" si="21"/>
        <v>0.3</v>
      </c>
      <c r="K677" t="str">
        <f>VLOOKUP(Table2[[#This Row],[ProductID]],Products!$A$1:C681,2)</f>
        <v>Laptop</v>
      </c>
      <c r="L677" t="str">
        <f>VLOOKUP(D677,Products!$A$1:C681,3)</f>
        <v>Electronics</v>
      </c>
      <c r="M677" t="str">
        <f>VLOOKUP(Table2[[#This Row],[AgentID]],Sales_Agents!$A$1:C680,2)</f>
        <v>Blessing</v>
      </c>
      <c r="N677" t="str">
        <f>VLOOKUP(Table2[[#This Row],[AgentID]],Sales_Agents!$A$1:C680,3)</f>
        <v>East</v>
      </c>
    </row>
    <row r="678" spans="1:14" x14ac:dyDescent="0.25">
      <c r="A678">
        <v>677</v>
      </c>
      <c r="B678" s="1">
        <v>45571</v>
      </c>
      <c r="C678" s="8" t="str">
        <f>TEXT(Table2[[#This Row],[OrderDate]],"mmm")</f>
        <v>Oct</v>
      </c>
      <c r="D678">
        <v>2</v>
      </c>
      <c r="E678">
        <v>2</v>
      </c>
      <c r="F678">
        <v>11</v>
      </c>
      <c r="G678" s="3">
        <v>72900</v>
      </c>
      <c r="H678" s="3">
        <f t="shared" si="20"/>
        <v>801900</v>
      </c>
      <c r="I678" s="5">
        <f>Table2[[#This Row],[Total Revenue]]*0.3</f>
        <v>240570</v>
      </c>
      <c r="J678" s="6">
        <f t="shared" si="21"/>
        <v>0.3</v>
      </c>
      <c r="K678" t="str">
        <f>VLOOKUP(Table2[[#This Row],[ProductID]],Products!$A$1:C682,2)</f>
        <v>Phone</v>
      </c>
      <c r="L678" t="str">
        <f>VLOOKUP(D678,Products!$A$1:C682,3)</f>
        <v>Electronics</v>
      </c>
      <c r="M678" t="str">
        <f>VLOOKUP(Table2[[#This Row],[AgentID]],Sales_Agents!$A$1:C681,2)</f>
        <v>Blessing</v>
      </c>
      <c r="N678" t="str">
        <f>VLOOKUP(Table2[[#This Row],[AgentID]],Sales_Agents!$A$1:C681,3)</f>
        <v>East</v>
      </c>
    </row>
    <row r="679" spans="1:14" x14ac:dyDescent="0.25">
      <c r="A679">
        <v>678</v>
      </c>
      <c r="B679" s="1">
        <v>45615</v>
      </c>
      <c r="C679" s="8" t="str">
        <f>TEXT(Table2[[#This Row],[OrderDate]],"mmm")</f>
        <v>Nov</v>
      </c>
      <c r="D679">
        <v>1</v>
      </c>
      <c r="E679">
        <v>2</v>
      </c>
      <c r="F679">
        <v>12</v>
      </c>
      <c r="G679" s="3">
        <v>334593</v>
      </c>
      <c r="H679" s="3">
        <f t="shared" si="20"/>
        <v>4015116</v>
      </c>
      <c r="I679" s="5">
        <f>Table2[[#This Row],[Total Revenue]]*0.3</f>
        <v>1204534.8</v>
      </c>
      <c r="J679" s="6">
        <f t="shared" si="21"/>
        <v>0.3</v>
      </c>
      <c r="K679" t="str">
        <f>VLOOKUP(Table2[[#This Row],[ProductID]],Products!$A$1:C683,2)</f>
        <v>Laptop</v>
      </c>
      <c r="L679" t="str">
        <f>VLOOKUP(D679,Products!$A$1:C683,3)</f>
        <v>Electronics</v>
      </c>
      <c r="M679" t="str">
        <f>VLOOKUP(Table2[[#This Row],[AgentID]],Sales_Agents!$A$1:C682,2)</f>
        <v>Blessing</v>
      </c>
      <c r="N679" t="str">
        <f>VLOOKUP(Table2[[#This Row],[AgentID]],Sales_Agents!$A$1:C682,3)</f>
        <v>East</v>
      </c>
    </row>
    <row r="680" spans="1:14" x14ac:dyDescent="0.25">
      <c r="A680">
        <v>679</v>
      </c>
      <c r="B680" s="1">
        <v>45650</v>
      </c>
      <c r="C680" s="8" t="str">
        <f>TEXT(Table2[[#This Row],[OrderDate]],"mmm")</f>
        <v>Dec</v>
      </c>
      <c r="D680">
        <v>4</v>
      </c>
      <c r="E680">
        <v>2</v>
      </c>
      <c r="F680">
        <v>4</v>
      </c>
      <c r="G680" s="3">
        <v>145766</v>
      </c>
      <c r="H680" s="3">
        <f t="shared" si="20"/>
        <v>583064</v>
      </c>
      <c r="I680" s="5">
        <f>Table2[[#This Row],[Total Revenue]]*0.3</f>
        <v>174919.19999999998</v>
      </c>
      <c r="J680" s="6">
        <f t="shared" si="21"/>
        <v>0.3</v>
      </c>
      <c r="K680" t="str">
        <f>VLOOKUP(Table2[[#This Row],[ProductID]],Products!$A$1:C684,2)</f>
        <v>Printer</v>
      </c>
      <c r="L680" t="str">
        <f>VLOOKUP(D680,Products!$A$1:C684,3)</f>
        <v>Accessories</v>
      </c>
      <c r="M680" t="str">
        <f>VLOOKUP(Table2[[#This Row],[AgentID]],Sales_Agents!$A$1:C683,2)</f>
        <v>Blessing</v>
      </c>
      <c r="N680" t="str">
        <f>VLOOKUP(Table2[[#This Row],[AgentID]],Sales_Agents!$A$1:C683,3)</f>
        <v>East</v>
      </c>
    </row>
    <row r="681" spans="1:14" x14ac:dyDescent="0.25">
      <c r="A681">
        <v>680</v>
      </c>
      <c r="B681" s="1">
        <v>45581</v>
      </c>
      <c r="C681" s="8" t="str">
        <f>TEXT(Table2[[#This Row],[OrderDate]],"mmm")</f>
        <v>Oct</v>
      </c>
      <c r="D681">
        <v>3</v>
      </c>
      <c r="E681">
        <v>3</v>
      </c>
      <c r="F681">
        <v>12</v>
      </c>
      <c r="G681" s="3">
        <v>136397</v>
      </c>
      <c r="H681" s="3">
        <f t="shared" si="20"/>
        <v>1636764</v>
      </c>
      <c r="I681" s="5">
        <f>Table2[[#This Row],[Total Revenue]]*0.3</f>
        <v>491029.19999999995</v>
      </c>
      <c r="J681" s="6">
        <f t="shared" si="21"/>
        <v>0.3</v>
      </c>
      <c r="K681" t="str">
        <f>VLOOKUP(Table2[[#This Row],[ProductID]],Products!$A$1:C685,2)</f>
        <v>Tablet</v>
      </c>
      <c r="L681" t="str">
        <f>VLOOKUP(D681,Products!$A$1:C685,3)</f>
        <v>Electronics</v>
      </c>
      <c r="M681" t="str">
        <f>VLOOKUP(Table2[[#This Row],[AgentID]],Sales_Agents!$A$1:C684,2)</f>
        <v>Chinedu</v>
      </c>
      <c r="N681" t="str">
        <f>VLOOKUP(Table2[[#This Row],[AgentID]],Sales_Agents!$A$1:C684,3)</f>
        <v>South</v>
      </c>
    </row>
    <row r="682" spans="1:14" x14ac:dyDescent="0.25">
      <c r="A682">
        <v>681</v>
      </c>
      <c r="B682" s="1">
        <v>45525</v>
      </c>
      <c r="C682" s="8" t="str">
        <f>TEXT(Table2[[#This Row],[OrderDate]],"mmm")</f>
        <v>Aug</v>
      </c>
      <c r="D682">
        <v>2</v>
      </c>
      <c r="E682">
        <v>2</v>
      </c>
      <c r="F682">
        <v>11</v>
      </c>
      <c r="G682" s="3">
        <v>319256</v>
      </c>
      <c r="H682" s="3">
        <f t="shared" si="20"/>
        <v>3511816</v>
      </c>
      <c r="I682" s="5">
        <f>Table2[[#This Row],[Total Revenue]]*0.3</f>
        <v>1053544.8</v>
      </c>
      <c r="J682" s="6">
        <f t="shared" si="21"/>
        <v>0.3</v>
      </c>
      <c r="K682" t="str">
        <f>VLOOKUP(Table2[[#This Row],[ProductID]],Products!$A$1:C686,2)</f>
        <v>Phone</v>
      </c>
      <c r="L682" t="str">
        <f>VLOOKUP(D682,Products!$A$1:C686,3)</f>
        <v>Electronics</v>
      </c>
      <c r="M682" t="str">
        <f>VLOOKUP(Table2[[#This Row],[AgentID]],Sales_Agents!$A$1:C685,2)</f>
        <v>Blessing</v>
      </c>
      <c r="N682" t="str">
        <f>VLOOKUP(Table2[[#This Row],[AgentID]],Sales_Agents!$A$1:C685,3)</f>
        <v>East</v>
      </c>
    </row>
    <row r="683" spans="1:14" x14ac:dyDescent="0.25">
      <c r="A683">
        <v>682</v>
      </c>
      <c r="B683" s="1">
        <v>45517</v>
      </c>
      <c r="C683" s="8" t="str">
        <f>TEXT(Table2[[#This Row],[OrderDate]],"mmm")</f>
        <v>Aug</v>
      </c>
      <c r="D683">
        <v>4</v>
      </c>
      <c r="E683">
        <v>2</v>
      </c>
      <c r="F683">
        <v>14</v>
      </c>
      <c r="G683" s="3">
        <v>370327</v>
      </c>
      <c r="H683" s="3">
        <f t="shared" si="20"/>
        <v>5184578</v>
      </c>
      <c r="I683" s="5">
        <f>Table2[[#This Row],[Total Revenue]]*0.3</f>
        <v>1555373.4</v>
      </c>
      <c r="J683" s="6">
        <f t="shared" si="21"/>
        <v>0.3</v>
      </c>
      <c r="K683" t="str">
        <f>VLOOKUP(Table2[[#This Row],[ProductID]],Products!$A$1:C687,2)</f>
        <v>Printer</v>
      </c>
      <c r="L683" t="str">
        <f>VLOOKUP(D683,Products!$A$1:C687,3)</f>
        <v>Accessories</v>
      </c>
      <c r="M683" t="str">
        <f>VLOOKUP(Table2[[#This Row],[AgentID]],Sales_Agents!$A$1:C686,2)</f>
        <v>Blessing</v>
      </c>
      <c r="N683" t="str">
        <f>VLOOKUP(Table2[[#This Row],[AgentID]],Sales_Agents!$A$1:C686,3)</f>
        <v>East</v>
      </c>
    </row>
    <row r="684" spans="1:14" x14ac:dyDescent="0.25">
      <c r="A684">
        <v>683</v>
      </c>
      <c r="B684" s="1">
        <v>45564</v>
      </c>
      <c r="C684" s="8" t="str">
        <f>TEXT(Table2[[#This Row],[OrderDate]],"mmm")</f>
        <v>Sept</v>
      </c>
      <c r="D684">
        <v>3</v>
      </c>
      <c r="E684">
        <v>3</v>
      </c>
      <c r="F684">
        <v>3</v>
      </c>
      <c r="G684" s="3">
        <v>64792</v>
      </c>
      <c r="H684" s="3">
        <f t="shared" si="20"/>
        <v>194376</v>
      </c>
      <c r="I684" s="5">
        <f>Table2[[#This Row],[Total Revenue]]*0.3</f>
        <v>58312.799999999996</v>
      </c>
      <c r="J684" s="6">
        <f t="shared" si="21"/>
        <v>0.3</v>
      </c>
      <c r="K684" t="str">
        <f>VLOOKUP(Table2[[#This Row],[ProductID]],Products!$A$1:C688,2)</f>
        <v>Tablet</v>
      </c>
      <c r="L684" t="str">
        <f>VLOOKUP(D684,Products!$A$1:C688,3)</f>
        <v>Electronics</v>
      </c>
      <c r="M684" t="str">
        <f>VLOOKUP(Table2[[#This Row],[AgentID]],Sales_Agents!$A$1:C687,2)</f>
        <v>Chinedu</v>
      </c>
      <c r="N684" t="str">
        <f>VLOOKUP(Table2[[#This Row],[AgentID]],Sales_Agents!$A$1:C687,3)</f>
        <v>South</v>
      </c>
    </row>
    <row r="685" spans="1:14" x14ac:dyDescent="0.25">
      <c r="A685">
        <v>684</v>
      </c>
      <c r="B685" s="1">
        <v>45622</v>
      </c>
      <c r="C685" s="8" t="str">
        <f>TEXT(Table2[[#This Row],[OrderDate]],"mmm")</f>
        <v>Nov</v>
      </c>
      <c r="D685">
        <v>4</v>
      </c>
      <c r="E685">
        <v>2</v>
      </c>
      <c r="F685">
        <v>13</v>
      </c>
      <c r="G685" s="3">
        <v>394211</v>
      </c>
      <c r="H685" s="3">
        <f t="shared" si="20"/>
        <v>5124743</v>
      </c>
      <c r="I685" s="5">
        <f>Table2[[#This Row],[Total Revenue]]*0.3</f>
        <v>1537422.9</v>
      </c>
      <c r="J685" s="6">
        <f t="shared" si="21"/>
        <v>0.3</v>
      </c>
      <c r="K685" t="str">
        <f>VLOOKUP(Table2[[#This Row],[ProductID]],Products!$A$1:C689,2)</f>
        <v>Printer</v>
      </c>
      <c r="L685" t="str">
        <f>VLOOKUP(D685,Products!$A$1:C689,3)</f>
        <v>Accessories</v>
      </c>
      <c r="M685" t="str">
        <f>VLOOKUP(Table2[[#This Row],[AgentID]],Sales_Agents!$A$1:C688,2)</f>
        <v>Blessing</v>
      </c>
      <c r="N685" t="str">
        <f>VLOOKUP(Table2[[#This Row],[AgentID]],Sales_Agents!$A$1:C688,3)</f>
        <v>East</v>
      </c>
    </row>
    <row r="686" spans="1:14" x14ac:dyDescent="0.25">
      <c r="A686">
        <v>685</v>
      </c>
      <c r="B686" s="1">
        <v>45540</v>
      </c>
      <c r="C686" s="8" t="str">
        <f>TEXT(Table2[[#This Row],[OrderDate]],"mmm")</f>
        <v>Sept</v>
      </c>
      <c r="D686">
        <v>3</v>
      </c>
      <c r="E686">
        <v>3</v>
      </c>
      <c r="F686">
        <v>1</v>
      </c>
      <c r="G686" s="3">
        <v>355485</v>
      </c>
      <c r="H686" s="3">
        <f t="shared" si="20"/>
        <v>355485</v>
      </c>
      <c r="I686" s="5">
        <f>Table2[[#This Row],[Total Revenue]]*0.3</f>
        <v>106645.5</v>
      </c>
      <c r="J686" s="6">
        <f t="shared" si="21"/>
        <v>0.3</v>
      </c>
      <c r="K686" t="str">
        <f>VLOOKUP(Table2[[#This Row],[ProductID]],Products!$A$1:C690,2)</f>
        <v>Tablet</v>
      </c>
      <c r="L686" t="str">
        <f>VLOOKUP(D686,Products!$A$1:C690,3)</f>
        <v>Electronics</v>
      </c>
      <c r="M686" t="str">
        <f>VLOOKUP(Table2[[#This Row],[AgentID]],Sales_Agents!$A$1:C689,2)</f>
        <v>Chinedu</v>
      </c>
      <c r="N686" t="str">
        <f>VLOOKUP(Table2[[#This Row],[AgentID]],Sales_Agents!$A$1:C689,3)</f>
        <v>South</v>
      </c>
    </row>
    <row r="687" spans="1:14" x14ac:dyDescent="0.25">
      <c r="A687">
        <v>686</v>
      </c>
      <c r="B687" s="1">
        <v>45466</v>
      </c>
      <c r="C687" s="8" t="str">
        <f>TEXT(Table2[[#This Row],[OrderDate]],"mmm")</f>
        <v>Jun</v>
      </c>
      <c r="D687">
        <v>3</v>
      </c>
      <c r="E687">
        <v>2</v>
      </c>
      <c r="F687">
        <v>2</v>
      </c>
      <c r="G687" s="3">
        <v>133691</v>
      </c>
      <c r="H687" s="3">
        <f t="shared" si="20"/>
        <v>267382</v>
      </c>
      <c r="I687" s="5">
        <f>Table2[[#This Row],[Total Revenue]]*0.3</f>
        <v>80214.599999999991</v>
      </c>
      <c r="J687" s="6">
        <f t="shared" si="21"/>
        <v>0.3</v>
      </c>
      <c r="K687" t="str">
        <f>VLOOKUP(Table2[[#This Row],[ProductID]],Products!$A$1:C691,2)</f>
        <v>Tablet</v>
      </c>
      <c r="L687" t="str">
        <f>VLOOKUP(D687,Products!$A$1:C691,3)</f>
        <v>Electronics</v>
      </c>
      <c r="M687" t="str">
        <f>VLOOKUP(Table2[[#This Row],[AgentID]],Sales_Agents!$A$1:C690,2)</f>
        <v>Blessing</v>
      </c>
      <c r="N687" t="str">
        <f>VLOOKUP(Table2[[#This Row],[AgentID]],Sales_Agents!$A$1:C690,3)</f>
        <v>East</v>
      </c>
    </row>
    <row r="688" spans="1:14" x14ac:dyDescent="0.25">
      <c r="A688">
        <v>687</v>
      </c>
      <c r="B688" s="1">
        <v>45438</v>
      </c>
      <c r="C688" s="8" t="str">
        <f>TEXT(Table2[[#This Row],[OrderDate]],"mmm")</f>
        <v>May</v>
      </c>
      <c r="D688">
        <v>3</v>
      </c>
      <c r="E688">
        <v>4</v>
      </c>
      <c r="F688">
        <v>10</v>
      </c>
      <c r="G688" s="3">
        <v>303177</v>
      </c>
      <c r="H688" s="3">
        <f t="shared" si="20"/>
        <v>3031770</v>
      </c>
      <c r="I688" s="5">
        <f>Table2[[#This Row],[Total Revenue]]*0.3</f>
        <v>909531</v>
      </c>
      <c r="J688" s="6">
        <f t="shared" si="21"/>
        <v>0.3</v>
      </c>
      <c r="K688" t="str">
        <f>VLOOKUP(Table2[[#This Row],[ProductID]],Products!$A$1:C692,2)</f>
        <v>Tablet</v>
      </c>
      <c r="L688" t="str">
        <f>VLOOKUP(D688,Products!$A$1:C692,3)</f>
        <v>Electronics</v>
      </c>
      <c r="M688" t="str">
        <f>VLOOKUP(Table2[[#This Row],[AgentID]],Sales_Agents!$A$1:C691,2)</f>
        <v>Zainab</v>
      </c>
      <c r="N688" t="str">
        <f>VLOOKUP(Table2[[#This Row],[AgentID]],Sales_Agents!$A$1:C691,3)</f>
        <v>North</v>
      </c>
    </row>
    <row r="689" spans="1:14" x14ac:dyDescent="0.25">
      <c r="A689">
        <v>688</v>
      </c>
      <c r="B689" s="1">
        <v>45501</v>
      </c>
      <c r="C689" s="8" t="str">
        <f>TEXT(Table2[[#This Row],[OrderDate]],"mmm")</f>
        <v>Jul</v>
      </c>
      <c r="D689">
        <v>1</v>
      </c>
      <c r="E689">
        <v>4</v>
      </c>
      <c r="F689">
        <v>11</v>
      </c>
      <c r="G689" s="3">
        <v>306360</v>
      </c>
      <c r="H689" s="3">
        <f t="shared" si="20"/>
        <v>3369960</v>
      </c>
      <c r="I689" s="5">
        <f>Table2[[#This Row],[Total Revenue]]*0.3</f>
        <v>1010988</v>
      </c>
      <c r="J689" s="6">
        <f t="shared" si="21"/>
        <v>0.3</v>
      </c>
      <c r="K689" t="str">
        <f>VLOOKUP(Table2[[#This Row],[ProductID]],Products!$A$1:C693,2)</f>
        <v>Laptop</v>
      </c>
      <c r="L689" t="str">
        <f>VLOOKUP(D689,Products!$A$1:C693,3)</f>
        <v>Electronics</v>
      </c>
      <c r="M689" t="str">
        <f>VLOOKUP(Table2[[#This Row],[AgentID]],Sales_Agents!$A$1:C692,2)</f>
        <v>Zainab</v>
      </c>
      <c r="N689" t="str">
        <f>VLOOKUP(Table2[[#This Row],[AgentID]],Sales_Agents!$A$1:C692,3)</f>
        <v>North</v>
      </c>
    </row>
    <row r="690" spans="1:14" x14ac:dyDescent="0.25">
      <c r="A690">
        <v>689</v>
      </c>
      <c r="B690" s="1">
        <v>45479</v>
      </c>
      <c r="C690" s="8" t="str">
        <f>TEXT(Table2[[#This Row],[OrderDate]],"mmm")</f>
        <v>Jul</v>
      </c>
      <c r="D690">
        <v>1</v>
      </c>
      <c r="E690">
        <v>2</v>
      </c>
      <c r="F690">
        <v>20</v>
      </c>
      <c r="G690" s="3">
        <v>111384</v>
      </c>
      <c r="H690" s="3">
        <f t="shared" si="20"/>
        <v>2227680</v>
      </c>
      <c r="I690" s="5">
        <f>Table2[[#This Row],[Total Revenue]]*0.3</f>
        <v>668304</v>
      </c>
      <c r="J690" s="6">
        <f t="shared" si="21"/>
        <v>0.3</v>
      </c>
      <c r="K690" t="str">
        <f>VLOOKUP(Table2[[#This Row],[ProductID]],Products!$A$1:C694,2)</f>
        <v>Laptop</v>
      </c>
      <c r="L690" t="str">
        <f>VLOOKUP(D690,Products!$A$1:C694,3)</f>
        <v>Electronics</v>
      </c>
      <c r="M690" t="str">
        <f>VLOOKUP(Table2[[#This Row],[AgentID]],Sales_Agents!$A$1:C693,2)</f>
        <v>Blessing</v>
      </c>
      <c r="N690" t="str">
        <f>VLOOKUP(Table2[[#This Row],[AgentID]],Sales_Agents!$A$1:C693,3)</f>
        <v>East</v>
      </c>
    </row>
    <row r="691" spans="1:14" x14ac:dyDescent="0.25">
      <c r="A691">
        <v>690</v>
      </c>
      <c r="B691" s="1">
        <v>45617</v>
      </c>
      <c r="C691" s="8" t="str">
        <f>TEXT(Table2[[#This Row],[OrderDate]],"mmm")</f>
        <v>Nov</v>
      </c>
      <c r="D691">
        <v>5</v>
      </c>
      <c r="E691">
        <v>1</v>
      </c>
      <c r="F691">
        <v>8</v>
      </c>
      <c r="G691" s="3">
        <v>261299</v>
      </c>
      <c r="H691" s="3">
        <f t="shared" si="20"/>
        <v>2090392</v>
      </c>
      <c r="I691" s="5">
        <f>Table2[[#This Row],[Total Revenue]]*0.3</f>
        <v>627117.6</v>
      </c>
      <c r="J691" s="6">
        <f t="shared" si="21"/>
        <v>0.3</v>
      </c>
      <c r="K691" t="str">
        <f>VLOOKUP(Table2[[#This Row],[ProductID]],Products!$A$1:C695,2)</f>
        <v>Monitor</v>
      </c>
      <c r="L691" t="str">
        <f>VLOOKUP(D691,Products!$A$1:C695,3)</f>
        <v>Accessories</v>
      </c>
      <c r="M691" t="str">
        <f>VLOOKUP(Table2[[#This Row],[AgentID]],Sales_Agents!$A$1:C694,2)</f>
        <v>Akin</v>
      </c>
      <c r="N691" t="str">
        <f>VLOOKUP(Table2[[#This Row],[AgentID]],Sales_Agents!$A$1:C694,3)</f>
        <v>West</v>
      </c>
    </row>
    <row r="692" spans="1:14" x14ac:dyDescent="0.25">
      <c r="A692">
        <v>691</v>
      </c>
      <c r="B692" s="1">
        <v>45386</v>
      </c>
      <c r="C692" s="8" t="str">
        <f>TEXT(Table2[[#This Row],[OrderDate]],"mmm")</f>
        <v>Apr</v>
      </c>
      <c r="D692">
        <v>4</v>
      </c>
      <c r="E692">
        <v>3</v>
      </c>
      <c r="F692">
        <v>9</v>
      </c>
      <c r="G692" s="3">
        <v>308310</v>
      </c>
      <c r="H692" s="3">
        <f t="shared" si="20"/>
        <v>2774790</v>
      </c>
      <c r="I692" s="5">
        <f>Table2[[#This Row],[Total Revenue]]*0.3</f>
        <v>832437</v>
      </c>
      <c r="J692" s="6">
        <f t="shared" si="21"/>
        <v>0.3</v>
      </c>
      <c r="K692" t="str">
        <f>VLOOKUP(Table2[[#This Row],[ProductID]],Products!$A$1:C696,2)</f>
        <v>Printer</v>
      </c>
      <c r="L692" t="str">
        <f>VLOOKUP(D692,Products!$A$1:C696,3)</f>
        <v>Accessories</v>
      </c>
      <c r="M692" t="str">
        <f>VLOOKUP(Table2[[#This Row],[AgentID]],Sales_Agents!$A$1:C695,2)</f>
        <v>Chinedu</v>
      </c>
      <c r="N692" t="str">
        <f>VLOOKUP(Table2[[#This Row],[AgentID]],Sales_Agents!$A$1:C695,3)</f>
        <v>South</v>
      </c>
    </row>
    <row r="693" spans="1:14" x14ac:dyDescent="0.25">
      <c r="A693">
        <v>692</v>
      </c>
      <c r="B693" s="1">
        <v>45586</v>
      </c>
      <c r="C693" s="8" t="str">
        <f>TEXT(Table2[[#This Row],[OrderDate]],"mmm")</f>
        <v>Oct</v>
      </c>
      <c r="D693">
        <v>2</v>
      </c>
      <c r="E693">
        <v>2</v>
      </c>
      <c r="F693">
        <v>17</v>
      </c>
      <c r="G693" s="3">
        <v>274952</v>
      </c>
      <c r="H693" s="3">
        <f t="shared" si="20"/>
        <v>4674184</v>
      </c>
      <c r="I693" s="5">
        <f>Table2[[#This Row],[Total Revenue]]*0.3</f>
        <v>1402255.2</v>
      </c>
      <c r="J693" s="6">
        <f t="shared" si="21"/>
        <v>0.3</v>
      </c>
      <c r="K693" t="str">
        <f>VLOOKUP(Table2[[#This Row],[ProductID]],Products!$A$1:C697,2)</f>
        <v>Phone</v>
      </c>
      <c r="L693" t="str">
        <f>VLOOKUP(D693,Products!$A$1:C697,3)</f>
        <v>Electronics</v>
      </c>
      <c r="M693" t="str">
        <f>VLOOKUP(Table2[[#This Row],[AgentID]],Sales_Agents!$A$1:C696,2)</f>
        <v>Blessing</v>
      </c>
      <c r="N693" t="str">
        <f>VLOOKUP(Table2[[#This Row],[AgentID]],Sales_Agents!$A$1:C696,3)</f>
        <v>East</v>
      </c>
    </row>
    <row r="694" spans="1:14" x14ac:dyDescent="0.25">
      <c r="A694">
        <v>693</v>
      </c>
      <c r="B694" s="1">
        <v>45563</v>
      </c>
      <c r="C694" s="8" t="str">
        <f>TEXT(Table2[[#This Row],[OrderDate]],"mmm")</f>
        <v>Sept</v>
      </c>
      <c r="D694">
        <v>3</v>
      </c>
      <c r="E694">
        <v>1</v>
      </c>
      <c r="F694">
        <v>4</v>
      </c>
      <c r="G694" s="3">
        <v>370610</v>
      </c>
      <c r="H694" s="3">
        <f t="shared" si="20"/>
        <v>1482440</v>
      </c>
      <c r="I694" s="5">
        <f>Table2[[#This Row],[Total Revenue]]*0.3</f>
        <v>444732</v>
      </c>
      <c r="J694" s="6">
        <f t="shared" si="21"/>
        <v>0.3</v>
      </c>
      <c r="K694" t="str">
        <f>VLOOKUP(Table2[[#This Row],[ProductID]],Products!$A$1:C698,2)</f>
        <v>Tablet</v>
      </c>
      <c r="L694" t="str">
        <f>VLOOKUP(D694,Products!$A$1:C698,3)</f>
        <v>Electronics</v>
      </c>
      <c r="M694" t="str">
        <f>VLOOKUP(Table2[[#This Row],[AgentID]],Sales_Agents!$A$1:C697,2)</f>
        <v>Akin</v>
      </c>
      <c r="N694" t="str">
        <f>VLOOKUP(Table2[[#This Row],[AgentID]],Sales_Agents!$A$1:C697,3)</f>
        <v>West</v>
      </c>
    </row>
    <row r="695" spans="1:14" x14ac:dyDescent="0.25">
      <c r="A695">
        <v>694</v>
      </c>
      <c r="B695" s="1">
        <v>45516</v>
      </c>
      <c r="C695" s="8" t="str">
        <f>TEXT(Table2[[#This Row],[OrderDate]],"mmm")</f>
        <v>Aug</v>
      </c>
      <c r="D695">
        <v>5</v>
      </c>
      <c r="E695">
        <v>2</v>
      </c>
      <c r="F695">
        <v>13</v>
      </c>
      <c r="G695" s="3">
        <v>324996</v>
      </c>
      <c r="H695" s="3">
        <f t="shared" si="20"/>
        <v>4224948</v>
      </c>
      <c r="I695" s="5">
        <f>Table2[[#This Row],[Total Revenue]]*0.3</f>
        <v>1267484.3999999999</v>
      </c>
      <c r="J695" s="6">
        <f t="shared" si="21"/>
        <v>0.3</v>
      </c>
      <c r="K695" t="str">
        <f>VLOOKUP(Table2[[#This Row],[ProductID]],Products!$A$1:C699,2)</f>
        <v>Monitor</v>
      </c>
      <c r="L695" t="str">
        <f>VLOOKUP(D695,Products!$A$1:C699,3)</f>
        <v>Accessories</v>
      </c>
      <c r="M695" t="str">
        <f>VLOOKUP(Table2[[#This Row],[AgentID]],Sales_Agents!$A$1:C698,2)</f>
        <v>Blessing</v>
      </c>
      <c r="N695" t="str">
        <f>VLOOKUP(Table2[[#This Row],[AgentID]],Sales_Agents!$A$1:C698,3)</f>
        <v>East</v>
      </c>
    </row>
    <row r="696" spans="1:14" x14ac:dyDescent="0.25">
      <c r="A696">
        <v>695</v>
      </c>
      <c r="B696" s="1">
        <v>45368</v>
      </c>
      <c r="C696" s="8" t="str">
        <f>TEXT(Table2[[#This Row],[OrderDate]],"mmm")</f>
        <v>Mar</v>
      </c>
      <c r="D696">
        <v>4</v>
      </c>
      <c r="E696">
        <v>1</v>
      </c>
      <c r="F696">
        <v>20</v>
      </c>
      <c r="G696" s="3">
        <v>389655</v>
      </c>
      <c r="H696" s="3">
        <f t="shared" si="20"/>
        <v>7793100</v>
      </c>
      <c r="I696" s="5">
        <f>Table2[[#This Row],[Total Revenue]]*0.3</f>
        <v>2337930</v>
      </c>
      <c r="J696" s="6">
        <f t="shared" si="21"/>
        <v>0.3</v>
      </c>
      <c r="K696" t="str">
        <f>VLOOKUP(Table2[[#This Row],[ProductID]],Products!$A$1:C700,2)</f>
        <v>Printer</v>
      </c>
      <c r="L696" t="str">
        <f>VLOOKUP(D696,Products!$A$1:C700,3)</f>
        <v>Accessories</v>
      </c>
      <c r="M696" t="str">
        <f>VLOOKUP(Table2[[#This Row],[AgentID]],Sales_Agents!$A$1:C699,2)</f>
        <v>Akin</v>
      </c>
      <c r="N696" t="str">
        <f>VLOOKUP(Table2[[#This Row],[AgentID]],Sales_Agents!$A$1:C699,3)</f>
        <v>West</v>
      </c>
    </row>
    <row r="697" spans="1:14" x14ac:dyDescent="0.25">
      <c r="A697">
        <v>696</v>
      </c>
      <c r="B697" s="1">
        <v>45607</v>
      </c>
      <c r="C697" s="8" t="str">
        <f>TEXT(Table2[[#This Row],[OrderDate]],"mmm")</f>
        <v>Nov</v>
      </c>
      <c r="D697">
        <v>1</v>
      </c>
      <c r="E697">
        <v>2</v>
      </c>
      <c r="F697">
        <v>17</v>
      </c>
      <c r="G697" s="3">
        <v>74722</v>
      </c>
      <c r="H697" s="3">
        <f t="shared" si="20"/>
        <v>1270274</v>
      </c>
      <c r="I697" s="5">
        <f>Table2[[#This Row],[Total Revenue]]*0.3</f>
        <v>381082.2</v>
      </c>
      <c r="J697" s="6">
        <f t="shared" si="21"/>
        <v>0.3</v>
      </c>
      <c r="K697" t="str">
        <f>VLOOKUP(Table2[[#This Row],[ProductID]],Products!$A$1:C701,2)</f>
        <v>Laptop</v>
      </c>
      <c r="L697" t="str">
        <f>VLOOKUP(D697,Products!$A$1:C701,3)</f>
        <v>Electronics</v>
      </c>
      <c r="M697" t="str">
        <f>VLOOKUP(Table2[[#This Row],[AgentID]],Sales_Agents!$A$1:C700,2)</f>
        <v>Blessing</v>
      </c>
      <c r="N697" t="str">
        <f>VLOOKUP(Table2[[#This Row],[AgentID]],Sales_Agents!$A$1:C700,3)</f>
        <v>East</v>
      </c>
    </row>
    <row r="698" spans="1:14" x14ac:dyDescent="0.25">
      <c r="A698">
        <v>697</v>
      </c>
      <c r="B698" s="1">
        <v>45633</v>
      </c>
      <c r="C698" s="8" t="str">
        <f>TEXT(Table2[[#This Row],[OrderDate]],"mmm")</f>
        <v>Dec</v>
      </c>
      <c r="D698">
        <v>4</v>
      </c>
      <c r="E698">
        <v>3</v>
      </c>
      <c r="F698">
        <v>14</v>
      </c>
      <c r="G698" s="3">
        <v>259272</v>
      </c>
      <c r="H698" s="3">
        <f t="shared" si="20"/>
        <v>3629808</v>
      </c>
      <c r="I698" s="5">
        <f>Table2[[#This Row],[Total Revenue]]*0.3</f>
        <v>1088942.3999999999</v>
      </c>
      <c r="J698" s="6">
        <f t="shared" si="21"/>
        <v>0.3</v>
      </c>
      <c r="K698" t="str">
        <f>VLOOKUP(Table2[[#This Row],[ProductID]],Products!$A$1:C702,2)</f>
        <v>Printer</v>
      </c>
      <c r="L698" t="str">
        <f>VLOOKUP(D698,Products!$A$1:C702,3)</f>
        <v>Accessories</v>
      </c>
      <c r="M698" t="str">
        <f>VLOOKUP(Table2[[#This Row],[AgentID]],Sales_Agents!$A$1:C701,2)</f>
        <v>Chinedu</v>
      </c>
      <c r="N698" t="str">
        <f>VLOOKUP(Table2[[#This Row],[AgentID]],Sales_Agents!$A$1:C701,3)</f>
        <v>South</v>
      </c>
    </row>
    <row r="699" spans="1:14" x14ac:dyDescent="0.25">
      <c r="A699">
        <v>698</v>
      </c>
      <c r="B699" s="1">
        <v>45524</v>
      </c>
      <c r="C699" s="8" t="str">
        <f>TEXT(Table2[[#This Row],[OrderDate]],"mmm")</f>
        <v>Aug</v>
      </c>
      <c r="D699">
        <v>5</v>
      </c>
      <c r="E699">
        <v>4</v>
      </c>
      <c r="F699">
        <v>5</v>
      </c>
      <c r="G699" s="3">
        <v>209063</v>
      </c>
      <c r="H699" s="3">
        <f t="shared" si="20"/>
        <v>1045315</v>
      </c>
      <c r="I699" s="5">
        <f>Table2[[#This Row],[Total Revenue]]*0.3</f>
        <v>313594.5</v>
      </c>
      <c r="J699" s="6">
        <f t="shared" si="21"/>
        <v>0.3</v>
      </c>
      <c r="K699" t="str">
        <f>VLOOKUP(Table2[[#This Row],[ProductID]],Products!$A$1:C703,2)</f>
        <v>Monitor</v>
      </c>
      <c r="L699" t="str">
        <f>VLOOKUP(D699,Products!$A$1:C703,3)</f>
        <v>Accessories</v>
      </c>
      <c r="M699" t="str">
        <f>VLOOKUP(Table2[[#This Row],[AgentID]],Sales_Agents!$A$1:C702,2)</f>
        <v>Zainab</v>
      </c>
      <c r="N699" t="str">
        <f>VLOOKUP(Table2[[#This Row],[AgentID]],Sales_Agents!$A$1:C702,3)</f>
        <v>North</v>
      </c>
    </row>
    <row r="700" spans="1:14" x14ac:dyDescent="0.25">
      <c r="A700">
        <v>699</v>
      </c>
      <c r="B700" s="1">
        <v>45531</v>
      </c>
      <c r="C700" s="8" t="str">
        <f>TEXT(Table2[[#This Row],[OrderDate]],"mmm")</f>
        <v>Aug</v>
      </c>
      <c r="D700">
        <v>2</v>
      </c>
      <c r="E700">
        <v>1</v>
      </c>
      <c r="F700">
        <v>20</v>
      </c>
      <c r="G700" s="3">
        <v>111711</v>
      </c>
      <c r="H700" s="3">
        <f t="shared" si="20"/>
        <v>2234220</v>
      </c>
      <c r="I700" s="5">
        <f>Table2[[#This Row],[Total Revenue]]*0.3</f>
        <v>670266</v>
      </c>
      <c r="J700" s="6">
        <f t="shared" si="21"/>
        <v>0.3</v>
      </c>
      <c r="K700" t="str">
        <f>VLOOKUP(Table2[[#This Row],[ProductID]],Products!$A$1:C704,2)</f>
        <v>Phone</v>
      </c>
      <c r="L700" t="str">
        <f>VLOOKUP(D700,Products!$A$1:C704,3)</f>
        <v>Electronics</v>
      </c>
      <c r="M700" t="str">
        <f>VLOOKUP(Table2[[#This Row],[AgentID]],Sales_Agents!$A$1:C703,2)</f>
        <v>Akin</v>
      </c>
      <c r="N700" t="str">
        <f>VLOOKUP(Table2[[#This Row],[AgentID]],Sales_Agents!$A$1:C703,3)</f>
        <v>West</v>
      </c>
    </row>
    <row r="701" spans="1:14" x14ac:dyDescent="0.25">
      <c r="A701">
        <v>700</v>
      </c>
      <c r="B701" s="1">
        <v>45399</v>
      </c>
      <c r="C701" s="8" t="str">
        <f>TEXT(Table2[[#This Row],[OrderDate]],"mmm")</f>
        <v>Apr</v>
      </c>
      <c r="D701">
        <v>4</v>
      </c>
      <c r="E701">
        <v>1</v>
      </c>
      <c r="F701">
        <v>12</v>
      </c>
      <c r="G701" s="3">
        <v>330839</v>
      </c>
      <c r="H701" s="3">
        <f t="shared" si="20"/>
        <v>3970068</v>
      </c>
      <c r="I701" s="5">
        <f>Table2[[#This Row],[Total Revenue]]*0.3</f>
        <v>1191020.3999999999</v>
      </c>
      <c r="J701" s="6">
        <f t="shared" si="21"/>
        <v>0.3</v>
      </c>
      <c r="K701" t="str">
        <f>VLOOKUP(Table2[[#This Row],[ProductID]],Products!$A$1:C705,2)</f>
        <v>Printer</v>
      </c>
      <c r="L701" t="str">
        <f>VLOOKUP(D701,Products!$A$1:C705,3)</f>
        <v>Accessories</v>
      </c>
      <c r="M701" t="str">
        <f>VLOOKUP(Table2[[#This Row],[AgentID]],Sales_Agents!$A$1:C704,2)</f>
        <v>Akin</v>
      </c>
      <c r="N701" t="str">
        <f>VLOOKUP(Table2[[#This Row],[AgentID]],Sales_Agents!$A$1:C704,3)</f>
        <v>West</v>
      </c>
    </row>
    <row r="702" spans="1:14" x14ac:dyDescent="0.25">
      <c r="A702">
        <v>701</v>
      </c>
      <c r="B702" s="1">
        <v>45565</v>
      </c>
      <c r="C702" s="8" t="str">
        <f>TEXT(Table2[[#This Row],[OrderDate]],"mmm")</f>
        <v>Sept</v>
      </c>
      <c r="D702">
        <v>2</v>
      </c>
      <c r="E702">
        <v>4</v>
      </c>
      <c r="F702">
        <v>4</v>
      </c>
      <c r="G702" s="3">
        <v>357192</v>
      </c>
      <c r="H702" s="3">
        <f t="shared" si="20"/>
        <v>1428768</v>
      </c>
      <c r="I702" s="5">
        <f>Table2[[#This Row],[Total Revenue]]*0.3</f>
        <v>428630.39999999997</v>
      </c>
      <c r="J702" s="6">
        <f t="shared" si="21"/>
        <v>0.3</v>
      </c>
      <c r="K702" t="str">
        <f>VLOOKUP(Table2[[#This Row],[ProductID]],Products!$A$1:C706,2)</f>
        <v>Phone</v>
      </c>
      <c r="L702" t="str">
        <f>VLOOKUP(D702,Products!$A$1:C706,3)</f>
        <v>Electronics</v>
      </c>
      <c r="M702" t="str">
        <f>VLOOKUP(Table2[[#This Row],[AgentID]],Sales_Agents!$A$1:C705,2)</f>
        <v>Zainab</v>
      </c>
      <c r="N702" t="str">
        <f>VLOOKUP(Table2[[#This Row],[AgentID]],Sales_Agents!$A$1:C705,3)</f>
        <v>North</v>
      </c>
    </row>
    <row r="703" spans="1:14" x14ac:dyDescent="0.25">
      <c r="A703">
        <v>702</v>
      </c>
      <c r="B703" s="1">
        <v>45316</v>
      </c>
      <c r="C703" s="8" t="str">
        <f>TEXT(Table2[[#This Row],[OrderDate]],"mmm")</f>
        <v>Jan</v>
      </c>
      <c r="D703">
        <v>1</v>
      </c>
      <c r="E703">
        <v>3</v>
      </c>
      <c r="F703">
        <v>18</v>
      </c>
      <c r="G703" s="3">
        <v>299136</v>
      </c>
      <c r="H703" s="3">
        <f t="shared" si="20"/>
        <v>5384448</v>
      </c>
      <c r="I703" s="5">
        <f>Table2[[#This Row],[Total Revenue]]*0.3</f>
        <v>1615334.3999999999</v>
      </c>
      <c r="J703" s="6">
        <f t="shared" si="21"/>
        <v>0.3</v>
      </c>
      <c r="K703" t="str">
        <f>VLOOKUP(Table2[[#This Row],[ProductID]],Products!$A$1:C707,2)</f>
        <v>Laptop</v>
      </c>
      <c r="L703" t="str">
        <f>VLOOKUP(D703,Products!$A$1:C707,3)</f>
        <v>Electronics</v>
      </c>
      <c r="M703" t="str">
        <f>VLOOKUP(Table2[[#This Row],[AgentID]],Sales_Agents!$A$1:C706,2)</f>
        <v>Chinedu</v>
      </c>
      <c r="N703" t="str">
        <f>VLOOKUP(Table2[[#This Row],[AgentID]],Sales_Agents!$A$1:C706,3)</f>
        <v>South</v>
      </c>
    </row>
    <row r="704" spans="1:14" x14ac:dyDescent="0.25">
      <c r="A704">
        <v>703</v>
      </c>
      <c r="B704" s="1">
        <v>45375</v>
      </c>
      <c r="C704" s="8" t="str">
        <f>TEXT(Table2[[#This Row],[OrderDate]],"mmm")</f>
        <v>Mar</v>
      </c>
      <c r="D704">
        <v>3</v>
      </c>
      <c r="E704">
        <v>3</v>
      </c>
      <c r="F704">
        <v>6</v>
      </c>
      <c r="G704" s="3">
        <v>75159</v>
      </c>
      <c r="H704" s="3">
        <f t="shared" si="20"/>
        <v>450954</v>
      </c>
      <c r="I704" s="5">
        <f>Table2[[#This Row],[Total Revenue]]*0.3</f>
        <v>135286.19999999998</v>
      </c>
      <c r="J704" s="6">
        <f t="shared" si="21"/>
        <v>0.3</v>
      </c>
      <c r="K704" t="str">
        <f>VLOOKUP(Table2[[#This Row],[ProductID]],Products!$A$1:C708,2)</f>
        <v>Tablet</v>
      </c>
      <c r="L704" t="str">
        <f>VLOOKUP(D704,Products!$A$1:C708,3)</f>
        <v>Electronics</v>
      </c>
      <c r="M704" t="str">
        <f>VLOOKUP(Table2[[#This Row],[AgentID]],Sales_Agents!$A$1:C707,2)</f>
        <v>Chinedu</v>
      </c>
      <c r="N704" t="str">
        <f>VLOOKUP(Table2[[#This Row],[AgentID]],Sales_Agents!$A$1:C707,3)</f>
        <v>South</v>
      </c>
    </row>
    <row r="705" spans="1:14" x14ac:dyDescent="0.25">
      <c r="A705">
        <v>704</v>
      </c>
      <c r="B705" s="1">
        <v>45632</v>
      </c>
      <c r="C705" s="8" t="str">
        <f>TEXT(Table2[[#This Row],[OrderDate]],"mmm")</f>
        <v>Dec</v>
      </c>
      <c r="D705">
        <v>2</v>
      </c>
      <c r="E705">
        <v>2</v>
      </c>
      <c r="F705">
        <v>3</v>
      </c>
      <c r="G705" s="3">
        <v>294576</v>
      </c>
      <c r="H705" s="3">
        <f t="shared" si="20"/>
        <v>883728</v>
      </c>
      <c r="I705" s="5">
        <f>Table2[[#This Row],[Total Revenue]]*0.3</f>
        <v>265118.39999999997</v>
      </c>
      <c r="J705" s="6">
        <f t="shared" si="21"/>
        <v>0.29999999999999993</v>
      </c>
      <c r="K705" t="str">
        <f>VLOOKUP(Table2[[#This Row],[ProductID]],Products!$A$1:C709,2)</f>
        <v>Phone</v>
      </c>
      <c r="L705" t="str">
        <f>VLOOKUP(D705,Products!$A$1:C709,3)</f>
        <v>Electronics</v>
      </c>
      <c r="M705" t="str">
        <f>VLOOKUP(Table2[[#This Row],[AgentID]],Sales_Agents!$A$1:C708,2)</f>
        <v>Blessing</v>
      </c>
      <c r="N705" t="str">
        <f>VLOOKUP(Table2[[#This Row],[AgentID]],Sales_Agents!$A$1:C708,3)</f>
        <v>East</v>
      </c>
    </row>
    <row r="706" spans="1:14" x14ac:dyDescent="0.25">
      <c r="A706">
        <v>705</v>
      </c>
      <c r="B706" s="1">
        <v>45362</v>
      </c>
      <c r="C706" s="8" t="str">
        <f>TEXT(Table2[[#This Row],[OrderDate]],"mmm")</f>
        <v>Mar</v>
      </c>
      <c r="D706">
        <v>5</v>
      </c>
      <c r="E706">
        <v>4</v>
      </c>
      <c r="F706">
        <v>20</v>
      </c>
      <c r="G706" s="3">
        <v>380872</v>
      </c>
      <c r="H706" s="3">
        <f t="shared" ref="H706:H769" si="22">G706*F706</f>
        <v>7617440</v>
      </c>
      <c r="I706" s="5">
        <f>Table2[[#This Row],[Total Revenue]]*0.3</f>
        <v>2285232</v>
      </c>
      <c r="J706" s="6">
        <f t="shared" ref="J706:J769" si="23">I706/H706</f>
        <v>0.3</v>
      </c>
      <c r="K706" t="str">
        <f>VLOOKUP(Table2[[#This Row],[ProductID]],Products!$A$1:C710,2)</f>
        <v>Monitor</v>
      </c>
      <c r="L706" t="str">
        <f>VLOOKUP(D706,Products!$A$1:C710,3)</f>
        <v>Accessories</v>
      </c>
      <c r="M706" t="str">
        <f>VLOOKUP(Table2[[#This Row],[AgentID]],Sales_Agents!$A$1:C709,2)</f>
        <v>Zainab</v>
      </c>
      <c r="N706" t="str">
        <f>VLOOKUP(Table2[[#This Row],[AgentID]],Sales_Agents!$A$1:C709,3)</f>
        <v>North</v>
      </c>
    </row>
    <row r="707" spans="1:14" x14ac:dyDescent="0.25">
      <c r="A707">
        <v>706</v>
      </c>
      <c r="B707" s="1">
        <v>45600</v>
      </c>
      <c r="C707" s="8" t="str">
        <f>TEXT(Table2[[#This Row],[OrderDate]],"mmm")</f>
        <v>Nov</v>
      </c>
      <c r="D707">
        <v>3</v>
      </c>
      <c r="E707">
        <v>1</v>
      </c>
      <c r="F707">
        <v>19</v>
      </c>
      <c r="G707" s="3">
        <v>150465</v>
      </c>
      <c r="H707" s="3">
        <f t="shared" si="22"/>
        <v>2858835</v>
      </c>
      <c r="I707" s="5">
        <f>Table2[[#This Row],[Total Revenue]]*0.3</f>
        <v>857650.5</v>
      </c>
      <c r="J707" s="6">
        <f t="shared" si="23"/>
        <v>0.3</v>
      </c>
      <c r="K707" t="str">
        <f>VLOOKUP(Table2[[#This Row],[ProductID]],Products!$A$1:C711,2)</f>
        <v>Tablet</v>
      </c>
      <c r="L707" t="str">
        <f>VLOOKUP(D707,Products!$A$1:C711,3)</f>
        <v>Electronics</v>
      </c>
      <c r="M707" t="str">
        <f>VLOOKUP(Table2[[#This Row],[AgentID]],Sales_Agents!$A$1:C710,2)</f>
        <v>Akin</v>
      </c>
      <c r="N707" t="str">
        <f>VLOOKUP(Table2[[#This Row],[AgentID]],Sales_Agents!$A$1:C710,3)</f>
        <v>West</v>
      </c>
    </row>
    <row r="708" spans="1:14" x14ac:dyDescent="0.25">
      <c r="A708">
        <v>707</v>
      </c>
      <c r="B708" s="1">
        <v>45555</v>
      </c>
      <c r="C708" s="8" t="str">
        <f>TEXT(Table2[[#This Row],[OrderDate]],"mmm")</f>
        <v>Sept</v>
      </c>
      <c r="D708">
        <v>5</v>
      </c>
      <c r="E708">
        <v>1</v>
      </c>
      <c r="F708">
        <v>8</v>
      </c>
      <c r="G708" s="3">
        <v>155185</v>
      </c>
      <c r="H708" s="3">
        <f t="shared" si="22"/>
        <v>1241480</v>
      </c>
      <c r="I708" s="5">
        <f>Table2[[#This Row],[Total Revenue]]*0.3</f>
        <v>372444</v>
      </c>
      <c r="J708" s="6">
        <f t="shared" si="23"/>
        <v>0.3</v>
      </c>
      <c r="K708" t="str">
        <f>VLOOKUP(Table2[[#This Row],[ProductID]],Products!$A$1:C712,2)</f>
        <v>Monitor</v>
      </c>
      <c r="L708" t="str">
        <f>VLOOKUP(D708,Products!$A$1:C712,3)</f>
        <v>Accessories</v>
      </c>
      <c r="M708" t="str">
        <f>VLOOKUP(Table2[[#This Row],[AgentID]],Sales_Agents!$A$1:C711,2)</f>
        <v>Akin</v>
      </c>
      <c r="N708" t="str">
        <f>VLOOKUP(Table2[[#This Row],[AgentID]],Sales_Agents!$A$1:C711,3)</f>
        <v>West</v>
      </c>
    </row>
    <row r="709" spans="1:14" x14ac:dyDescent="0.25">
      <c r="A709">
        <v>708</v>
      </c>
      <c r="B709" s="1">
        <v>45512</v>
      </c>
      <c r="C709" s="8" t="str">
        <f>TEXT(Table2[[#This Row],[OrderDate]],"mmm")</f>
        <v>Aug</v>
      </c>
      <c r="D709">
        <v>5</v>
      </c>
      <c r="E709">
        <v>2</v>
      </c>
      <c r="F709">
        <v>15</v>
      </c>
      <c r="G709" s="3">
        <v>360761</v>
      </c>
      <c r="H709" s="3">
        <f t="shared" si="22"/>
        <v>5411415</v>
      </c>
      <c r="I709" s="5">
        <f>Table2[[#This Row],[Total Revenue]]*0.3</f>
        <v>1623424.5</v>
      </c>
      <c r="J709" s="6">
        <f t="shared" si="23"/>
        <v>0.3</v>
      </c>
      <c r="K709" t="str">
        <f>VLOOKUP(Table2[[#This Row],[ProductID]],Products!$A$1:C713,2)</f>
        <v>Monitor</v>
      </c>
      <c r="L709" t="str">
        <f>VLOOKUP(D709,Products!$A$1:C713,3)</f>
        <v>Accessories</v>
      </c>
      <c r="M709" t="str">
        <f>VLOOKUP(Table2[[#This Row],[AgentID]],Sales_Agents!$A$1:C712,2)</f>
        <v>Blessing</v>
      </c>
      <c r="N709" t="str">
        <f>VLOOKUP(Table2[[#This Row],[AgentID]],Sales_Agents!$A$1:C712,3)</f>
        <v>East</v>
      </c>
    </row>
    <row r="710" spans="1:14" x14ac:dyDescent="0.25">
      <c r="A710">
        <v>709</v>
      </c>
      <c r="B710" s="1">
        <v>45543</v>
      </c>
      <c r="C710" s="8" t="str">
        <f>TEXT(Table2[[#This Row],[OrderDate]],"mmm")</f>
        <v>Sept</v>
      </c>
      <c r="D710">
        <v>5</v>
      </c>
      <c r="E710">
        <v>2</v>
      </c>
      <c r="F710">
        <v>3</v>
      </c>
      <c r="G710" s="3">
        <v>259121</v>
      </c>
      <c r="H710" s="3">
        <f t="shared" si="22"/>
        <v>777363</v>
      </c>
      <c r="I710" s="5">
        <f>Table2[[#This Row],[Total Revenue]]*0.3</f>
        <v>233208.9</v>
      </c>
      <c r="J710" s="6">
        <f t="shared" si="23"/>
        <v>0.3</v>
      </c>
      <c r="K710" t="str">
        <f>VLOOKUP(Table2[[#This Row],[ProductID]],Products!$A$1:C714,2)</f>
        <v>Monitor</v>
      </c>
      <c r="L710" t="str">
        <f>VLOOKUP(D710,Products!$A$1:C714,3)</f>
        <v>Accessories</v>
      </c>
      <c r="M710" t="str">
        <f>VLOOKUP(Table2[[#This Row],[AgentID]],Sales_Agents!$A$1:C713,2)</f>
        <v>Blessing</v>
      </c>
      <c r="N710" t="str">
        <f>VLOOKUP(Table2[[#This Row],[AgentID]],Sales_Agents!$A$1:C713,3)</f>
        <v>East</v>
      </c>
    </row>
    <row r="711" spans="1:14" x14ac:dyDescent="0.25">
      <c r="A711">
        <v>710</v>
      </c>
      <c r="B711" s="1">
        <v>45510</v>
      </c>
      <c r="C711" s="8" t="str">
        <f>TEXT(Table2[[#This Row],[OrderDate]],"mmm")</f>
        <v>Aug</v>
      </c>
      <c r="D711">
        <v>3</v>
      </c>
      <c r="E711">
        <v>4</v>
      </c>
      <c r="F711">
        <v>18</v>
      </c>
      <c r="G711" s="3">
        <v>289271</v>
      </c>
      <c r="H711" s="3">
        <f t="shared" si="22"/>
        <v>5206878</v>
      </c>
      <c r="I711" s="5">
        <f>Table2[[#This Row],[Total Revenue]]*0.3</f>
        <v>1562063.4</v>
      </c>
      <c r="J711" s="6">
        <f t="shared" si="23"/>
        <v>0.3</v>
      </c>
      <c r="K711" t="str">
        <f>VLOOKUP(Table2[[#This Row],[ProductID]],Products!$A$1:C715,2)</f>
        <v>Tablet</v>
      </c>
      <c r="L711" t="str">
        <f>VLOOKUP(D711,Products!$A$1:C715,3)</f>
        <v>Electronics</v>
      </c>
      <c r="M711" t="str">
        <f>VLOOKUP(Table2[[#This Row],[AgentID]],Sales_Agents!$A$1:C714,2)</f>
        <v>Zainab</v>
      </c>
      <c r="N711" t="str">
        <f>VLOOKUP(Table2[[#This Row],[AgentID]],Sales_Agents!$A$1:C714,3)</f>
        <v>North</v>
      </c>
    </row>
    <row r="712" spans="1:14" x14ac:dyDescent="0.25">
      <c r="A712">
        <v>711</v>
      </c>
      <c r="B712" s="1">
        <v>45373</v>
      </c>
      <c r="C712" s="8" t="str">
        <f>TEXT(Table2[[#This Row],[OrderDate]],"mmm")</f>
        <v>Mar</v>
      </c>
      <c r="D712">
        <v>1</v>
      </c>
      <c r="E712">
        <v>1</v>
      </c>
      <c r="F712">
        <v>19</v>
      </c>
      <c r="G712" s="3">
        <v>211993</v>
      </c>
      <c r="H712" s="3">
        <f t="shared" si="22"/>
        <v>4027867</v>
      </c>
      <c r="I712" s="5">
        <f>Table2[[#This Row],[Total Revenue]]*0.3</f>
        <v>1208360.0999999999</v>
      </c>
      <c r="J712" s="6">
        <f t="shared" si="23"/>
        <v>0.3</v>
      </c>
      <c r="K712" t="str">
        <f>VLOOKUP(Table2[[#This Row],[ProductID]],Products!$A$1:C716,2)</f>
        <v>Laptop</v>
      </c>
      <c r="L712" t="str">
        <f>VLOOKUP(D712,Products!$A$1:C716,3)</f>
        <v>Electronics</v>
      </c>
      <c r="M712" t="str">
        <f>VLOOKUP(Table2[[#This Row],[AgentID]],Sales_Agents!$A$1:C715,2)</f>
        <v>Akin</v>
      </c>
      <c r="N712" t="str">
        <f>VLOOKUP(Table2[[#This Row],[AgentID]],Sales_Agents!$A$1:C715,3)</f>
        <v>West</v>
      </c>
    </row>
    <row r="713" spans="1:14" x14ac:dyDescent="0.25">
      <c r="A713">
        <v>712</v>
      </c>
      <c r="B713" s="1">
        <v>45638</v>
      </c>
      <c r="C713" s="8" t="str">
        <f>TEXT(Table2[[#This Row],[OrderDate]],"mmm")</f>
        <v>Dec</v>
      </c>
      <c r="D713">
        <v>2</v>
      </c>
      <c r="E713">
        <v>3</v>
      </c>
      <c r="F713">
        <v>9</v>
      </c>
      <c r="G713" s="3">
        <v>179290</v>
      </c>
      <c r="H713" s="3">
        <f t="shared" si="22"/>
        <v>1613610</v>
      </c>
      <c r="I713" s="5">
        <f>Table2[[#This Row],[Total Revenue]]*0.3</f>
        <v>484083</v>
      </c>
      <c r="J713" s="6">
        <f t="shared" si="23"/>
        <v>0.3</v>
      </c>
      <c r="K713" t="str">
        <f>VLOOKUP(Table2[[#This Row],[ProductID]],Products!$A$1:C717,2)</f>
        <v>Phone</v>
      </c>
      <c r="L713" t="str">
        <f>VLOOKUP(D713,Products!$A$1:C717,3)</f>
        <v>Electronics</v>
      </c>
      <c r="M713" t="str">
        <f>VLOOKUP(Table2[[#This Row],[AgentID]],Sales_Agents!$A$1:C716,2)</f>
        <v>Chinedu</v>
      </c>
      <c r="N713" t="str">
        <f>VLOOKUP(Table2[[#This Row],[AgentID]],Sales_Agents!$A$1:C716,3)</f>
        <v>South</v>
      </c>
    </row>
    <row r="714" spans="1:14" x14ac:dyDescent="0.25">
      <c r="A714">
        <v>713</v>
      </c>
      <c r="B714" s="1">
        <v>45462</v>
      </c>
      <c r="C714" s="8" t="str">
        <f>TEXT(Table2[[#This Row],[OrderDate]],"mmm")</f>
        <v>Jun</v>
      </c>
      <c r="D714">
        <v>5</v>
      </c>
      <c r="E714">
        <v>2</v>
      </c>
      <c r="F714">
        <v>6</v>
      </c>
      <c r="G714" s="3">
        <v>123906</v>
      </c>
      <c r="H714" s="3">
        <f t="shared" si="22"/>
        <v>743436</v>
      </c>
      <c r="I714" s="5">
        <f>Table2[[#This Row],[Total Revenue]]*0.3</f>
        <v>223030.8</v>
      </c>
      <c r="J714" s="6">
        <f t="shared" si="23"/>
        <v>0.3</v>
      </c>
      <c r="K714" t="str">
        <f>VLOOKUP(Table2[[#This Row],[ProductID]],Products!$A$1:C718,2)</f>
        <v>Monitor</v>
      </c>
      <c r="L714" t="str">
        <f>VLOOKUP(D714,Products!$A$1:C718,3)</f>
        <v>Accessories</v>
      </c>
      <c r="M714" t="str">
        <f>VLOOKUP(Table2[[#This Row],[AgentID]],Sales_Agents!$A$1:C717,2)</f>
        <v>Blessing</v>
      </c>
      <c r="N714" t="str">
        <f>VLOOKUP(Table2[[#This Row],[AgentID]],Sales_Agents!$A$1:C717,3)</f>
        <v>East</v>
      </c>
    </row>
    <row r="715" spans="1:14" x14ac:dyDescent="0.25">
      <c r="A715">
        <v>714</v>
      </c>
      <c r="B715" s="1">
        <v>45613</v>
      </c>
      <c r="C715" s="8" t="str">
        <f>TEXT(Table2[[#This Row],[OrderDate]],"mmm")</f>
        <v>Nov</v>
      </c>
      <c r="D715">
        <v>2</v>
      </c>
      <c r="E715">
        <v>4</v>
      </c>
      <c r="F715">
        <v>20</v>
      </c>
      <c r="G715" s="3">
        <v>314316</v>
      </c>
      <c r="H715" s="3">
        <f t="shared" si="22"/>
        <v>6286320</v>
      </c>
      <c r="I715" s="5">
        <f>Table2[[#This Row],[Total Revenue]]*0.3</f>
        <v>1885896</v>
      </c>
      <c r="J715" s="6">
        <f t="shared" si="23"/>
        <v>0.3</v>
      </c>
      <c r="K715" t="str">
        <f>VLOOKUP(Table2[[#This Row],[ProductID]],Products!$A$1:C719,2)</f>
        <v>Phone</v>
      </c>
      <c r="L715" t="str">
        <f>VLOOKUP(D715,Products!$A$1:C719,3)</f>
        <v>Electronics</v>
      </c>
      <c r="M715" t="str">
        <f>VLOOKUP(Table2[[#This Row],[AgentID]],Sales_Agents!$A$1:C718,2)</f>
        <v>Zainab</v>
      </c>
      <c r="N715" t="str">
        <f>VLOOKUP(Table2[[#This Row],[AgentID]],Sales_Agents!$A$1:C718,3)</f>
        <v>North</v>
      </c>
    </row>
    <row r="716" spans="1:14" x14ac:dyDescent="0.25">
      <c r="A716">
        <v>715</v>
      </c>
      <c r="B716" s="1">
        <v>45641</v>
      </c>
      <c r="C716" s="8" t="str">
        <f>TEXT(Table2[[#This Row],[OrderDate]],"mmm")</f>
        <v>Dec</v>
      </c>
      <c r="D716">
        <v>2</v>
      </c>
      <c r="E716">
        <v>3</v>
      </c>
      <c r="F716">
        <v>5</v>
      </c>
      <c r="G716" s="3">
        <v>188455</v>
      </c>
      <c r="H716" s="3">
        <f t="shared" si="22"/>
        <v>942275</v>
      </c>
      <c r="I716" s="5">
        <f>Table2[[#This Row],[Total Revenue]]*0.3</f>
        <v>282682.5</v>
      </c>
      <c r="J716" s="6">
        <f t="shared" si="23"/>
        <v>0.3</v>
      </c>
      <c r="K716" t="str">
        <f>VLOOKUP(Table2[[#This Row],[ProductID]],Products!$A$1:C720,2)</f>
        <v>Phone</v>
      </c>
      <c r="L716" t="str">
        <f>VLOOKUP(D716,Products!$A$1:C720,3)</f>
        <v>Electronics</v>
      </c>
      <c r="M716" t="str">
        <f>VLOOKUP(Table2[[#This Row],[AgentID]],Sales_Agents!$A$1:C719,2)</f>
        <v>Chinedu</v>
      </c>
      <c r="N716" t="str">
        <f>VLOOKUP(Table2[[#This Row],[AgentID]],Sales_Agents!$A$1:C719,3)</f>
        <v>South</v>
      </c>
    </row>
    <row r="717" spans="1:14" x14ac:dyDescent="0.25">
      <c r="A717">
        <v>716</v>
      </c>
      <c r="B717" s="1">
        <v>45476</v>
      </c>
      <c r="C717" s="8" t="str">
        <f>TEXT(Table2[[#This Row],[OrderDate]],"mmm")</f>
        <v>Jul</v>
      </c>
      <c r="D717">
        <v>5</v>
      </c>
      <c r="E717">
        <v>1</v>
      </c>
      <c r="F717">
        <v>12</v>
      </c>
      <c r="G717" s="3">
        <v>269964</v>
      </c>
      <c r="H717" s="3">
        <f t="shared" si="22"/>
        <v>3239568</v>
      </c>
      <c r="I717" s="5">
        <f>Table2[[#This Row],[Total Revenue]]*0.3</f>
        <v>971870.39999999991</v>
      </c>
      <c r="J717" s="6">
        <f t="shared" si="23"/>
        <v>0.3</v>
      </c>
      <c r="K717" t="str">
        <f>VLOOKUP(Table2[[#This Row],[ProductID]],Products!$A$1:C721,2)</f>
        <v>Monitor</v>
      </c>
      <c r="L717" t="str">
        <f>VLOOKUP(D717,Products!$A$1:C721,3)</f>
        <v>Accessories</v>
      </c>
      <c r="M717" t="str">
        <f>VLOOKUP(Table2[[#This Row],[AgentID]],Sales_Agents!$A$1:C720,2)</f>
        <v>Akin</v>
      </c>
      <c r="N717" t="str">
        <f>VLOOKUP(Table2[[#This Row],[AgentID]],Sales_Agents!$A$1:C720,3)</f>
        <v>West</v>
      </c>
    </row>
    <row r="718" spans="1:14" x14ac:dyDescent="0.25">
      <c r="A718">
        <v>717</v>
      </c>
      <c r="B718" s="1">
        <v>45644</v>
      </c>
      <c r="C718" s="8" t="str">
        <f>TEXT(Table2[[#This Row],[OrderDate]],"mmm")</f>
        <v>Dec</v>
      </c>
      <c r="D718">
        <v>1</v>
      </c>
      <c r="E718">
        <v>1</v>
      </c>
      <c r="F718">
        <v>18</v>
      </c>
      <c r="G718" s="3">
        <v>305688</v>
      </c>
      <c r="H718" s="3">
        <f t="shared" si="22"/>
        <v>5502384</v>
      </c>
      <c r="I718" s="5">
        <f>Table2[[#This Row],[Total Revenue]]*0.3</f>
        <v>1650715.2</v>
      </c>
      <c r="J718" s="6">
        <f t="shared" si="23"/>
        <v>0.3</v>
      </c>
      <c r="K718" t="str">
        <f>VLOOKUP(Table2[[#This Row],[ProductID]],Products!$A$1:C722,2)</f>
        <v>Laptop</v>
      </c>
      <c r="L718" t="str">
        <f>VLOOKUP(D718,Products!$A$1:C722,3)</f>
        <v>Electronics</v>
      </c>
      <c r="M718" t="str">
        <f>VLOOKUP(Table2[[#This Row],[AgentID]],Sales_Agents!$A$1:C721,2)</f>
        <v>Akin</v>
      </c>
      <c r="N718" t="str">
        <f>VLOOKUP(Table2[[#This Row],[AgentID]],Sales_Agents!$A$1:C721,3)</f>
        <v>West</v>
      </c>
    </row>
    <row r="719" spans="1:14" x14ac:dyDescent="0.25">
      <c r="A719">
        <v>718</v>
      </c>
      <c r="B719" s="1">
        <v>45519</v>
      </c>
      <c r="C719" s="8" t="str">
        <f>TEXT(Table2[[#This Row],[OrderDate]],"mmm")</f>
        <v>Aug</v>
      </c>
      <c r="D719">
        <v>3</v>
      </c>
      <c r="E719">
        <v>1</v>
      </c>
      <c r="F719">
        <v>14</v>
      </c>
      <c r="G719" s="3">
        <v>307349</v>
      </c>
      <c r="H719" s="3">
        <f t="shared" si="22"/>
        <v>4302886</v>
      </c>
      <c r="I719" s="5">
        <f>Table2[[#This Row],[Total Revenue]]*0.3</f>
        <v>1290865.8</v>
      </c>
      <c r="J719" s="6">
        <f t="shared" si="23"/>
        <v>0.3</v>
      </c>
      <c r="K719" t="str">
        <f>VLOOKUP(Table2[[#This Row],[ProductID]],Products!$A$1:C723,2)</f>
        <v>Tablet</v>
      </c>
      <c r="L719" t="str">
        <f>VLOOKUP(D719,Products!$A$1:C723,3)</f>
        <v>Electronics</v>
      </c>
      <c r="M719" t="str">
        <f>VLOOKUP(Table2[[#This Row],[AgentID]],Sales_Agents!$A$1:C722,2)</f>
        <v>Akin</v>
      </c>
      <c r="N719" t="str">
        <f>VLOOKUP(Table2[[#This Row],[AgentID]],Sales_Agents!$A$1:C722,3)</f>
        <v>West</v>
      </c>
    </row>
    <row r="720" spans="1:14" x14ac:dyDescent="0.25">
      <c r="A720">
        <v>719</v>
      </c>
      <c r="B720" s="1">
        <v>45336</v>
      </c>
      <c r="C720" s="8" t="str">
        <f>TEXT(Table2[[#This Row],[OrderDate]],"mmm")</f>
        <v>Feb</v>
      </c>
      <c r="D720">
        <v>2</v>
      </c>
      <c r="E720">
        <v>3</v>
      </c>
      <c r="F720">
        <v>10</v>
      </c>
      <c r="G720" s="3">
        <v>182947</v>
      </c>
      <c r="H720" s="3">
        <f t="shared" si="22"/>
        <v>1829470</v>
      </c>
      <c r="I720" s="5">
        <f>Table2[[#This Row],[Total Revenue]]*0.3</f>
        <v>548841</v>
      </c>
      <c r="J720" s="6">
        <f t="shared" si="23"/>
        <v>0.3</v>
      </c>
      <c r="K720" t="str">
        <f>VLOOKUP(Table2[[#This Row],[ProductID]],Products!$A$1:C724,2)</f>
        <v>Phone</v>
      </c>
      <c r="L720" t="str">
        <f>VLOOKUP(D720,Products!$A$1:C724,3)</f>
        <v>Electronics</v>
      </c>
      <c r="M720" t="str">
        <f>VLOOKUP(Table2[[#This Row],[AgentID]],Sales_Agents!$A$1:C723,2)</f>
        <v>Chinedu</v>
      </c>
      <c r="N720" t="str">
        <f>VLOOKUP(Table2[[#This Row],[AgentID]],Sales_Agents!$A$1:C723,3)</f>
        <v>South</v>
      </c>
    </row>
    <row r="721" spans="1:14" x14ac:dyDescent="0.25">
      <c r="A721">
        <v>720</v>
      </c>
      <c r="B721" s="1">
        <v>45460</v>
      </c>
      <c r="C721" s="8" t="str">
        <f>TEXT(Table2[[#This Row],[OrderDate]],"mmm")</f>
        <v>Jun</v>
      </c>
      <c r="D721">
        <v>2</v>
      </c>
      <c r="E721">
        <v>1</v>
      </c>
      <c r="F721">
        <v>15</v>
      </c>
      <c r="G721" s="3">
        <v>265469</v>
      </c>
      <c r="H721" s="3">
        <f t="shared" si="22"/>
        <v>3982035</v>
      </c>
      <c r="I721" s="5">
        <f>Table2[[#This Row],[Total Revenue]]*0.3</f>
        <v>1194610.5</v>
      </c>
      <c r="J721" s="6">
        <f t="shared" si="23"/>
        <v>0.3</v>
      </c>
      <c r="K721" t="str">
        <f>VLOOKUP(Table2[[#This Row],[ProductID]],Products!$A$1:C725,2)</f>
        <v>Phone</v>
      </c>
      <c r="L721" t="str">
        <f>VLOOKUP(D721,Products!$A$1:C725,3)</f>
        <v>Electronics</v>
      </c>
      <c r="M721" t="str">
        <f>VLOOKUP(Table2[[#This Row],[AgentID]],Sales_Agents!$A$1:C724,2)</f>
        <v>Akin</v>
      </c>
      <c r="N721" t="str">
        <f>VLOOKUP(Table2[[#This Row],[AgentID]],Sales_Agents!$A$1:C724,3)</f>
        <v>West</v>
      </c>
    </row>
    <row r="722" spans="1:14" x14ac:dyDescent="0.25">
      <c r="A722">
        <v>721</v>
      </c>
      <c r="B722" s="1">
        <v>45314</v>
      </c>
      <c r="C722" s="8" t="str">
        <f>TEXT(Table2[[#This Row],[OrderDate]],"mmm")</f>
        <v>Jan</v>
      </c>
      <c r="D722">
        <v>2</v>
      </c>
      <c r="E722">
        <v>2</v>
      </c>
      <c r="F722">
        <v>12</v>
      </c>
      <c r="G722" s="3">
        <v>212334</v>
      </c>
      <c r="H722" s="3">
        <f t="shared" si="22"/>
        <v>2548008</v>
      </c>
      <c r="I722" s="5">
        <f>Table2[[#This Row],[Total Revenue]]*0.3</f>
        <v>764402.4</v>
      </c>
      <c r="J722" s="6">
        <f t="shared" si="23"/>
        <v>0.3</v>
      </c>
      <c r="K722" t="str">
        <f>VLOOKUP(Table2[[#This Row],[ProductID]],Products!$A$1:C726,2)</f>
        <v>Phone</v>
      </c>
      <c r="L722" t="str">
        <f>VLOOKUP(D722,Products!$A$1:C726,3)</f>
        <v>Electronics</v>
      </c>
      <c r="M722" t="str">
        <f>VLOOKUP(Table2[[#This Row],[AgentID]],Sales_Agents!$A$1:C725,2)</f>
        <v>Blessing</v>
      </c>
      <c r="N722" t="str">
        <f>VLOOKUP(Table2[[#This Row],[AgentID]],Sales_Agents!$A$1:C725,3)</f>
        <v>East</v>
      </c>
    </row>
    <row r="723" spans="1:14" x14ac:dyDescent="0.25">
      <c r="A723">
        <v>722</v>
      </c>
      <c r="B723" s="1">
        <v>45412</v>
      </c>
      <c r="C723" s="8" t="str">
        <f>TEXT(Table2[[#This Row],[OrderDate]],"mmm")</f>
        <v>Apr</v>
      </c>
      <c r="D723">
        <v>4</v>
      </c>
      <c r="E723">
        <v>1</v>
      </c>
      <c r="F723">
        <v>19</v>
      </c>
      <c r="G723" s="3">
        <v>153086</v>
      </c>
      <c r="H723" s="3">
        <f t="shared" si="22"/>
        <v>2908634</v>
      </c>
      <c r="I723" s="5">
        <f>Table2[[#This Row],[Total Revenue]]*0.3</f>
        <v>872590.2</v>
      </c>
      <c r="J723" s="6">
        <f t="shared" si="23"/>
        <v>0.3</v>
      </c>
      <c r="K723" t="str">
        <f>VLOOKUP(Table2[[#This Row],[ProductID]],Products!$A$1:C727,2)</f>
        <v>Printer</v>
      </c>
      <c r="L723" t="str">
        <f>VLOOKUP(D723,Products!$A$1:C727,3)</f>
        <v>Accessories</v>
      </c>
      <c r="M723" t="str">
        <f>VLOOKUP(Table2[[#This Row],[AgentID]],Sales_Agents!$A$1:C726,2)</f>
        <v>Akin</v>
      </c>
      <c r="N723" t="str">
        <f>VLOOKUP(Table2[[#This Row],[AgentID]],Sales_Agents!$A$1:C726,3)</f>
        <v>West</v>
      </c>
    </row>
    <row r="724" spans="1:14" x14ac:dyDescent="0.25">
      <c r="A724">
        <v>723</v>
      </c>
      <c r="B724" s="1">
        <v>45484</v>
      </c>
      <c r="C724" s="8" t="str">
        <f>TEXT(Table2[[#This Row],[OrderDate]],"mmm")</f>
        <v>Jul</v>
      </c>
      <c r="D724">
        <v>4</v>
      </c>
      <c r="E724">
        <v>1</v>
      </c>
      <c r="F724">
        <v>12</v>
      </c>
      <c r="G724" s="3">
        <v>201997</v>
      </c>
      <c r="H724" s="3">
        <f t="shared" si="22"/>
        <v>2423964</v>
      </c>
      <c r="I724" s="5">
        <f>Table2[[#This Row],[Total Revenue]]*0.3</f>
        <v>727189.2</v>
      </c>
      <c r="J724" s="6">
        <f t="shared" si="23"/>
        <v>0.3</v>
      </c>
      <c r="K724" t="str">
        <f>VLOOKUP(Table2[[#This Row],[ProductID]],Products!$A$1:C728,2)</f>
        <v>Printer</v>
      </c>
      <c r="L724" t="str">
        <f>VLOOKUP(D724,Products!$A$1:C728,3)</f>
        <v>Accessories</v>
      </c>
      <c r="M724" t="str">
        <f>VLOOKUP(Table2[[#This Row],[AgentID]],Sales_Agents!$A$1:C727,2)</f>
        <v>Akin</v>
      </c>
      <c r="N724" t="str">
        <f>VLOOKUP(Table2[[#This Row],[AgentID]],Sales_Agents!$A$1:C727,3)</f>
        <v>West</v>
      </c>
    </row>
    <row r="725" spans="1:14" x14ac:dyDescent="0.25">
      <c r="A725">
        <v>724</v>
      </c>
      <c r="B725" s="1">
        <v>45315</v>
      </c>
      <c r="C725" s="8" t="str">
        <f>TEXT(Table2[[#This Row],[OrderDate]],"mmm")</f>
        <v>Jan</v>
      </c>
      <c r="D725">
        <v>3</v>
      </c>
      <c r="E725">
        <v>1</v>
      </c>
      <c r="F725">
        <v>5</v>
      </c>
      <c r="G725" s="3">
        <v>235537</v>
      </c>
      <c r="H725" s="3">
        <f t="shared" si="22"/>
        <v>1177685</v>
      </c>
      <c r="I725" s="5">
        <f>Table2[[#This Row],[Total Revenue]]*0.3</f>
        <v>353305.5</v>
      </c>
      <c r="J725" s="6">
        <f t="shared" si="23"/>
        <v>0.3</v>
      </c>
      <c r="K725" t="str">
        <f>VLOOKUP(Table2[[#This Row],[ProductID]],Products!$A$1:C729,2)</f>
        <v>Tablet</v>
      </c>
      <c r="L725" t="str">
        <f>VLOOKUP(D725,Products!$A$1:C729,3)</f>
        <v>Electronics</v>
      </c>
      <c r="M725" t="str">
        <f>VLOOKUP(Table2[[#This Row],[AgentID]],Sales_Agents!$A$1:C728,2)</f>
        <v>Akin</v>
      </c>
      <c r="N725" t="str">
        <f>VLOOKUP(Table2[[#This Row],[AgentID]],Sales_Agents!$A$1:C728,3)</f>
        <v>West</v>
      </c>
    </row>
    <row r="726" spans="1:14" x14ac:dyDescent="0.25">
      <c r="A726">
        <v>725</v>
      </c>
      <c r="B726" s="1">
        <v>45622</v>
      </c>
      <c r="C726" s="8" t="str">
        <f>TEXT(Table2[[#This Row],[OrderDate]],"mmm")</f>
        <v>Nov</v>
      </c>
      <c r="D726">
        <v>1</v>
      </c>
      <c r="E726">
        <v>3</v>
      </c>
      <c r="F726">
        <v>7</v>
      </c>
      <c r="G726" s="3">
        <v>159580</v>
      </c>
      <c r="H726" s="3">
        <f t="shared" si="22"/>
        <v>1117060</v>
      </c>
      <c r="I726" s="5">
        <f>Table2[[#This Row],[Total Revenue]]*0.3</f>
        <v>335118</v>
      </c>
      <c r="J726" s="6">
        <f t="shared" si="23"/>
        <v>0.3</v>
      </c>
      <c r="K726" t="str">
        <f>VLOOKUP(Table2[[#This Row],[ProductID]],Products!$A$1:C730,2)</f>
        <v>Laptop</v>
      </c>
      <c r="L726" t="str">
        <f>VLOOKUP(D726,Products!$A$1:C730,3)</f>
        <v>Electronics</v>
      </c>
      <c r="M726" t="str">
        <f>VLOOKUP(Table2[[#This Row],[AgentID]],Sales_Agents!$A$1:C729,2)</f>
        <v>Chinedu</v>
      </c>
      <c r="N726" t="str">
        <f>VLOOKUP(Table2[[#This Row],[AgentID]],Sales_Agents!$A$1:C729,3)</f>
        <v>South</v>
      </c>
    </row>
    <row r="727" spans="1:14" x14ac:dyDescent="0.25">
      <c r="A727">
        <v>726</v>
      </c>
      <c r="B727" s="1">
        <v>45347</v>
      </c>
      <c r="C727" s="8" t="str">
        <f>TEXT(Table2[[#This Row],[OrderDate]],"mmm")</f>
        <v>Feb</v>
      </c>
      <c r="D727">
        <v>5</v>
      </c>
      <c r="E727">
        <v>2</v>
      </c>
      <c r="F727">
        <v>12</v>
      </c>
      <c r="G727" s="3">
        <v>388196</v>
      </c>
      <c r="H727" s="3">
        <f t="shared" si="22"/>
        <v>4658352</v>
      </c>
      <c r="I727" s="5">
        <f>Table2[[#This Row],[Total Revenue]]*0.3</f>
        <v>1397505.5999999999</v>
      </c>
      <c r="J727" s="6">
        <f t="shared" si="23"/>
        <v>0.3</v>
      </c>
      <c r="K727" t="str">
        <f>VLOOKUP(Table2[[#This Row],[ProductID]],Products!$A$1:C731,2)</f>
        <v>Monitor</v>
      </c>
      <c r="L727" t="str">
        <f>VLOOKUP(D727,Products!$A$1:C731,3)</f>
        <v>Accessories</v>
      </c>
      <c r="M727" t="str">
        <f>VLOOKUP(Table2[[#This Row],[AgentID]],Sales_Agents!$A$1:C730,2)</f>
        <v>Blessing</v>
      </c>
      <c r="N727" t="str">
        <f>VLOOKUP(Table2[[#This Row],[AgentID]],Sales_Agents!$A$1:C730,3)</f>
        <v>East</v>
      </c>
    </row>
    <row r="728" spans="1:14" x14ac:dyDescent="0.25">
      <c r="A728">
        <v>727</v>
      </c>
      <c r="B728" s="1">
        <v>45566</v>
      </c>
      <c r="C728" s="8" t="str">
        <f>TEXT(Table2[[#This Row],[OrderDate]],"mmm")</f>
        <v>Oct</v>
      </c>
      <c r="D728">
        <v>5</v>
      </c>
      <c r="E728">
        <v>4</v>
      </c>
      <c r="F728">
        <v>4</v>
      </c>
      <c r="G728" s="3">
        <v>324650</v>
      </c>
      <c r="H728" s="3">
        <f t="shared" si="22"/>
        <v>1298600</v>
      </c>
      <c r="I728" s="5">
        <f>Table2[[#This Row],[Total Revenue]]*0.3</f>
        <v>389580</v>
      </c>
      <c r="J728" s="6">
        <f t="shared" si="23"/>
        <v>0.3</v>
      </c>
      <c r="K728" t="str">
        <f>VLOOKUP(Table2[[#This Row],[ProductID]],Products!$A$1:C732,2)</f>
        <v>Monitor</v>
      </c>
      <c r="L728" t="str">
        <f>VLOOKUP(D728,Products!$A$1:C732,3)</f>
        <v>Accessories</v>
      </c>
      <c r="M728" t="str">
        <f>VLOOKUP(Table2[[#This Row],[AgentID]],Sales_Agents!$A$1:C731,2)</f>
        <v>Zainab</v>
      </c>
      <c r="N728" t="str">
        <f>VLOOKUP(Table2[[#This Row],[AgentID]],Sales_Agents!$A$1:C731,3)</f>
        <v>North</v>
      </c>
    </row>
    <row r="729" spans="1:14" x14ac:dyDescent="0.25">
      <c r="A729">
        <v>728</v>
      </c>
      <c r="B729" s="1">
        <v>45344</v>
      </c>
      <c r="C729" s="8" t="str">
        <f>TEXT(Table2[[#This Row],[OrderDate]],"mmm")</f>
        <v>Feb</v>
      </c>
      <c r="D729">
        <v>5</v>
      </c>
      <c r="E729">
        <v>2</v>
      </c>
      <c r="F729">
        <v>9</v>
      </c>
      <c r="G729" s="3">
        <v>283987</v>
      </c>
      <c r="H729" s="3">
        <f t="shared" si="22"/>
        <v>2555883</v>
      </c>
      <c r="I729" s="5">
        <f>Table2[[#This Row],[Total Revenue]]*0.3</f>
        <v>766764.9</v>
      </c>
      <c r="J729" s="6">
        <f t="shared" si="23"/>
        <v>0.3</v>
      </c>
      <c r="K729" t="str">
        <f>VLOOKUP(Table2[[#This Row],[ProductID]],Products!$A$1:C733,2)</f>
        <v>Monitor</v>
      </c>
      <c r="L729" t="str">
        <f>VLOOKUP(D729,Products!$A$1:C733,3)</f>
        <v>Accessories</v>
      </c>
      <c r="M729" t="str">
        <f>VLOOKUP(Table2[[#This Row],[AgentID]],Sales_Agents!$A$1:C732,2)</f>
        <v>Blessing</v>
      </c>
      <c r="N729" t="str">
        <f>VLOOKUP(Table2[[#This Row],[AgentID]],Sales_Agents!$A$1:C732,3)</f>
        <v>East</v>
      </c>
    </row>
    <row r="730" spans="1:14" x14ac:dyDescent="0.25">
      <c r="A730">
        <v>729</v>
      </c>
      <c r="B730" s="1">
        <v>45434</v>
      </c>
      <c r="C730" s="8" t="str">
        <f>TEXT(Table2[[#This Row],[OrderDate]],"mmm")</f>
        <v>May</v>
      </c>
      <c r="D730">
        <v>5</v>
      </c>
      <c r="E730">
        <v>2</v>
      </c>
      <c r="F730">
        <v>15</v>
      </c>
      <c r="G730" s="3">
        <v>247086</v>
      </c>
      <c r="H730" s="3">
        <f t="shared" si="22"/>
        <v>3706290</v>
      </c>
      <c r="I730" s="5">
        <f>Table2[[#This Row],[Total Revenue]]*0.3</f>
        <v>1111887</v>
      </c>
      <c r="J730" s="6">
        <f t="shared" si="23"/>
        <v>0.3</v>
      </c>
      <c r="K730" t="str">
        <f>VLOOKUP(Table2[[#This Row],[ProductID]],Products!$A$1:C734,2)</f>
        <v>Monitor</v>
      </c>
      <c r="L730" t="str">
        <f>VLOOKUP(D730,Products!$A$1:C734,3)</f>
        <v>Accessories</v>
      </c>
      <c r="M730" t="str">
        <f>VLOOKUP(Table2[[#This Row],[AgentID]],Sales_Agents!$A$1:C733,2)</f>
        <v>Blessing</v>
      </c>
      <c r="N730" t="str">
        <f>VLOOKUP(Table2[[#This Row],[AgentID]],Sales_Agents!$A$1:C733,3)</f>
        <v>East</v>
      </c>
    </row>
    <row r="731" spans="1:14" x14ac:dyDescent="0.25">
      <c r="A731">
        <v>730</v>
      </c>
      <c r="B731" s="1">
        <v>45488</v>
      </c>
      <c r="C731" s="8" t="str">
        <f>TEXT(Table2[[#This Row],[OrderDate]],"mmm")</f>
        <v>Jul</v>
      </c>
      <c r="D731">
        <v>5</v>
      </c>
      <c r="E731">
        <v>3</v>
      </c>
      <c r="F731">
        <v>19</v>
      </c>
      <c r="G731" s="3">
        <v>152784</v>
      </c>
      <c r="H731" s="3">
        <f t="shared" si="22"/>
        <v>2902896</v>
      </c>
      <c r="I731" s="5">
        <f>Table2[[#This Row],[Total Revenue]]*0.3</f>
        <v>870868.79999999993</v>
      </c>
      <c r="J731" s="6">
        <f t="shared" si="23"/>
        <v>0.3</v>
      </c>
      <c r="K731" t="str">
        <f>VLOOKUP(Table2[[#This Row],[ProductID]],Products!$A$1:C735,2)</f>
        <v>Monitor</v>
      </c>
      <c r="L731" t="str">
        <f>VLOOKUP(D731,Products!$A$1:C735,3)</f>
        <v>Accessories</v>
      </c>
      <c r="M731" t="str">
        <f>VLOOKUP(Table2[[#This Row],[AgentID]],Sales_Agents!$A$1:C734,2)</f>
        <v>Chinedu</v>
      </c>
      <c r="N731" t="str">
        <f>VLOOKUP(Table2[[#This Row],[AgentID]],Sales_Agents!$A$1:C734,3)</f>
        <v>South</v>
      </c>
    </row>
    <row r="732" spans="1:14" x14ac:dyDescent="0.25">
      <c r="A732">
        <v>731</v>
      </c>
      <c r="B732" s="1">
        <v>45433</v>
      </c>
      <c r="C732" s="8" t="str">
        <f>TEXT(Table2[[#This Row],[OrderDate]],"mmm")</f>
        <v>May</v>
      </c>
      <c r="D732">
        <v>2</v>
      </c>
      <c r="E732">
        <v>3</v>
      </c>
      <c r="F732">
        <v>8</v>
      </c>
      <c r="G732" s="3">
        <v>348616</v>
      </c>
      <c r="H732" s="3">
        <f t="shared" si="22"/>
        <v>2788928</v>
      </c>
      <c r="I732" s="5">
        <f>Table2[[#This Row],[Total Revenue]]*0.3</f>
        <v>836678.4</v>
      </c>
      <c r="J732" s="6">
        <f t="shared" si="23"/>
        <v>0.3</v>
      </c>
      <c r="K732" t="str">
        <f>VLOOKUP(Table2[[#This Row],[ProductID]],Products!$A$1:C736,2)</f>
        <v>Phone</v>
      </c>
      <c r="L732" t="str">
        <f>VLOOKUP(D732,Products!$A$1:C736,3)</f>
        <v>Electronics</v>
      </c>
      <c r="M732" t="str">
        <f>VLOOKUP(Table2[[#This Row],[AgentID]],Sales_Agents!$A$1:C735,2)</f>
        <v>Chinedu</v>
      </c>
      <c r="N732" t="str">
        <f>VLOOKUP(Table2[[#This Row],[AgentID]],Sales_Agents!$A$1:C735,3)</f>
        <v>South</v>
      </c>
    </row>
    <row r="733" spans="1:14" x14ac:dyDescent="0.25">
      <c r="A733">
        <v>732</v>
      </c>
      <c r="B733" s="1">
        <v>45392</v>
      </c>
      <c r="C733" s="8" t="str">
        <f>TEXT(Table2[[#This Row],[OrderDate]],"mmm")</f>
        <v>Apr</v>
      </c>
      <c r="D733">
        <v>3</v>
      </c>
      <c r="E733">
        <v>2</v>
      </c>
      <c r="F733">
        <v>20</v>
      </c>
      <c r="G733" s="3">
        <v>50207</v>
      </c>
      <c r="H733" s="3">
        <f t="shared" si="22"/>
        <v>1004140</v>
      </c>
      <c r="I733" s="5">
        <f>Table2[[#This Row],[Total Revenue]]*0.3</f>
        <v>301242</v>
      </c>
      <c r="J733" s="6">
        <f t="shared" si="23"/>
        <v>0.3</v>
      </c>
      <c r="K733" t="str">
        <f>VLOOKUP(Table2[[#This Row],[ProductID]],Products!$A$1:C737,2)</f>
        <v>Tablet</v>
      </c>
      <c r="L733" t="str">
        <f>VLOOKUP(D733,Products!$A$1:C737,3)</f>
        <v>Electronics</v>
      </c>
      <c r="M733" t="str">
        <f>VLOOKUP(Table2[[#This Row],[AgentID]],Sales_Agents!$A$1:C736,2)</f>
        <v>Blessing</v>
      </c>
      <c r="N733" t="str">
        <f>VLOOKUP(Table2[[#This Row],[AgentID]],Sales_Agents!$A$1:C736,3)</f>
        <v>East</v>
      </c>
    </row>
    <row r="734" spans="1:14" x14ac:dyDescent="0.25">
      <c r="A734">
        <v>733</v>
      </c>
      <c r="B734" s="1">
        <v>45635</v>
      </c>
      <c r="C734" s="8" t="str">
        <f>TEXT(Table2[[#This Row],[OrderDate]],"mmm")</f>
        <v>Dec</v>
      </c>
      <c r="D734">
        <v>1</v>
      </c>
      <c r="E734">
        <v>2</v>
      </c>
      <c r="F734">
        <v>18</v>
      </c>
      <c r="G734" s="3">
        <v>165172</v>
      </c>
      <c r="H734" s="3">
        <f t="shared" si="22"/>
        <v>2973096</v>
      </c>
      <c r="I734" s="5">
        <f>Table2[[#This Row],[Total Revenue]]*0.3</f>
        <v>891928.79999999993</v>
      </c>
      <c r="J734" s="6">
        <f t="shared" si="23"/>
        <v>0.3</v>
      </c>
      <c r="K734" t="str">
        <f>VLOOKUP(Table2[[#This Row],[ProductID]],Products!$A$1:C738,2)</f>
        <v>Laptop</v>
      </c>
      <c r="L734" t="str">
        <f>VLOOKUP(D734,Products!$A$1:C738,3)</f>
        <v>Electronics</v>
      </c>
      <c r="M734" t="str">
        <f>VLOOKUP(Table2[[#This Row],[AgentID]],Sales_Agents!$A$1:C737,2)</f>
        <v>Blessing</v>
      </c>
      <c r="N734" t="str">
        <f>VLOOKUP(Table2[[#This Row],[AgentID]],Sales_Agents!$A$1:C737,3)</f>
        <v>East</v>
      </c>
    </row>
    <row r="735" spans="1:14" x14ac:dyDescent="0.25">
      <c r="A735">
        <v>734</v>
      </c>
      <c r="B735" s="1">
        <v>45648</v>
      </c>
      <c r="C735" s="8" t="str">
        <f>TEXT(Table2[[#This Row],[OrderDate]],"mmm")</f>
        <v>Dec</v>
      </c>
      <c r="D735">
        <v>1</v>
      </c>
      <c r="E735">
        <v>1</v>
      </c>
      <c r="F735">
        <v>12</v>
      </c>
      <c r="G735" s="3">
        <v>93068</v>
      </c>
      <c r="H735" s="3">
        <f t="shared" si="22"/>
        <v>1116816</v>
      </c>
      <c r="I735" s="5">
        <f>Table2[[#This Row],[Total Revenue]]*0.3</f>
        <v>335044.8</v>
      </c>
      <c r="J735" s="6">
        <f t="shared" si="23"/>
        <v>0.3</v>
      </c>
      <c r="K735" t="str">
        <f>VLOOKUP(Table2[[#This Row],[ProductID]],Products!$A$1:C739,2)</f>
        <v>Laptop</v>
      </c>
      <c r="L735" t="str">
        <f>VLOOKUP(D735,Products!$A$1:C739,3)</f>
        <v>Electronics</v>
      </c>
      <c r="M735" t="str">
        <f>VLOOKUP(Table2[[#This Row],[AgentID]],Sales_Agents!$A$1:C738,2)</f>
        <v>Akin</v>
      </c>
      <c r="N735" t="str">
        <f>VLOOKUP(Table2[[#This Row],[AgentID]],Sales_Agents!$A$1:C738,3)</f>
        <v>West</v>
      </c>
    </row>
    <row r="736" spans="1:14" x14ac:dyDescent="0.25">
      <c r="A736">
        <v>735</v>
      </c>
      <c r="B736" s="1">
        <v>45294</v>
      </c>
      <c r="C736" s="8" t="str">
        <f>TEXT(Table2[[#This Row],[OrderDate]],"mmm")</f>
        <v>Jan</v>
      </c>
      <c r="D736">
        <v>3</v>
      </c>
      <c r="E736">
        <v>1</v>
      </c>
      <c r="F736">
        <v>20</v>
      </c>
      <c r="G736" s="3">
        <v>304580</v>
      </c>
      <c r="H736" s="3">
        <f t="shared" si="22"/>
        <v>6091600</v>
      </c>
      <c r="I736" s="5">
        <f>Table2[[#This Row],[Total Revenue]]*0.3</f>
        <v>1827480</v>
      </c>
      <c r="J736" s="6">
        <f t="shared" si="23"/>
        <v>0.3</v>
      </c>
      <c r="K736" t="str">
        <f>VLOOKUP(Table2[[#This Row],[ProductID]],Products!$A$1:C740,2)</f>
        <v>Tablet</v>
      </c>
      <c r="L736" t="str">
        <f>VLOOKUP(D736,Products!$A$1:C740,3)</f>
        <v>Electronics</v>
      </c>
      <c r="M736" t="str">
        <f>VLOOKUP(Table2[[#This Row],[AgentID]],Sales_Agents!$A$1:C739,2)</f>
        <v>Akin</v>
      </c>
      <c r="N736" t="str">
        <f>VLOOKUP(Table2[[#This Row],[AgentID]],Sales_Agents!$A$1:C739,3)</f>
        <v>West</v>
      </c>
    </row>
    <row r="737" spans="1:14" x14ac:dyDescent="0.25">
      <c r="A737">
        <v>736</v>
      </c>
      <c r="B737" s="1">
        <v>45628</v>
      </c>
      <c r="C737" s="8" t="str">
        <f>TEXT(Table2[[#This Row],[OrderDate]],"mmm")</f>
        <v>Dec</v>
      </c>
      <c r="D737">
        <v>4</v>
      </c>
      <c r="E737">
        <v>3</v>
      </c>
      <c r="F737">
        <v>9</v>
      </c>
      <c r="G737" s="3">
        <v>276155</v>
      </c>
      <c r="H737" s="3">
        <f t="shared" si="22"/>
        <v>2485395</v>
      </c>
      <c r="I737" s="5">
        <f>Table2[[#This Row],[Total Revenue]]*0.3</f>
        <v>745618.5</v>
      </c>
      <c r="J737" s="6">
        <f t="shared" si="23"/>
        <v>0.3</v>
      </c>
      <c r="K737" t="str">
        <f>VLOOKUP(Table2[[#This Row],[ProductID]],Products!$A$1:C741,2)</f>
        <v>Printer</v>
      </c>
      <c r="L737" t="str">
        <f>VLOOKUP(D737,Products!$A$1:C741,3)</f>
        <v>Accessories</v>
      </c>
      <c r="M737" t="str">
        <f>VLOOKUP(Table2[[#This Row],[AgentID]],Sales_Agents!$A$1:C740,2)</f>
        <v>Chinedu</v>
      </c>
      <c r="N737" t="str">
        <f>VLOOKUP(Table2[[#This Row],[AgentID]],Sales_Agents!$A$1:C740,3)</f>
        <v>South</v>
      </c>
    </row>
    <row r="738" spans="1:14" x14ac:dyDescent="0.25">
      <c r="A738">
        <v>737</v>
      </c>
      <c r="B738" s="1">
        <v>45569</v>
      </c>
      <c r="C738" s="8" t="str">
        <f>TEXT(Table2[[#This Row],[OrderDate]],"mmm")</f>
        <v>Oct</v>
      </c>
      <c r="D738">
        <v>4</v>
      </c>
      <c r="E738">
        <v>3</v>
      </c>
      <c r="F738">
        <v>13</v>
      </c>
      <c r="G738" s="3">
        <v>123522</v>
      </c>
      <c r="H738" s="3">
        <f t="shared" si="22"/>
        <v>1605786</v>
      </c>
      <c r="I738" s="5">
        <f>Table2[[#This Row],[Total Revenue]]*0.3</f>
        <v>481735.8</v>
      </c>
      <c r="J738" s="6">
        <f t="shared" si="23"/>
        <v>0.3</v>
      </c>
      <c r="K738" t="str">
        <f>VLOOKUP(Table2[[#This Row],[ProductID]],Products!$A$1:C742,2)</f>
        <v>Printer</v>
      </c>
      <c r="L738" t="str">
        <f>VLOOKUP(D738,Products!$A$1:C742,3)</f>
        <v>Accessories</v>
      </c>
      <c r="M738" t="str">
        <f>VLOOKUP(Table2[[#This Row],[AgentID]],Sales_Agents!$A$1:C741,2)</f>
        <v>Chinedu</v>
      </c>
      <c r="N738" t="str">
        <f>VLOOKUP(Table2[[#This Row],[AgentID]],Sales_Agents!$A$1:C741,3)</f>
        <v>South</v>
      </c>
    </row>
    <row r="739" spans="1:14" x14ac:dyDescent="0.25">
      <c r="A739">
        <v>738</v>
      </c>
      <c r="B739" s="1">
        <v>45340</v>
      </c>
      <c r="C739" s="8" t="str">
        <f>TEXT(Table2[[#This Row],[OrderDate]],"mmm")</f>
        <v>Feb</v>
      </c>
      <c r="D739">
        <v>1</v>
      </c>
      <c r="E739">
        <v>4</v>
      </c>
      <c r="F739">
        <v>14</v>
      </c>
      <c r="G739" s="3">
        <v>269068</v>
      </c>
      <c r="H739" s="3">
        <f t="shared" si="22"/>
        <v>3766952</v>
      </c>
      <c r="I739" s="5">
        <f>Table2[[#This Row],[Total Revenue]]*0.3</f>
        <v>1130085.5999999999</v>
      </c>
      <c r="J739" s="6">
        <f t="shared" si="23"/>
        <v>0.3</v>
      </c>
      <c r="K739" t="str">
        <f>VLOOKUP(Table2[[#This Row],[ProductID]],Products!$A$1:C743,2)</f>
        <v>Laptop</v>
      </c>
      <c r="L739" t="str">
        <f>VLOOKUP(D739,Products!$A$1:C743,3)</f>
        <v>Electronics</v>
      </c>
      <c r="M739" t="str">
        <f>VLOOKUP(Table2[[#This Row],[AgentID]],Sales_Agents!$A$1:C742,2)</f>
        <v>Zainab</v>
      </c>
      <c r="N739" t="str">
        <f>VLOOKUP(Table2[[#This Row],[AgentID]],Sales_Agents!$A$1:C742,3)</f>
        <v>North</v>
      </c>
    </row>
    <row r="740" spans="1:14" x14ac:dyDescent="0.25">
      <c r="A740">
        <v>739</v>
      </c>
      <c r="B740" s="1">
        <v>45408</v>
      </c>
      <c r="C740" s="8" t="str">
        <f>TEXT(Table2[[#This Row],[OrderDate]],"mmm")</f>
        <v>Apr</v>
      </c>
      <c r="D740">
        <v>5</v>
      </c>
      <c r="E740">
        <v>4</v>
      </c>
      <c r="F740">
        <v>10</v>
      </c>
      <c r="G740" s="3">
        <v>70779</v>
      </c>
      <c r="H740" s="3">
        <f t="shared" si="22"/>
        <v>707790</v>
      </c>
      <c r="I740" s="5">
        <f>Table2[[#This Row],[Total Revenue]]*0.3</f>
        <v>212337</v>
      </c>
      <c r="J740" s="6">
        <f t="shared" si="23"/>
        <v>0.3</v>
      </c>
      <c r="K740" t="str">
        <f>VLOOKUP(Table2[[#This Row],[ProductID]],Products!$A$1:C744,2)</f>
        <v>Monitor</v>
      </c>
      <c r="L740" t="str">
        <f>VLOOKUP(D740,Products!$A$1:C744,3)</f>
        <v>Accessories</v>
      </c>
      <c r="M740" t="str">
        <f>VLOOKUP(Table2[[#This Row],[AgentID]],Sales_Agents!$A$1:C743,2)</f>
        <v>Zainab</v>
      </c>
      <c r="N740" t="str">
        <f>VLOOKUP(Table2[[#This Row],[AgentID]],Sales_Agents!$A$1:C743,3)</f>
        <v>North</v>
      </c>
    </row>
    <row r="741" spans="1:14" x14ac:dyDescent="0.25">
      <c r="A741">
        <v>740</v>
      </c>
      <c r="B741" s="1">
        <v>45297</v>
      </c>
      <c r="C741" s="8" t="str">
        <f>TEXT(Table2[[#This Row],[OrderDate]],"mmm")</f>
        <v>Jan</v>
      </c>
      <c r="D741">
        <v>5</v>
      </c>
      <c r="E741">
        <v>3</v>
      </c>
      <c r="F741">
        <v>8</v>
      </c>
      <c r="G741" s="3">
        <v>269320</v>
      </c>
      <c r="H741" s="3">
        <f t="shared" si="22"/>
        <v>2154560</v>
      </c>
      <c r="I741" s="5">
        <f>Table2[[#This Row],[Total Revenue]]*0.3</f>
        <v>646368</v>
      </c>
      <c r="J741" s="6">
        <f t="shared" si="23"/>
        <v>0.3</v>
      </c>
      <c r="K741" t="str">
        <f>VLOOKUP(Table2[[#This Row],[ProductID]],Products!$A$1:C745,2)</f>
        <v>Monitor</v>
      </c>
      <c r="L741" t="str">
        <f>VLOOKUP(D741,Products!$A$1:C745,3)</f>
        <v>Accessories</v>
      </c>
      <c r="M741" t="str">
        <f>VLOOKUP(Table2[[#This Row],[AgentID]],Sales_Agents!$A$1:C744,2)</f>
        <v>Chinedu</v>
      </c>
      <c r="N741" t="str">
        <f>VLOOKUP(Table2[[#This Row],[AgentID]],Sales_Agents!$A$1:C744,3)</f>
        <v>South</v>
      </c>
    </row>
    <row r="742" spans="1:14" x14ac:dyDescent="0.25">
      <c r="A742">
        <v>741</v>
      </c>
      <c r="B742" s="1">
        <v>45369</v>
      </c>
      <c r="C742" s="8" t="str">
        <f>TEXT(Table2[[#This Row],[OrderDate]],"mmm")</f>
        <v>Mar</v>
      </c>
      <c r="D742">
        <v>3</v>
      </c>
      <c r="E742">
        <v>1</v>
      </c>
      <c r="F742">
        <v>7</v>
      </c>
      <c r="G742" s="3">
        <v>364719</v>
      </c>
      <c r="H742" s="3">
        <f t="shared" si="22"/>
        <v>2553033</v>
      </c>
      <c r="I742" s="5">
        <f>Table2[[#This Row],[Total Revenue]]*0.3</f>
        <v>765909.9</v>
      </c>
      <c r="J742" s="6">
        <f t="shared" si="23"/>
        <v>0.3</v>
      </c>
      <c r="K742" t="str">
        <f>VLOOKUP(Table2[[#This Row],[ProductID]],Products!$A$1:C746,2)</f>
        <v>Tablet</v>
      </c>
      <c r="L742" t="str">
        <f>VLOOKUP(D742,Products!$A$1:C746,3)</f>
        <v>Electronics</v>
      </c>
      <c r="M742" t="str">
        <f>VLOOKUP(Table2[[#This Row],[AgentID]],Sales_Agents!$A$1:C745,2)</f>
        <v>Akin</v>
      </c>
      <c r="N742" t="str">
        <f>VLOOKUP(Table2[[#This Row],[AgentID]],Sales_Agents!$A$1:C745,3)</f>
        <v>West</v>
      </c>
    </row>
    <row r="743" spans="1:14" x14ac:dyDescent="0.25">
      <c r="A743">
        <v>742</v>
      </c>
      <c r="B743" s="1">
        <v>45556</v>
      </c>
      <c r="C743" s="8" t="str">
        <f>TEXT(Table2[[#This Row],[OrderDate]],"mmm")</f>
        <v>Sept</v>
      </c>
      <c r="D743">
        <v>5</v>
      </c>
      <c r="E743">
        <v>1</v>
      </c>
      <c r="F743">
        <v>4</v>
      </c>
      <c r="G743" s="3">
        <v>293565</v>
      </c>
      <c r="H743" s="3">
        <f t="shared" si="22"/>
        <v>1174260</v>
      </c>
      <c r="I743" s="5">
        <f>Table2[[#This Row],[Total Revenue]]*0.3</f>
        <v>352278</v>
      </c>
      <c r="J743" s="6">
        <f t="shared" si="23"/>
        <v>0.3</v>
      </c>
      <c r="K743" t="str">
        <f>VLOOKUP(Table2[[#This Row],[ProductID]],Products!$A$1:C747,2)</f>
        <v>Monitor</v>
      </c>
      <c r="L743" t="str">
        <f>VLOOKUP(D743,Products!$A$1:C747,3)</f>
        <v>Accessories</v>
      </c>
      <c r="M743" t="str">
        <f>VLOOKUP(Table2[[#This Row],[AgentID]],Sales_Agents!$A$1:C746,2)</f>
        <v>Akin</v>
      </c>
      <c r="N743" t="str">
        <f>VLOOKUP(Table2[[#This Row],[AgentID]],Sales_Agents!$A$1:C746,3)</f>
        <v>West</v>
      </c>
    </row>
    <row r="744" spans="1:14" x14ac:dyDescent="0.25">
      <c r="A744">
        <v>743</v>
      </c>
      <c r="B744" s="1">
        <v>45516</v>
      </c>
      <c r="C744" s="8" t="str">
        <f>TEXT(Table2[[#This Row],[OrderDate]],"mmm")</f>
        <v>Aug</v>
      </c>
      <c r="D744">
        <v>2</v>
      </c>
      <c r="E744">
        <v>2</v>
      </c>
      <c r="F744">
        <v>15</v>
      </c>
      <c r="G744" s="3">
        <v>180537</v>
      </c>
      <c r="H744" s="3">
        <f t="shared" si="22"/>
        <v>2708055</v>
      </c>
      <c r="I744" s="5">
        <f>Table2[[#This Row],[Total Revenue]]*0.3</f>
        <v>812416.5</v>
      </c>
      <c r="J744" s="6">
        <f t="shared" si="23"/>
        <v>0.3</v>
      </c>
      <c r="K744" t="str">
        <f>VLOOKUP(Table2[[#This Row],[ProductID]],Products!$A$1:C748,2)</f>
        <v>Phone</v>
      </c>
      <c r="L744" t="str">
        <f>VLOOKUP(D744,Products!$A$1:C748,3)</f>
        <v>Electronics</v>
      </c>
      <c r="M744" t="str">
        <f>VLOOKUP(Table2[[#This Row],[AgentID]],Sales_Agents!$A$1:C747,2)</f>
        <v>Blessing</v>
      </c>
      <c r="N744" t="str">
        <f>VLOOKUP(Table2[[#This Row],[AgentID]],Sales_Agents!$A$1:C747,3)</f>
        <v>East</v>
      </c>
    </row>
    <row r="745" spans="1:14" x14ac:dyDescent="0.25">
      <c r="A745">
        <v>744</v>
      </c>
      <c r="B745" s="1">
        <v>45427</v>
      </c>
      <c r="C745" s="8" t="str">
        <f>TEXT(Table2[[#This Row],[OrderDate]],"mmm")</f>
        <v>May</v>
      </c>
      <c r="D745">
        <v>4</v>
      </c>
      <c r="E745">
        <v>1</v>
      </c>
      <c r="F745">
        <v>17</v>
      </c>
      <c r="G745" s="3">
        <v>190524</v>
      </c>
      <c r="H745" s="3">
        <f t="shared" si="22"/>
        <v>3238908</v>
      </c>
      <c r="I745" s="5">
        <f>Table2[[#This Row],[Total Revenue]]*0.3</f>
        <v>971672.39999999991</v>
      </c>
      <c r="J745" s="6">
        <f t="shared" si="23"/>
        <v>0.3</v>
      </c>
      <c r="K745" t="str">
        <f>VLOOKUP(Table2[[#This Row],[ProductID]],Products!$A$1:C749,2)</f>
        <v>Printer</v>
      </c>
      <c r="L745" t="str">
        <f>VLOOKUP(D745,Products!$A$1:C749,3)</f>
        <v>Accessories</v>
      </c>
      <c r="M745" t="str">
        <f>VLOOKUP(Table2[[#This Row],[AgentID]],Sales_Agents!$A$1:C748,2)</f>
        <v>Akin</v>
      </c>
      <c r="N745" t="str">
        <f>VLOOKUP(Table2[[#This Row],[AgentID]],Sales_Agents!$A$1:C748,3)</f>
        <v>West</v>
      </c>
    </row>
    <row r="746" spans="1:14" x14ac:dyDescent="0.25">
      <c r="A746">
        <v>745</v>
      </c>
      <c r="B746" s="1">
        <v>45435</v>
      </c>
      <c r="C746" s="8" t="str">
        <f>TEXT(Table2[[#This Row],[OrderDate]],"mmm")</f>
        <v>May</v>
      </c>
      <c r="D746">
        <v>3</v>
      </c>
      <c r="E746">
        <v>3</v>
      </c>
      <c r="F746">
        <v>7</v>
      </c>
      <c r="G746" s="3">
        <v>176195</v>
      </c>
      <c r="H746" s="3">
        <f t="shared" si="22"/>
        <v>1233365</v>
      </c>
      <c r="I746" s="5">
        <f>Table2[[#This Row],[Total Revenue]]*0.3</f>
        <v>370009.5</v>
      </c>
      <c r="J746" s="6">
        <f t="shared" si="23"/>
        <v>0.3</v>
      </c>
      <c r="K746" t="str">
        <f>VLOOKUP(Table2[[#This Row],[ProductID]],Products!$A$1:C750,2)</f>
        <v>Tablet</v>
      </c>
      <c r="L746" t="str">
        <f>VLOOKUP(D746,Products!$A$1:C750,3)</f>
        <v>Electronics</v>
      </c>
      <c r="M746" t="str">
        <f>VLOOKUP(Table2[[#This Row],[AgentID]],Sales_Agents!$A$1:C749,2)</f>
        <v>Chinedu</v>
      </c>
      <c r="N746" t="str">
        <f>VLOOKUP(Table2[[#This Row],[AgentID]],Sales_Agents!$A$1:C749,3)</f>
        <v>South</v>
      </c>
    </row>
    <row r="747" spans="1:14" x14ac:dyDescent="0.25">
      <c r="A747">
        <v>746</v>
      </c>
      <c r="B747" s="1">
        <v>45389</v>
      </c>
      <c r="C747" s="8" t="str">
        <f>TEXT(Table2[[#This Row],[OrderDate]],"mmm")</f>
        <v>Apr</v>
      </c>
      <c r="D747">
        <v>3</v>
      </c>
      <c r="E747">
        <v>3</v>
      </c>
      <c r="F747">
        <v>7</v>
      </c>
      <c r="G747" s="3">
        <v>242884</v>
      </c>
      <c r="H747" s="3">
        <f t="shared" si="22"/>
        <v>1700188</v>
      </c>
      <c r="I747" s="5">
        <f>Table2[[#This Row],[Total Revenue]]*0.3</f>
        <v>510056.39999999997</v>
      </c>
      <c r="J747" s="6">
        <f t="shared" si="23"/>
        <v>0.3</v>
      </c>
      <c r="K747" t="str">
        <f>VLOOKUP(Table2[[#This Row],[ProductID]],Products!$A$1:C751,2)</f>
        <v>Tablet</v>
      </c>
      <c r="L747" t="str">
        <f>VLOOKUP(D747,Products!$A$1:C751,3)</f>
        <v>Electronics</v>
      </c>
      <c r="M747" t="str">
        <f>VLOOKUP(Table2[[#This Row],[AgentID]],Sales_Agents!$A$1:C750,2)</f>
        <v>Chinedu</v>
      </c>
      <c r="N747" t="str">
        <f>VLOOKUP(Table2[[#This Row],[AgentID]],Sales_Agents!$A$1:C750,3)</f>
        <v>South</v>
      </c>
    </row>
    <row r="748" spans="1:14" x14ac:dyDescent="0.25">
      <c r="A748">
        <v>747</v>
      </c>
      <c r="B748" s="1">
        <v>45425</v>
      </c>
      <c r="C748" s="8" t="str">
        <f>TEXT(Table2[[#This Row],[OrderDate]],"mmm")</f>
        <v>May</v>
      </c>
      <c r="D748">
        <v>5</v>
      </c>
      <c r="E748">
        <v>4</v>
      </c>
      <c r="F748">
        <v>13</v>
      </c>
      <c r="G748" s="3">
        <v>158716</v>
      </c>
      <c r="H748" s="3">
        <f t="shared" si="22"/>
        <v>2063308</v>
      </c>
      <c r="I748" s="5">
        <f>Table2[[#This Row],[Total Revenue]]*0.3</f>
        <v>618992.4</v>
      </c>
      <c r="J748" s="6">
        <f t="shared" si="23"/>
        <v>0.3</v>
      </c>
      <c r="K748" t="str">
        <f>VLOOKUP(Table2[[#This Row],[ProductID]],Products!$A$1:C752,2)</f>
        <v>Monitor</v>
      </c>
      <c r="L748" t="str">
        <f>VLOOKUP(D748,Products!$A$1:C752,3)</f>
        <v>Accessories</v>
      </c>
      <c r="M748" t="str">
        <f>VLOOKUP(Table2[[#This Row],[AgentID]],Sales_Agents!$A$1:C751,2)</f>
        <v>Zainab</v>
      </c>
      <c r="N748" t="str">
        <f>VLOOKUP(Table2[[#This Row],[AgentID]],Sales_Agents!$A$1:C751,3)</f>
        <v>North</v>
      </c>
    </row>
    <row r="749" spans="1:14" x14ac:dyDescent="0.25">
      <c r="A749">
        <v>748</v>
      </c>
      <c r="B749" s="1">
        <v>45523</v>
      </c>
      <c r="C749" s="8" t="str">
        <f>TEXT(Table2[[#This Row],[OrderDate]],"mmm")</f>
        <v>Aug</v>
      </c>
      <c r="D749">
        <v>3</v>
      </c>
      <c r="E749">
        <v>2</v>
      </c>
      <c r="F749">
        <v>3</v>
      </c>
      <c r="G749" s="3">
        <v>349613</v>
      </c>
      <c r="H749" s="3">
        <f t="shared" si="22"/>
        <v>1048839</v>
      </c>
      <c r="I749" s="5">
        <f>Table2[[#This Row],[Total Revenue]]*0.3</f>
        <v>314651.7</v>
      </c>
      <c r="J749" s="6">
        <f t="shared" si="23"/>
        <v>0.3</v>
      </c>
      <c r="K749" t="str">
        <f>VLOOKUP(Table2[[#This Row],[ProductID]],Products!$A$1:C753,2)</f>
        <v>Tablet</v>
      </c>
      <c r="L749" t="str">
        <f>VLOOKUP(D749,Products!$A$1:C753,3)</f>
        <v>Electronics</v>
      </c>
      <c r="M749" t="str">
        <f>VLOOKUP(Table2[[#This Row],[AgentID]],Sales_Agents!$A$1:C752,2)</f>
        <v>Blessing</v>
      </c>
      <c r="N749" t="str">
        <f>VLOOKUP(Table2[[#This Row],[AgentID]],Sales_Agents!$A$1:C752,3)</f>
        <v>East</v>
      </c>
    </row>
    <row r="750" spans="1:14" x14ac:dyDescent="0.25">
      <c r="A750">
        <v>749</v>
      </c>
      <c r="B750" s="1">
        <v>45612</v>
      </c>
      <c r="C750" s="8" t="str">
        <f>TEXT(Table2[[#This Row],[OrderDate]],"mmm")</f>
        <v>Nov</v>
      </c>
      <c r="D750">
        <v>1</v>
      </c>
      <c r="E750">
        <v>3</v>
      </c>
      <c r="F750">
        <v>2</v>
      </c>
      <c r="G750" s="3">
        <v>130345</v>
      </c>
      <c r="H750" s="3">
        <f t="shared" si="22"/>
        <v>260690</v>
      </c>
      <c r="I750" s="5">
        <f>Table2[[#This Row],[Total Revenue]]*0.3</f>
        <v>78207</v>
      </c>
      <c r="J750" s="6">
        <f t="shared" si="23"/>
        <v>0.3</v>
      </c>
      <c r="K750" t="str">
        <f>VLOOKUP(Table2[[#This Row],[ProductID]],Products!$A$1:C754,2)</f>
        <v>Laptop</v>
      </c>
      <c r="L750" t="str">
        <f>VLOOKUP(D750,Products!$A$1:C754,3)</f>
        <v>Electronics</v>
      </c>
      <c r="M750" t="str">
        <f>VLOOKUP(Table2[[#This Row],[AgentID]],Sales_Agents!$A$1:C753,2)</f>
        <v>Chinedu</v>
      </c>
      <c r="N750" t="str">
        <f>VLOOKUP(Table2[[#This Row],[AgentID]],Sales_Agents!$A$1:C753,3)</f>
        <v>South</v>
      </c>
    </row>
    <row r="751" spans="1:14" x14ac:dyDescent="0.25">
      <c r="A751">
        <v>750</v>
      </c>
      <c r="B751" s="1">
        <v>45554</v>
      </c>
      <c r="C751" s="8" t="str">
        <f>TEXT(Table2[[#This Row],[OrderDate]],"mmm")</f>
        <v>Sept</v>
      </c>
      <c r="D751">
        <v>1</v>
      </c>
      <c r="E751">
        <v>3</v>
      </c>
      <c r="F751">
        <v>2</v>
      </c>
      <c r="G751" s="3">
        <v>138237</v>
      </c>
      <c r="H751" s="3">
        <f t="shared" si="22"/>
        <v>276474</v>
      </c>
      <c r="I751" s="5">
        <f>Table2[[#This Row],[Total Revenue]]*0.3</f>
        <v>82942.2</v>
      </c>
      <c r="J751" s="6">
        <f t="shared" si="23"/>
        <v>0.3</v>
      </c>
      <c r="K751" t="str">
        <f>VLOOKUP(Table2[[#This Row],[ProductID]],Products!$A$1:C755,2)</f>
        <v>Laptop</v>
      </c>
      <c r="L751" t="str">
        <f>VLOOKUP(D751,Products!$A$1:C755,3)</f>
        <v>Electronics</v>
      </c>
      <c r="M751" t="str">
        <f>VLOOKUP(Table2[[#This Row],[AgentID]],Sales_Agents!$A$1:C754,2)</f>
        <v>Chinedu</v>
      </c>
      <c r="N751" t="str">
        <f>VLOOKUP(Table2[[#This Row],[AgentID]],Sales_Agents!$A$1:C754,3)</f>
        <v>South</v>
      </c>
    </row>
    <row r="752" spans="1:14" x14ac:dyDescent="0.25">
      <c r="A752">
        <v>751</v>
      </c>
      <c r="B752" s="1">
        <v>45401</v>
      </c>
      <c r="C752" s="8" t="str">
        <f>TEXT(Table2[[#This Row],[OrderDate]],"mmm")</f>
        <v>Apr</v>
      </c>
      <c r="D752">
        <v>3</v>
      </c>
      <c r="E752">
        <v>2</v>
      </c>
      <c r="F752">
        <v>13</v>
      </c>
      <c r="G752" s="3">
        <v>52407</v>
      </c>
      <c r="H752" s="3">
        <f t="shared" si="22"/>
        <v>681291</v>
      </c>
      <c r="I752" s="5">
        <f>Table2[[#This Row],[Total Revenue]]*0.3</f>
        <v>204387.3</v>
      </c>
      <c r="J752" s="6">
        <f t="shared" si="23"/>
        <v>0.3</v>
      </c>
      <c r="K752" t="str">
        <f>VLOOKUP(Table2[[#This Row],[ProductID]],Products!$A$1:C756,2)</f>
        <v>Tablet</v>
      </c>
      <c r="L752" t="str">
        <f>VLOOKUP(D752,Products!$A$1:C756,3)</f>
        <v>Electronics</v>
      </c>
      <c r="M752" t="str">
        <f>VLOOKUP(Table2[[#This Row],[AgentID]],Sales_Agents!$A$1:C755,2)</f>
        <v>Blessing</v>
      </c>
      <c r="N752" t="str">
        <f>VLOOKUP(Table2[[#This Row],[AgentID]],Sales_Agents!$A$1:C755,3)</f>
        <v>East</v>
      </c>
    </row>
    <row r="753" spans="1:14" x14ac:dyDescent="0.25">
      <c r="A753">
        <v>752</v>
      </c>
      <c r="B753" s="1">
        <v>45323</v>
      </c>
      <c r="C753" s="8" t="str">
        <f>TEXT(Table2[[#This Row],[OrderDate]],"mmm")</f>
        <v>Feb</v>
      </c>
      <c r="D753">
        <v>5</v>
      </c>
      <c r="E753">
        <v>4</v>
      </c>
      <c r="F753">
        <v>15</v>
      </c>
      <c r="G753" s="3">
        <v>224937</v>
      </c>
      <c r="H753" s="3">
        <f t="shared" si="22"/>
        <v>3374055</v>
      </c>
      <c r="I753" s="5">
        <f>Table2[[#This Row],[Total Revenue]]*0.3</f>
        <v>1012216.5</v>
      </c>
      <c r="J753" s="6">
        <f t="shared" si="23"/>
        <v>0.3</v>
      </c>
      <c r="K753" t="str">
        <f>VLOOKUP(Table2[[#This Row],[ProductID]],Products!$A$1:C757,2)</f>
        <v>Monitor</v>
      </c>
      <c r="L753" t="str">
        <f>VLOOKUP(D753,Products!$A$1:C757,3)</f>
        <v>Accessories</v>
      </c>
      <c r="M753" t="str">
        <f>VLOOKUP(Table2[[#This Row],[AgentID]],Sales_Agents!$A$1:C756,2)</f>
        <v>Zainab</v>
      </c>
      <c r="N753" t="str">
        <f>VLOOKUP(Table2[[#This Row],[AgentID]],Sales_Agents!$A$1:C756,3)</f>
        <v>North</v>
      </c>
    </row>
    <row r="754" spans="1:14" x14ac:dyDescent="0.25">
      <c r="A754">
        <v>753</v>
      </c>
      <c r="B754" s="1">
        <v>45299</v>
      </c>
      <c r="C754" s="8" t="str">
        <f>TEXT(Table2[[#This Row],[OrderDate]],"mmm")</f>
        <v>Jan</v>
      </c>
      <c r="D754">
        <v>2</v>
      </c>
      <c r="E754">
        <v>4</v>
      </c>
      <c r="F754">
        <v>19</v>
      </c>
      <c r="G754" s="3">
        <v>300385</v>
      </c>
      <c r="H754" s="3">
        <f t="shared" si="22"/>
        <v>5707315</v>
      </c>
      <c r="I754" s="5">
        <f>Table2[[#This Row],[Total Revenue]]*0.3</f>
        <v>1712194.5</v>
      </c>
      <c r="J754" s="6">
        <f t="shared" si="23"/>
        <v>0.3</v>
      </c>
      <c r="K754" t="str">
        <f>VLOOKUP(Table2[[#This Row],[ProductID]],Products!$A$1:C758,2)</f>
        <v>Phone</v>
      </c>
      <c r="L754" t="str">
        <f>VLOOKUP(D754,Products!$A$1:C758,3)</f>
        <v>Electronics</v>
      </c>
      <c r="M754" t="str">
        <f>VLOOKUP(Table2[[#This Row],[AgentID]],Sales_Agents!$A$1:C757,2)</f>
        <v>Zainab</v>
      </c>
      <c r="N754" t="str">
        <f>VLOOKUP(Table2[[#This Row],[AgentID]],Sales_Agents!$A$1:C757,3)</f>
        <v>North</v>
      </c>
    </row>
    <row r="755" spans="1:14" x14ac:dyDescent="0.25">
      <c r="A755">
        <v>754</v>
      </c>
      <c r="B755" s="1">
        <v>45559</v>
      </c>
      <c r="C755" s="8" t="str">
        <f>TEXT(Table2[[#This Row],[OrderDate]],"mmm")</f>
        <v>Sept</v>
      </c>
      <c r="D755">
        <v>4</v>
      </c>
      <c r="E755">
        <v>1</v>
      </c>
      <c r="F755">
        <v>20</v>
      </c>
      <c r="G755" s="3">
        <v>334243</v>
      </c>
      <c r="H755" s="3">
        <f t="shared" si="22"/>
        <v>6684860</v>
      </c>
      <c r="I755" s="5">
        <f>Table2[[#This Row],[Total Revenue]]*0.3</f>
        <v>2005458</v>
      </c>
      <c r="J755" s="6">
        <f t="shared" si="23"/>
        <v>0.3</v>
      </c>
      <c r="K755" t="str">
        <f>VLOOKUP(Table2[[#This Row],[ProductID]],Products!$A$1:C759,2)</f>
        <v>Printer</v>
      </c>
      <c r="L755" t="str">
        <f>VLOOKUP(D755,Products!$A$1:C759,3)</f>
        <v>Accessories</v>
      </c>
      <c r="M755" t="str">
        <f>VLOOKUP(Table2[[#This Row],[AgentID]],Sales_Agents!$A$1:C758,2)</f>
        <v>Akin</v>
      </c>
      <c r="N755" t="str">
        <f>VLOOKUP(Table2[[#This Row],[AgentID]],Sales_Agents!$A$1:C758,3)</f>
        <v>West</v>
      </c>
    </row>
    <row r="756" spans="1:14" x14ac:dyDescent="0.25">
      <c r="A756">
        <v>755</v>
      </c>
      <c r="B756" s="1">
        <v>45528</v>
      </c>
      <c r="C756" s="8" t="str">
        <f>TEXT(Table2[[#This Row],[OrderDate]],"mmm")</f>
        <v>Aug</v>
      </c>
      <c r="D756">
        <v>1</v>
      </c>
      <c r="E756">
        <v>4</v>
      </c>
      <c r="F756">
        <v>11</v>
      </c>
      <c r="G756" s="3">
        <v>307178</v>
      </c>
      <c r="H756" s="3">
        <f t="shared" si="22"/>
        <v>3378958</v>
      </c>
      <c r="I756" s="5">
        <f>Table2[[#This Row],[Total Revenue]]*0.3</f>
        <v>1013687.3999999999</v>
      </c>
      <c r="J756" s="6">
        <f t="shared" si="23"/>
        <v>0.3</v>
      </c>
      <c r="K756" t="str">
        <f>VLOOKUP(Table2[[#This Row],[ProductID]],Products!$A$1:C760,2)</f>
        <v>Laptop</v>
      </c>
      <c r="L756" t="str">
        <f>VLOOKUP(D756,Products!$A$1:C760,3)</f>
        <v>Electronics</v>
      </c>
      <c r="M756" t="str">
        <f>VLOOKUP(Table2[[#This Row],[AgentID]],Sales_Agents!$A$1:C759,2)</f>
        <v>Zainab</v>
      </c>
      <c r="N756" t="str">
        <f>VLOOKUP(Table2[[#This Row],[AgentID]],Sales_Agents!$A$1:C759,3)</f>
        <v>North</v>
      </c>
    </row>
    <row r="757" spans="1:14" x14ac:dyDescent="0.25">
      <c r="A757">
        <v>756</v>
      </c>
      <c r="B757" s="1">
        <v>45511</v>
      </c>
      <c r="C757" s="8" t="str">
        <f>TEXT(Table2[[#This Row],[OrderDate]],"mmm")</f>
        <v>Aug</v>
      </c>
      <c r="D757">
        <v>2</v>
      </c>
      <c r="E757">
        <v>2</v>
      </c>
      <c r="F757">
        <v>6</v>
      </c>
      <c r="G757" s="3">
        <v>103237</v>
      </c>
      <c r="H757" s="3">
        <f t="shared" si="22"/>
        <v>619422</v>
      </c>
      <c r="I757" s="5">
        <f>Table2[[#This Row],[Total Revenue]]*0.3</f>
        <v>185826.6</v>
      </c>
      <c r="J757" s="6">
        <f t="shared" si="23"/>
        <v>0.3</v>
      </c>
      <c r="K757" t="str">
        <f>VLOOKUP(Table2[[#This Row],[ProductID]],Products!$A$1:C761,2)</f>
        <v>Phone</v>
      </c>
      <c r="L757" t="str">
        <f>VLOOKUP(D757,Products!$A$1:C761,3)</f>
        <v>Electronics</v>
      </c>
      <c r="M757" t="str">
        <f>VLOOKUP(Table2[[#This Row],[AgentID]],Sales_Agents!$A$1:C760,2)</f>
        <v>Blessing</v>
      </c>
      <c r="N757" t="str">
        <f>VLOOKUP(Table2[[#This Row],[AgentID]],Sales_Agents!$A$1:C760,3)</f>
        <v>East</v>
      </c>
    </row>
    <row r="758" spans="1:14" x14ac:dyDescent="0.25">
      <c r="A758">
        <v>757</v>
      </c>
      <c r="B758" s="1">
        <v>45633</v>
      </c>
      <c r="C758" s="8" t="str">
        <f>TEXT(Table2[[#This Row],[OrderDate]],"mmm")</f>
        <v>Dec</v>
      </c>
      <c r="D758">
        <v>2</v>
      </c>
      <c r="E758">
        <v>3</v>
      </c>
      <c r="F758">
        <v>20</v>
      </c>
      <c r="G758" s="3">
        <v>384664</v>
      </c>
      <c r="H758" s="3">
        <f t="shared" si="22"/>
        <v>7693280</v>
      </c>
      <c r="I758" s="5">
        <f>Table2[[#This Row],[Total Revenue]]*0.3</f>
        <v>2307984</v>
      </c>
      <c r="J758" s="6">
        <f t="shared" si="23"/>
        <v>0.3</v>
      </c>
      <c r="K758" t="str">
        <f>VLOOKUP(Table2[[#This Row],[ProductID]],Products!$A$1:C762,2)</f>
        <v>Phone</v>
      </c>
      <c r="L758" t="str">
        <f>VLOOKUP(D758,Products!$A$1:C762,3)</f>
        <v>Electronics</v>
      </c>
      <c r="M758" t="str">
        <f>VLOOKUP(Table2[[#This Row],[AgentID]],Sales_Agents!$A$1:C761,2)</f>
        <v>Chinedu</v>
      </c>
      <c r="N758" t="str">
        <f>VLOOKUP(Table2[[#This Row],[AgentID]],Sales_Agents!$A$1:C761,3)</f>
        <v>South</v>
      </c>
    </row>
    <row r="759" spans="1:14" x14ac:dyDescent="0.25">
      <c r="A759">
        <v>758</v>
      </c>
      <c r="B759" s="1">
        <v>45584</v>
      </c>
      <c r="C759" s="8" t="str">
        <f>TEXT(Table2[[#This Row],[OrderDate]],"mmm")</f>
        <v>Oct</v>
      </c>
      <c r="D759">
        <v>3</v>
      </c>
      <c r="E759">
        <v>1</v>
      </c>
      <c r="F759">
        <v>2</v>
      </c>
      <c r="G759" s="3">
        <v>376338</v>
      </c>
      <c r="H759" s="3">
        <f t="shared" si="22"/>
        <v>752676</v>
      </c>
      <c r="I759" s="5">
        <f>Table2[[#This Row],[Total Revenue]]*0.3</f>
        <v>225802.8</v>
      </c>
      <c r="J759" s="6">
        <f t="shared" si="23"/>
        <v>0.3</v>
      </c>
      <c r="K759" t="str">
        <f>VLOOKUP(Table2[[#This Row],[ProductID]],Products!$A$1:C763,2)</f>
        <v>Tablet</v>
      </c>
      <c r="L759" t="str">
        <f>VLOOKUP(D759,Products!$A$1:C763,3)</f>
        <v>Electronics</v>
      </c>
      <c r="M759" t="str">
        <f>VLOOKUP(Table2[[#This Row],[AgentID]],Sales_Agents!$A$1:C762,2)</f>
        <v>Akin</v>
      </c>
      <c r="N759" t="str">
        <f>VLOOKUP(Table2[[#This Row],[AgentID]],Sales_Agents!$A$1:C762,3)</f>
        <v>West</v>
      </c>
    </row>
    <row r="760" spans="1:14" x14ac:dyDescent="0.25">
      <c r="A760">
        <v>759</v>
      </c>
      <c r="B760" s="1">
        <v>45628</v>
      </c>
      <c r="C760" s="8" t="str">
        <f>TEXT(Table2[[#This Row],[OrderDate]],"mmm")</f>
        <v>Dec</v>
      </c>
      <c r="D760">
        <v>5</v>
      </c>
      <c r="E760">
        <v>1</v>
      </c>
      <c r="F760">
        <v>5</v>
      </c>
      <c r="G760" s="3">
        <v>80489</v>
      </c>
      <c r="H760" s="3">
        <f t="shared" si="22"/>
        <v>402445</v>
      </c>
      <c r="I760" s="5">
        <f>Table2[[#This Row],[Total Revenue]]*0.3</f>
        <v>120733.5</v>
      </c>
      <c r="J760" s="6">
        <f t="shared" si="23"/>
        <v>0.3</v>
      </c>
      <c r="K760" t="str">
        <f>VLOOKUP(Table2[[#This Row],[ProductID]],Products!$A$1:C764,2)</f>
        <v>Monitor</v>
      </c>
      <c r="L760" t="str">
        <f>VLOOKUP(D760,Products!$A$1:C764,3)</f>
        <v>Accessories</v>
      </c>
      <c r="M760" t="str">
        <f>VLOOKUP(Table2[[#This Row],[AgentID]],Sales_Agents!$A$1:C763,2)</f>
        <v>Akin</v>
      </c>
      <c r="N760" t="str">
        <f>VLOOKUP(Table2[[#This Row],[AgentID]],Sales_Agents!$A$1:C763,3)</f>
        <v>West</v>
      </c>
    </row>
    <row r="761" spans="1:14" x14ac:dyDescent="0.25">
      <c r="A761">
        <v>760</v>
      </c>
      <c r="B761" s="1">
        <v>45579</v>
      </c>
      <c r="C761" s="8" t="str">
        <f>TEXT(Table2[[#This Row],[OrderDate]],"mmm")</f>
        <v>Oct</v>
      </c>
      <c r="D761">
        <v>5</v>
      </c>
      <c r="E761">
        <v>3</v>
      </c>
      <c r="F761">
        <v>19</v>
      </c>
      <c r="G761" s="3">
        <v>71882</v>
      </c>
      <c r="H761" s="3">
        <f t="shared" si="22"/>
        <v>1365758</v>
      </c>
      <c r="I761" s="5">
        <f>Table2[[#This Row],[Total Revenue]]*0.3</f>
        <v>409727.39999999997</v>
      </c>
      <c r="J761" s="6">
        <f t="shared" si="23"/>
        <v>0.3</v>
      </c>
      <c r="K761" t="str">
        <f>VLOOKUP(Table2[[#This Row],[ProductID]],Products!$A$1:C765,2)</f>
        <v>Monitor</v>
      </c>
      <c r="L761" t="str">
        <f>VLOOKUP(D761,Products!$A$1:C765,3)</f>
        <v>Accessories</v>
      </c>
      <c r="M761" t="str">
        <f>VLOOKUP(Table2[[#This Row],[AgentID]],Sales_Agents!$A$1:C764,2)</f>
        <v>Chinedu</v>
      </c>
      <c r="N761" t="str">
        <f>VLOOKUP(Table2[[#This Row],[AgentID]],Sales_Agents!$A$1:C764,3)</f>
        <v>South</v>
      </c>
    </row>
    <row r="762" spans="1:14" x14ac:dyDescent="0.25">
      <c r="A762">
        <v>761</v>
      </c>
      <c r="B762" s="1">
        <v>45506</v>
      </c>
      <c r="C762" s="8" t="str">
        <f>TEXT(Table2[[#This Row],[OrderDate]],"mmm")</f>
        <v>Aug</v>
      </c>
      <c r="D762">
        <v>2</v>
      </c>
      <c r="E762">
        <v>2</v>
      </c>
      <c r="F762">
        <v>11</v>
      </c>
      <c r="G762" s="3">
        <v>174407</v>
      </c>
      <c r="H762" s="3">
        <f t="shared" si="22"/>
        <v>1918477</v>
      </c>
      <c r="I762" s="5">
        <f>Table2[[#This Row],[Total Revenue]]*0.3</f>
        <v>575543.1</v>
      </c>
      <c r="J762" s="6">
        <f t="shared" si="23"/>
        <v>0.3</v>
      </c>
      <c r="K762" t="str">
        <f>VLOOKUP(Table2[[#This Row],[ProductID]],Products!$A$1:C766,2)</f>
        <v>Phone</v>
      </c>
      <c r="L762" t="str">
        <f>VLOOKUP(D762,Products!$A$1:C766,3)</f>
        <v>Electronics</v>
      </c>
      <c r="M762" t="str">
        <f>VLOOKUP(Table2[[#This Row],[AgentID]],Sales_Agents!$A$1:C765,2)</f>
        <v>Blessing</v>
      </c>
      <c r="N762" t="str">
        <f>VLOOKUP(Table2[[#This Row],[AgentID]],Sales_Agents!$A$1:C765,3)</f>
        <v>East</v>
      </c>
    </row>
    <row r="763" spans="1:14" x14ac:dyDescent="0.25">
      <c r="A763">
        <v>762</v>
      </c>
      <c r="B763" s="1">
        <v>45307</v>
      </c>
      <c r="C763" s="8" t="str">
        <f>TEXT(Table2[[#This Row],[OrderDate]],"mmm")</f>
        <v>Jan</v>
      </c>
      <c r="D763">
        <v>2</v>
      </c>
      <c r="E763">
        <v>2</v>
      </c>
      <c r="F763">
        <v>7</v>
      </c>
      <c r="G763" s="3">
        <v>150578</v>
      </c>
      <c r="H763" s="3">
        <f t="shared" si="22"/>
        <v>1054046</v>
      </c>
      <c r="I763" s="5">
        <f>Table2[[#This Row],[Total Revenue]]*0.3</f>
        <v>316213.8</v>
      </c>
      <c r="J763" s="6">
        <f t="shared" si="23"/>
        <v>0.3</v>
      </c>
      <c r="K763" t="str">
        <f>VLOOKUP(Table2[[#This Row],[ProductID]],Products!$A$1:C767,2)</f>
        <v>Phone</v>
      </c>
      <c r="L763" t="str">
        <f>VLOOKUP(D763,Products!$A$1:C767,3)</f>
        <v>Electronics</v>
      </c>
      <c r="M763" t="str">
        <f>VLOOKUP(Table2[[#This Row],[AgentID]],Sales_Agents!$A$1:C766,2)</f>
        <v>Blessing</v>
      </c>
      <c r="N763" t="str">
        <f>VLOOKUP(Table2[[#This Row],[AgentID]],Sales_Agents!$A$1:C766,3)</f>
        <v>East</v>
      </c>
    </row>
    <row r="764" spans="1:14" x14ac:dyDescent="0.25">
      <c r="A764">
        <v>763</v>
      </c>
      <c r="B764" s="1">
        <v>45488</v>
      </c>
      <c r="C764" s="8" t="str">
        <f>TEXT(Table2[[#This Row],[OrderDate]],"mmm")</f>
        <v>Jul</v>
      </c>
      <c r="D764">
        <v>2</v>
      </c>
      <c r="E764">
        <v>2</v>
      </c>
      <c r="F764">
        <v>7</v>
      </c>
      <c r="G764" s="3">
        <v>386841</v>
      </c>
      <c r="H764" s="3">
        <f t="shared" si="22"/>
        <v>2707887</v>
      </c>
      <c r="I764" s="5">
        <f>Table2[[#This Row],[Total Revenue]]*0.3</f>
        <v>812366.1</v>
      </c>
      <c r="J764" s="6">
        <f t="shared" si="23"/>
        <v>0.3</v>
      </c>
      <c r="K764" t="str">
        <f>VLOOKUP(Table2[[#This Row],[ProductID]],Products!$A$1:C768,2)</f>
        <v>Phone</v>
      </c>
      <c r="L764" t="str">
        <f>VLOOKUP(D764,Products!$A$1:C768,3)</f>
        <v>Electronics</v>
      </c>
      <c r="M764" t="str">
        <f>VLOOKUP(Table2[[#This Row],[AgentID]],Sales_Agents!$A$1:C767,2)</f>
        <v>Blessing</v>
      </c>
      <c r="N764" t="str">
        <f>VLOOKUP(Table2[[#This Row],[AgentID]],Sales_Agents!$A$1:C767,3)</f>
        <v>East</v>
      </c>
    </row>
    <row r="765" spans="1:14" x14ac:dyDescent="0.25">
      <c r="A765">
        <v>764</v>
      </c>
      <c r="B765" s="1">
        <v>45343</v>
      </c>
      <c r="C765" s="8" t="str">
        <f>TEXT(Table2[[#This Row],[OrderDate]],"mmm")</f>
        <v>Feb</v>
      </c>
      <c r="D765">
        <v>5</v>
      </c>
      <c r="E765">
        <v>2</v>
      </c>
      <c r="F765">
        <v>17</v>
      </c>
      <c r="G765" s="3">
        <v>248130</v>
      </c>
      <c r="H765" s="3">
        <f t="shared" si="22"/>
        <v>4218210</v>
      </c>
      <c r="I765" s="5">
        <f>Table2[[#This Row],[Total Revenue]]*0.3</f>
        <v>1265463</v>
      </c>
      <c r="J765" s="6">
        <f t="shared" si="23"/>
        <v>0.3</v>
      </c>
      <c r="K765" t="str">
        <f>VLOOKUP(Table2[[#This Row],[ProductID]],Products!$A$1:C769,2)</f>
        <v>Monitor</v>
      </c>
      <c r="L765" t="str">
        <f>VLOOKUP(D765,Products!$A$1:C769,3)</f>
        <v>Accessories</v>
      </c>
      <c r="M765" t="str">
        <f>VLOOKUP(Table2[[#This Row],[AgentID]],Sales_Agents!$A$1:C768,2)</f>
        <v>Blessing</v>
      </c>
      <c r="N765" t="str">
        <f>VLOOKUP(Table2[[#This Row],[AgentID]],Sales_Agents!$A$1:C768,3)</f>
        <v>East</v>
      </c>
    </row>
    <row r="766" spans="1:14" x14ac:dyDescent="0.25">
      <c r="A766">
        <v>765</v>
      </c>
      <c r="B766" s="1">
        <v>45522</v>
      </c>
      <c r="C766" s="8" t="str">
        <f>TEXT(Table2[[#This Row],[OrderDate]],"mmm")</f>
        <v>Aug</v>
      </c>
      <c r="D766">
        <v>5</v>
      </c>
      <c r="E766">
        <v>2</v>
      </c>
      <c r="F766">
        <v>9</v>
      </c>
      <c r="G766" s="3">
        <v>181391</v>
      </c>
      <c r="H766" s="3">
        <f t="shared" si="22"/>
        <v>1632519</v>
      </c>
      <c r="I766" s="5">
        <f>Table2[[#This Row],[Total Revenue]]*0.3</f>
        <v>489755.69999999995</v>
      </c>
      <c r="J766" s="6">
        <f t="shared" si="23"/>
        <v>0.3</v>
      </c>
      <c r="K766" t="str">
        <f>VLOOKUP(Table2[[#This Row],[ProductID]],Products!$A$1:C770,2)</f>
        <v>Monitor</v>
      </c>
      <c r="L766" t="str">
        <f>VLOOKUP(D766,Products!$A$1:C770,3)</f>
        <v>Accessories</v>
      </c>
      <c r="M766" t="str">
        <f>VLOOKUP(Table2[[#This Row],[AgentID]],Sales_Agents!$A$1:C769,2)</f>
        <v>Blessing</v>
      </c>
      <c r="N766" t="str">
        <f>VLOOKUP(Table2[[#This Row],[AgentID]],Sales_Agents!$A$1:C769,3)</f>
        <v>East</v>
      </c>
    </row>
    <row r="767" spans="1:14" x14ac:dyDescent="0.25">
      <c r="A767">
        <v>766</v>
      </c>
      <c r="B767" s="1">
        <v>45446</v>
      </c>
      <c r="C767" s="8" t="str">
        <f>TEXT(Table2[[#This Row],[OrderDate]],"mmm")</f>
        <v>Jun</v>
      </c>
      <c r="D767">
        <v>1</v>
      </c>
      <c r="E767">
        <v>4</v>
      </c>
      <c r="F767">
        <v>12</v>
      </c>
      <c r="G767" s="3">
        <v>292313</v>
      </c>
      <c r="H767" s="3">
        <f t="shared" si="22"/>
        <v>3507756</v>
      </c>
      <c r="I767" s="5">
        <f>Table2[[#This Row],[Total Revenue]]*0.3</f>
        <v>1052326.8</v>
      </c>
      <c r="J767" s="6">
        <f t="shared" si="23"/>
        <v>0.3</v>
      </c>
      <c r="K767" t="str">
        <f>VLOOKUP(Table2[[#This Row],[ProductID]],Products!$A$1:C771,2)</f>
        <v>Laptop</v>
      </c>
      <c r="L767" t="str">
        <f>VLOOKUP(D767,Products!$A$1:C771,3)</f>
        <v>Electronics</v>
      </c>
      <c r="M767" t="str">
        <f>VLOOKUP(Table2[[#This Row],[AgentID]],Sales_Agents!$A$1:C770,2)</f>
        <v>Zainab</v>
      </c>
      <c r="N767" t="str">
        <f>VLOOKUP(Table2[[#This Row],[AgentID]],Sales_Agents!$A$1:C770,3)</f>
        <v>North</v>
      </c>
    </row>
    <row r="768" spans="1:14" x14ac:dyDescent="0.25">
      <c r="A768">
        <v>767</v>
      </c>
      <c r="B768" s="1">
        <v>45352</v>
      </c>
      <c r="C768" s="8" t="str">
        <f>TEXT(Table2[[#This Row],[OrderDate]],"mmm")</f>
        <v>Mar</v>
      </c>
      <c r="D768">
        <v>3</v>
      </c>
      <c r="E768">
        <v>4</v>
      </c>
      <c r="F768">
        <v>15</v>
      </c>
      <c r="G768" s="3">
        <v>380427</v>
      </c>
      <c r="H768" s="3">
        <f t="shared" si="22"/>
        <v>5706405</v>
      </c>
      <c r="I768" s="5">
        <f>Table2[[#This Row],[Total Revenue]]*0.3</f>
        <v>1711921.5</v>
      </c>
      <c r="J768" s="6">
        <f t="shared" si="23"/>
        <v>0.3</v>
      </c>
      <c r="K768" t="str">
        <f>VLOOKUP(Table2[[#This Row],[ProductID]],Products!$A$1:C772,2)</f>
        <v>Tablet</v>
      </c>
      <c r="L768" t="str">
        <f>VLOOKUP(D768,Products!$A$1:C772,3)</f>
        <v>Electronics</v>
      </c>
      <c r="M768" t="str">
        <f>VLOOKUP(Table2[[#This Row],[AgentID]],Sales_Agents!$A$1:C771,2)</f>
        <v>Zainab</v>
      </c>
      <c r="N768" t="str">
        <f>VLOOKUP(Table2[[#This Row],[AgentID]],Sales_Agents!$A$1:C771,3)</f>
        <v>North</v>
      </c>
    </row>
    <row r="769" spans="1:14" x14ac:dyDescent="0.25">
      <c r="A769">
        <v>768</v>
      </c>
      <c r="B769" s="1">
        <v>45379</v>
      </c>
      <c r="C769" s="8" t="str">
        <f>TEXT(Table2[[#This Row],[OrderDate]],"mmm")</f>
        <v>Mar</v>
      </c>
      <c r="D769">
        <v>3</v>
      </c>
      <c r="E769">
        <v>2</v>
      </c>
      <c r="F769">
        <v>1</v>
      </c>
      <c r="G769" s="3">
        <v>172481</v>
      </c>
      <c r="H769" s="3">
        <f t="shared" si="22"/>
        <v>172481</v>
      </c>
      <c r="I769" s="5">
        <f>Table2[[#This Row],[Total Revenue]]*0.3</f>
        <v>51744.299999999996</v>
      </c>
      <c r="J769" s="6">
        <f t="shared" si="23"/>
        <v>0.3</v>
      </c>
      <c r="K769" t="str">
        <f>VLOOKUP(Table2[[#This Row],[ProductID]],Products!$A$1:C773,2)</f>
        <v>Tablet</v>
      </c>
      <c r="L769" t="str">
        <f>VLOOKUP(D769,Products!$A$1:C773,3)</f>
        <v>Electronics</v>
      </c>
      <c r="M769" t="str">
        <f>VLOOKUP(Table2[[#This Row],[AgentID]],Sales_Agents!$A$1:C772,2)</f>
        <v>Blessing</v>
      </c>
      <c r="N769" t="str">
        <f>VLOOKUP(Table2[[#This Row],[AgentID]],Sales_Agents!$A$1:C772,3)</f>
        <v>East</v>
      </c>
    </row>
    <row r="770" spans="1:14" x14ac:dyDescent="0.25">
      <c r="A770">
        <v>769</v>
      </c>
      <c r="B770" s="1">
        <v>45556</v>
      </c>
      <c r="C770" s="8" t="str">
        <f>TEXT(Table2[[#This Row],[OrderDate]],"mmm")</f>
        <v>Sept</v>
      </c>
      <c r="D770">
        <v>1</v>
      </c>
      <c r="E770">
        <v>4</v>
      </c>
      <c r="F770">
        <v>4</v>
      </c>
      <c r="G770" s="3">
        <v>54659</v>
      </c>
      <c r="H770" s="3">
        <f t="shared" ref="H770:H833" si="24">G770*F770</f>
        <v>218636</v>
      </c>
      <c r="I770" s="5">
        <f>Table2[[#This Row],[Total Revenue]]*0.3</f>
        <v>65590.8</v>
      </c>
      <c r="J770" s="6">
        <f t="shared" ref="J770:J833" si="25">I770/H770</f>
        <v>0.3</v>
      </c>
      <c r="K770" t="str">
        <f>VLOOKUP(Table2[[#This Row],[ProductID]],Products!$A$1:C774,2)</f>
        <v>Laptop</v>
      </c>
      <c r="L770" t="str">
        <f>VLOOKUP(D770,Products!$A$1:C774,3)</f>
        <v>Electronics</v>
      </c>
      <c r="M770" t="str">
        <f>VLOOKUP(Table2[[#This Row],[AgentID]],Sales_Agents!$A$1:C773,2)</f>
        <v>Zainab</v>
      </c>
      <c r="N770" t="str">
        <f>VLOOKUP(Table2[[#This Row],[AgentID]],Sales_Agents!$A$1:C773,3)</f>
        <v>North</v>
      </c>
    </row>
    <row r="771" spans="1:14" x14ac:dyDescent="0.25">
      <c r="A771">
        <v>770</v>
      </c>
      <c r="B771" s="1">
        <v>45559</v>
      </c>
      <c r="C771" s="8" t="str">
        <f>TEXT(Table2[[#This Row],[OrderDate]],"mmm")</f>
        <v>Sept</v>
      </c>
      <c r="D771">
        <v>2</v>
      </c>
      <c r="E771">
        <v>1</v>
      </c>
      <c r="F771">
        <v>14</v>
      </c>
      <c r="G771" s="3">
        <v>100900</v>
      </c>
      <c r="H771" s="3">
        <f t="shared" si="24"/>
        <v>1412600</v>
      </c>
      <c r="I771" s="5">
        <f>Table2[[#This Row],[Total Revenue]]*0.3</f>
        <v>423780</v>
      </c>
      <c r="J771" s="6">
        <f t="shared" si="25"/>
        <v>0.3</v>
      </c>
      <c r="K771" t="str">
        <f>VLOOKUP(Table2[[#This Row],[ProductID]],Products!$A$1:C775,2)</f>
        <v>Phone</v>
      </c>
      <c r="L771" t="str">
        <f>VLOOKUP(D771,Products!$A$1:C775,3)</f>
        <v>Electronics</v>
      </c>
      <c r="M771" t="str">
        <f>VLOOKUP(Table2[[#This Row],[AgentID]],Sales_Agents!$A$1:C774,2)</f>
        <v>Akin</v>
      </c>
      <c r="N771" t="str">
        <f>VLOOKUP(Table2[[#This Row],[AgentID]],Sales_Agents!$A$1:C774,3)</f>
        <v>West</v>
      </c>
    </row>
    <row r="772" spans="1:14" x14ac:dyDescent="0.25">
      <c r="A772">
        <v>771</v>
      </c>
      <c r="B772" s="1">
        <v>45609</v>
      </c>
      <c r="C772" s="8" t="str">
        <f>TEXT(Table2[[#This Row],[OrderDate]],"mmm")</f>
        <v>Nov</v>
      </c>
      <c r="D772">
        <v>1</v>
      </c>
      <c r="E772">
        <v>3</v>
      </c>
      <c r="F772">
        <v>4</v>
      </c>
      <c r="G772" s="3">
        <v>124213</v>
      </c>
      <c r="H772" s="3">
        <f t="shared" si="24"/>
        <v>496852</v>
      </c>
      <c r="I772" s="5">
        <f>Table2[[#This Row],[Total Revenue]]*0.3</f>
        <v>149055.6</v>
      </c>
      <c r="J772" s="6">
        <f t="shared" si="25"/>
        <v>0.3</v>
      </c>
      <c r="K772" t="str">
        <f>VLOOKUP(Table2[[#This Row],[ProductID]],Products!$A$1:C776,2)</f>
        <v>Laptop</v>
      </c>
      <c r="L772" t="str">
        <f>VLOOKUP(D772,Products!$A$1:C776,3)</f>
        <v>Electronics</v>
      </c>
      <c r="M772" t="str">
        <f>VLOOKUP(Table2[[#This Row],[AgentID]],Sales_Agents!$A$1:C775,2)</f>
        <v>Chinedu</v>
      </c>
      <c r="N772" t="str">
        <f>VLOOKUP(Table2[[#This Row],[AgentID]],Sales_Agents!$A$1:C775,3)</f>
        <v>South</v>
      </c>
    </row>
    <row r="773" spans="1:14" x14ac:dyDescent="0.25">
      <c r="A773">
        <v>772</v>
      </c>
      <c r="B773" s="1">
        <v>45486</v>
      </c>
      <c r="C773" s="8" t="str">
        <f>TEXT(Table2[[#This Row],[OrderDate]],"mmm")</f>
        <v>Jul</v>
      </c>
      <c r="D773">
        <v>1</v>
      </c>
      <c r="E773">
        <v>1</v>
      </c>
      <c r="F773">
        <v>17</v>
      </c>
      <c r="G773" s="3">
        <v>309836</v>
      </c>
      <c r="H773" s="3">
        <f t="shared" si="24"/>
        <v>5267212</v>
      </c>
      <c r="I773" s="5">
        <f>Table2[[#This Row],[Total Revenue]]*0.3</f>
        <v>1580163.5999999999</v>
      </c>
      <c r="J773" s="6">
        <f t="shared" si="25"/>
        <v>0.3</v>
      </c>
      <c r="K773" t="str">
        <f>VLOOKUP(Table2[[#This Row],[ProductID]],Products!$A$1:C777,2)</f>
        <v>Laptop</v>
      </c>
      <c r="L773" t="str">
        <f>VLOOKUP(D773,Products!$A$1:C777,3)</f>
        <v>Electronics</v>
      </c>
      <c r="M773" t="str">
        <f>VLOOKUP(Table2[[#This Row],[AgentID]],Sales_Agents!$A$1:C776,2)</f>
        <v>Akin</v>
      </c>
      <c r="N773" t="str">
        <f>VLOOKUP(Table2[[#This Row],[AgentID]],Sales_Agents!$A$1:C776,3)</f>
        <v>West</v>
      </c>
    </row>
    <row r="774" spans="1:14" x14ac:dyDescent="0.25">
      <c r="A774">
        <v>773</v>
      </c>
      <c r="B774" s="1">
        <v>45619</v>
      </c>
      <c r="C774" s="8" t="str">
        <f>TEXT(Table2[[#This Row],[OrderDate]],"mmm")</f>
        <v>Nov</v>
      </c>
      <c r="D774">
        <v>3</v>
      </c>
      <c r="E774">
        <v>4</v>
      </c>
      <c r="F774">
        <v>5</v>
      </c>
      <c r="G774" s="3">
        <v>292889</v>
      </c>
      <c r="H774" s="3">
        <f t="shared" si="24"/>
        <v>1464445</v>
      </c>
      <c r="I774" s="5">
        <f>Table2[[#This Row],[Total Revenue]]*0.3</f>
        <v>439333.5</v>
      </c>
      <c r="J774" s="6">
        <f t="shared" si="25"/>
        <v>0.3</v>
      </c>
      <c r="K774" t="str">
        <f>VLOOKUP(Table2[[#This Row],[ProductID]],Products!$A$1:C778,2)</f>
        <v>Tablet</v>
      </c>
      <c r="L774" t="str">
        <f>VLOOKUP(D774,Products!$A$1:C778,3)</f>
        <v>Electronics</v>
      </c>
      <c r="M774" t="str">
        <f>VLOOKUP(Table2[[#This Row],[AgentID]],Sales_Agents!$A$1:C777,2)</f>
        <v>Zainab</v>
      </c>
      <c r="N774" t="str">
        <f>VLOOKUP(Table2[[#This Row],[AgentID]],Sales_Agents!$A$1:C777,3)</f>
        <v>North</v>
      </c>
    </row>
    <row r="775" spans="1:14" x14ac:dyDescent="0.25">
      <c r="A775">
        <v>774</v>
      </c>
      <c r="B775" s="1">
        <v>45508</v>
      </c>
      <c r="C775" s="8" t="str">
        <f>TEXT(Table2[[#This Row],[OrderDate]],"mmm")</f>
        <v>Aug</v>
      </c>
      <c r="D775">
        <v>4</v>
      </c>
      <c r="E775">
        <v>4</v>
      </c>
      <c r="F775">
        <v>10</v>
      </c>
      <c r="G775" s="3">
        <v>230312</v>
      </c>
      <c r="H775" s="3">
        <f t="shared" si="24"/>
        <v>2303120</v>
      </c>
      <c r="I775" s="5">
        <f>Table2[[#This Row],[Total Revenue]]*0.3</f>
        <v>690936</v>
      </c>
      <c r="J775" s="6">
        <f t="shared" si="25"/>
        <v>0.3</v>
      </c>
      <c r="K775" t="str">
        <f>VLOOKUP(Table2[[#This Row],[ProductID]],Products!$A$1:C779,2)</f>
        <v>Printer</v>
      </c>
      <c r="L775" t="str">
        <f>VLOOKUP(D775,Products!$A$1:C779,3)</f>
        <v>Accessories</v>
      </c>
      <c r="M775" t="str">
        <f>VLOOKUP(Table2[[#This Row],[AgentID]],Sales_Agents!$A$1:C778,2)</f>
        <v>Zainab</v>
      </c>
      <c r="N775" t="str">
        <f>VLOOKUP(Table2[[#This Row],[AgentID]],Sales_Agents!$A$1:C778,3)</f>
        <v>North</v>
      </c>
    </row>
    <row r="776" spans="1:14" x14ac:dyDescent="0.25">
      <c r="A776">
        <v>775</v>
      </c>
      <c r="B776" s="1">
        <v>45541</v>
      </c>
      <c r="C776" s="8" t="str">
        <f>TEXT(Table2[[#This Row],[OrderDate]],"mmm")</f>
        <v>Sept</v>
      </c>
      <c r="D776">
        <v>1</v>
      </c>
      <c r="E776">
        <v>1</v>
      </c>
      <c r="F776">
        <v>4</v>
      </c>
      <c r="G776" s="3">
        <v>295948</v>
      </c>
      <c r="H776" s="3">
        <f t="shared" si="24"/>
        <v>1183792</v>
      </c>
      <c r="I776" s="5">
        <f>Table2[[#This Row],[Total Revenue]]*0.3</f>
        <v>355137.6</v>
      </c>
      <c r="J776" s="6">
        <f t="shared" si="25"/>
        <v>0.3</v>
      </c>
      <c r="K776" t="str">
        <f>VLOOKUP(Table2[[#This Row],[ProductID]],Products!$A$1:C780,2)</f>
        <v>Laptop</v>
      </c>
      <c r="L776" t="str">
        <f>VLOOKUP(D776,Products!$A$1:C780,3)</f>
        <v>Electronics</v>
      </c>
      <c r="M776" t="str">
        <f>VLOOKUP(Table2[[#This Row],[AgentID]],Sales_Agents!$A$1:C779,2)</f>
        <v>Akin</v>
      </c>
      <c r="N776" t="str">
        <f>VLOOKUP(Table2[[#This Row],[AgentID]],Sales_Agents!$A$1:C779,3)</f>
        <v>West</v>
      </c>
    </row>
    <row r="777" spans="1:14" x14ac:dyDescent="0.25">
      <c r="A777">
        <v>776</v>
      </c>
      <c r="B777" s="1">
        <v>45369</v>
      </c>
      <c r="C777" s="8" t="str">
        <f>TEXT(Table2[[#This Row],[OrderDate]],"mmm")</f>
        <v>Mar</v>
      </c>
      <c r="D777">
        <v>1</v>
      </c>
      <c r="E777">
        <v>3</v>
      </c>
      <c r="F777">
        <v>16</v>
      </c>
      <c r="G777" s="3">
        <v>64482</v>
      </c>
      <c r="H777" s="3">
        <f t="shared" si="24"/>
        <v>1031712</v>
      </c>
      <c r="I777" s="5">
        <f>Table2[[#This Row],[Total Revenue]]*0.3</f>
        <v>309513.59999999998</v>
      </c>
      <c r="J777" s="6">
        <f t="shared" si="25"/>
        <v>0.3</v>
      </c>
      <c r="K777" t="str">
        <f>VLOOKUP(Table2[[#This Row],[ProductID]],Products!$A$1:C781,2)</f>
        <v>Laptop</v>
      </c>
      <c r="L777" t="str">
        <f>VLOOKUP(D777,Products!$A$1:C781,3)</f>
        <v>Electronics</v>
      </c>
      <c r="M777" t="str">
        <f>VLOOKUP(Table2[[#This Row],[AgentID]],Sales_Agents!$A$1:C780,2)</f>
        <v>Chinedu</v>
      </c>
      <c r="N777" t="str">
        <f>VLOOKUP(Table2[[#This Row],[AgentID]],Sales_Agents!$A$1:C780,3)</f>
        <v>South</v>
      </c>
    </row>
    <row r="778" spans="1:14" x14ac:dyDescent="0.25">
      <c r="A778">
        <v>777</v>
      </c>
      <c r="B778" s="1">
        <v>45408</v>
      </c>
      <c r="C778" s="8" t="str">
        <f>TEXT(Table2[[#This Row],[OrderDate]],"mmm")</f>
        <v>Apr</v>
      </c>
      <c r="D778">
        <v>5</v>
      </c>
      <c r="E778">
        <v>1</v>
      </c>
      <c r="F778">
        <v>4</v>
      </c>
      <c r="G778" s="3">
        <v>252207</v>
      </c>
      <c r="H778" s="3">
        <f t="shared" si="24"/>
        <v>1008828</v>
      </c>
      <c r="I778" s="5">
        <f>Table2[[#This Row],[Total Revenue]]*0.3</f>
        <v>302648.39999999997</v>
      </c>
      <c r="J778" s="6">
        <f t="shared" si="25"/>
        <v>0.3</v>
      </c>
      <c r="K778" t="str">
        <f>VLOOKUP(Table2[[#This Row],[ProductID]],Products!$A$1:C782,2)</f>
        <v>Monitor</v>
      </c>
      <c r="L778" t="str">
        <f>VLOOKUP(D778,Products!$A$1:C782,3)</f>
        <v>Accessories</v>
      </c>
      <c r="M778" t="str">
        <f>VLOOKUP(Table2[[#This Row],[AgentID]],Sales_Agents!$A$1:C781,2)</f>
        <v>Akin</v>
      </c>
      <c r="N778" t="str">
        <f>VLOOKUP(Table2[[#This Row],[AgentID]],Sales_Agents!$A$1:C781,3)</f>
        <v>West</v>
      </c>
    </row>
    <row r="779" spans="1:14" x14ac:dyDescent="0.25">
      <c r="A779">
        <v>778</v>
      </c>
      <c r="B779" s="1">
        <v>45391</v>
      </c>
      <c r="C779" s="8" t="str">
        <f>TEXT(Table2[[#This Row],[OrderDate]],"mmm")</f>
        <v>Apr</v>
      </c>
      <c r="D779">
        <v>1</v>
      </c>
      <c r="E779">
        <v>1</v>
      </c>
      <c r="F779">
        <v>13</v>
      </c>
      <c r="G779" s="3">
        <v>214242</v>
      </c>
      <c r="H779" s="3">
        <f t="shared" si="24"/>
        <v>2785146</v>
      </c>
      <c r="I779" s="5">
        <f>Table2[[#This Row],[Total Revenue]]*0.3</f>
        <v>835543.79999999993</v>
      </c>
      <c r="J779" s="6">
        <f t="shared" si="25"/>
        <v>0.3</v>
      </c>
      <c r="K779" t="str">
        <f>VLOOKUP(Table2[[#This Row],[ProductID]],Products!$A$1:C783,2)</f>
        <v>Laptop</v>
      </c>
      <c r="L779" t="str">
        <f>VLOOKUP(D779,Products!$A$1:C783,3)</f>
        <v>Electronics</v>
      </c>
      <c r="M779" t="str">
        <f>VLOOKUP(Table2[[#This Row],[AgentID]],Sales_Agents!$A$1:C782,2)</f>
        <v>Akin</v>
      </c>
      <c r="N779" t="str">
        <f>VLOOKUP(Table2[[#This Row],[AgentID]],Sales_Agents!$A$1:C782,3)</f>
        <v>West</v>
      </c>
    </row>
    <row r="780" spans="1:14" x14ac:dyDescent="0.25">
      <c r="A780">
        <v>779</v>
      </c>
      <c r="B780" s="1">
        <v>45623</v>
      </c>
      <c r="C780" s="8" t="str">
        <f>TEXT(Table2[[#This Row],[OrderDate]],"mmm")</f>
        <v>Nov</v>
      </c>
      <c r="D780">
        <v>4</v>
      </c>
      <c r="E780">
        <v>1</v>
      </c>
      <c r="F780">
        <v>12</v>
      </c>
      <c r="G780" s="3">
        <v>303922</v>
      </c>
      <c r="H780" s="3">
        <f t="shared" si="24"/>
        <v>3647064</v>
      </c>
      <c r="I780" s="5">
        <f>Table2[[#This Row],[Total Revenue]]*0.3</f>
        <v>1094119.2</v>
      </c>
      <c r="J780" s="6">
        <f t="shared" si="25"/>
        <v>0.3</v>
      </c>
      <c r="K780" t="str">
        <f>VLOOKUP(Table2[[#This Row],[ProductID]],Products!$A$1:C784,2)</f>
        <v>Printer</v>
      </c>
      <c r="L780" t="str">
        <f>VLOOKUP(D780,Products!$A$1:C784,3)</f>
        <v>Accessories</v>
      </c>
      <c r="M780" t="str">
        <f>VLOOKUP(Table2[[#This Row],[AgentID]],Sales_Agents!$A$1:C783,2)</f>
        <v>Akin</v>
      </c>
      <c r="N780" t="str">
        <f>VLOOKUP(Table2[[#This Row],[AgentID]],Sales_Agents!$A$1:C783,3)</f>
        <v>West</v>
      </c>
    </row>
    <row r="781" spans="1:14" x14ac:dyDescent="0.25">
      <c r="A781">
        <v>780</v>
      </c>
      <c r="B781" s="1">
        <v>45561</v>
      </c>
      <c r="C781" s="8" t="str">
        <f>TEXT(Table2[[#This Row],[OrderDate]],"mmm")</f>
        <v>Sept</v>
      </c>
      <c r="D781">
        <v>1</v>
      </c>
      <c r="E781">
        <v>4</v>
      </c>
      <c r="F781">
        <v>10</v>
      </c>
      <c r="G781" s="3">
        <v>191668</v>
      </c>
      <c r="H781" s="3">
        <f t="shared" si="24"/>
        <v>1916680</v>
      </c>
      <c r="I781" s="5">
        <f>Table2[[#This Row],[Total Revenue]]*0.3</f>
        <v>575004</v>
      </c>
      <c r="J781" s="6">
        <f t="shared" si="25"/>
        <v>0.3</v>
      </c>
      <c r="K781" t="str">
        <f>VLOOKUP(Table2[[#This Row],[ProductID]],Products!$A$1:C785,2)</f>
        <v>Laptop</v>
      </c>
      <c r="L781" t="str">
        <f>VLOOKUP(D781,Products!$A$1:C785,3)</f>
        <v>Electronics</v>
      </c>
      <c r="M781" t="str">
        <f>VLOOKUP(Table2[[#This Row],[AgentID]],Sales_Agents!$A$1:C784,2)</f>
        <v>Zainab</v>
      </c>
      <c r="N781" t="str">
        <f>VLOOKUP(Table2[[#This Row],[AgentID]],Sales_Agents!$A$1:C784,3)</f>
        <v>North</v>
      </c>
    </row>
    <row r="782" spans="1:14" x14ac:dyDescent="0.25">
      <c r="A782">
        <v>781</v>
      </c>
      <c r="B782" s="1">
        <v>45375</v>
      </c>
      <c r="C782" s="8" t="str">
        <f>TEXT(Table2[[#This Row],[OrderDate]],"mmm")</f>
        <v>Mar</v>
      </c>
      <c r="D782">
        <v>4</v>
      </c>
      <c r="E782">
        <v>2</v>
      </c>
      <c r="F782">
        <v>4</v>
      </c>
      <c r="G782" s="3">
        <v>293700</v>
      </c>
      <c r="H782" s="3">
        <f t="shared" si="24"/>
        <v>1174800</v>
      </c>
      <c r="I782" s="5">
        <f>Table2[[#This Row],[Total Revenue]]*0.3</f>
        <v>352440</v>
      </c>
      <c r="J782" s="6">
        <f t="shared" si="25"/>
        <v>0.3</v>
      </c>
      <c r="K782" t="str">
        <f>VLOOKUP(Table2[[#This Row],[ProductID]],Products!$A$1:C786,2)</f>
        <v>Printer</v>
      </c>
      <c r="L782" t="str">
        <f>VLOOKUP(D782,Products!$A$1:C786,3)</f>
        <v>Accessories</v>
      </c>
      <c r="M782" t="str">
        <f>VLOOKUP(Table2[[#This Row],[AgentID]],Sales_Agents!$A$1:C785,2)</f>
        <v>Blessing</v>
      </c>
      <c r="N782" t="str">
        <f>VLOOKUP(Table2[[#This Row],[AgentID]],Sales_Agents!$A$1:C785,3)</f>
        <v>East</v>
      </c>
    </row>
    <row r="783" spans="1:14" x14ac:dyDescent="0.25">
      <c r="A783">
        <v>782</v>
      </c>
      <c r="B783" s="1">
        <v>45501</v>
      </c>
      <c r="C783" s="8" t="str">
        <f>TEXT(Table2[[#This Row],[OrderDate]],"mmm")</f>
        <v>Jul</v>
      </c>
      <c r="D783">
        <v>4</v>
      </c>
      <c r="E783">
        <v>1</v>
      </c>
      <c r="F783">
        <v>20</v>
      </c>
      <c r="G783" s="3">
        <v>95098</v>
      </c>
      <c r="H783" s="3">
        <f t="shared" si="24"/>
        <v>1901960</v>
      </c>
      <c r="I783" s="5">
        <f>Table2[[#This Row],[Total Revenue]]*0.3</f>
        <v>570588</v>
      </c>
      <c r="J783" s="6">
        <f t="shared" si="25"/>
        <v>0.3</v>
      </c>
      <c r="K783" t="str">
        <f>VLOOKUP(Table2[[#This Row],[ProductID]],Products!$A$1:C787,2)</f>
        <v>Printer</v>
      </c>
      <c r="L783" t="str">
        <f>VLOOKUP(D783,Products!$A$1:C787,3)</f>
        <v>Accessories</v>
      </c>
      <c r="M783" t="str">
        <f>VLOOKUP(Table2[[#This Row],[AgentID]],Sales_Agents!$A$1:C786,2)</f>
        <v>Akin</v>
      </c>
      <c r="N783" t="str">
        <f>VLOOKUP(Table2[[#This Row],[AgentID]],Sales_Agents!$A$1:C786,3)</f>
        <v>West</v>
      </c>
    </row>
    <row r="784" spans="1:14" x14ac:dyDescent="0.25">
      <c r="A784">
        <v>783</v>
      </c>
      <c r="B784" s="1">
        <v>45442</v>
      </c>
      <c r="C784" s="8" t="str">
        <f>TEXT(Table2[[#This Row],[OrderDate]],"mmm")</f>
        <v>May</v>
      </c>
      <c r="D784">
        <v>3</v>
      </c>
      <c r="E784">
        <v>4</v>
      </c>
      <c r="F784">
        <v>5</v>
      </c>
      <c r="G784" s="3">
        <v>71718</v>
      </c>
      <c r="H784" s="3">
        <f t="shared" si="24"/>
        <v>358590</v>
      </c>
      <c r="I784" s="5">
        <f>Table2[[#This Row],[Total Revenue]]*0.3</f>
        <v>107577</v>
      </c>
      <c r="J784" s="6">
        <f t="shared" si="25"/>
        <v>0.3</v>
      </c>
      <c r="K784" t="str">
        <f>VLOOKUP(Table2[[#This Row],[ProductID]],Products!$A$1:C788,2)</f>
        <v>Tablet</v>
      </c>
      <c r="L784" t="str">
        <f>VLOOKUP(D784,Products!$A$1:C788,3)</f>
        <v>Electronics</v>
      </c>
      <c r="M784" t="str">
        <f>VLOOKUP(Table2[[#This Row],[AgentID]],Sales_Agents!$A$1:C787,2)</f>
        <v>Zainab</v>
      </c>
      <c r="N784" t="str">
        <f>VLOOKUP(Table2[[#This Row],[AgentID]],Sales_Agents!$A$1:C787,3)</f>
        <v>North</v>
      </c>
    </row>
    <row r="785" spans="1:14" x14ac:dyDescent="0.25">
      <c r="A785">
        <v>784</v>
      </c>
      <c r="B785" s="1">
        <v>45606</v>
      </c>
      <c r="C785" s="8" t="str">
        <f>TEXT(Table2[[#This Row],[OrderDate]],"mmm")</f>
        <v>Nov</v>
      </c>
      <c r="D785">
        <v>3</v>
      </c>
      <c r="E785">
        <v>1</v>
      </c>
      <c r="F785">
        <v>8</v>
      </c>
      <c r="G785" s="3">
        <v>260902</v>
      </c>
      <c r="H785" s="3">
        <f t="shared" si="24"/>
        <v>2087216</v>
      </c>
      <c r="I785" s="5">
        <f>Table2[[#This Row],[Total Revenue]]*0.3</f>
        <v>626164.79999999993</v>
      </c>
      <c r="J785" s="6">
        <f t="shared" si="25"/>
        <v>0.3</v>
      </c>
      <c r="K785" t="str">
        <f>VLOOKUP(Table2[[#This Row],[ProductID]],Products!$A$1:C789,2)</f>
        <v>Tablet</v>
      </c>
      <c r="L785" t="str">
        <f>VLOOKUP(D785,Products!$A$1:C789,3)</f>
        <v>Electronics</v>
      </c>
      <c r="M785" t="str">
        <f>VLOOKUP(Table2[[#This Row],[AgentID]],Sales_Agents!$A$1:C788,2)</f>
        <v>Akin</v>
      </c>
      <c r="N785" t="str">
        <f>VLOOKUP(Table2[[#This Row],[AgentID]],Sales_Agents!$A$1:C788,3)</f>
        <v>West</v>
      </c>
    </row>
    <row r="786" spans="1:14" x14ac:dyDescent="0.25">
      <c r="A786">
        <v>785</v>
      </c>
      <c r="B786" s="1">
        <v>45384</v>
      </c>
      <c r="C786" s="8" t="str">
        <f>TEXT(Table2[[#This Row],[OrderDate]],"mmm")</f>
        <v>Apr</v>
      </c>
      <c r="D786">
        <v>4</v>
      </c>
      <c r="E786">
        <v>2</v>
      </c>
      <c r="F786">
        <v>10</v>
      </c>
      <c r="G786" s="3">
        <v>315579</v>
      </c>
      <c r="H786" s="3">
        <f t="shared" si="24"/>
        <v>3155790</v>
      </c>
      <c r="I786" s="5">
        <f>Table2[[#This Row],[Total Revenue]]*0.3</f>
        <v>946737</v>
      </c>
      <c r="J786" s="6">
        <f t="shared" si="25"/>
        <v>0.3</v>
      </c>
      <c r="K786" t="str">
        <f>VLOOKUP(Table2[[#This Row],[ProductID]],Products!$A$1:C790,2)</f>
        <v>Printer</v>
      </c>
      <c r="L786" t="str">
        <f>VLOOKUP(D786,Products!$A$1:C790,3)</f>
        <v>Accessories</v>
      </c>
      <c r="M786" t="str">
        <f>VLOOKUP(Table2[[#This Row],[AgentID]],Sales_Agents!$A$1:C789,2)</f>
        <v>Blessing</v>
      </c>
      <c r="N786" t="str">
        <f>VLOOKUP(Table2[[#This Row],[AgentID]],Sales_Agents!$A$1:C789,3)</f>
        <v>East</v>
      </c>
    </row>
    <row r="787" spans="1:14" x14ac:dyDescent="0.25">
      <c r="A787">
        <v>786</v>
      </c>
      <c r="B787" s="1">
        <v>45476</v>
      </c>
      <c r="C787" s="8" t="str">
        <f>TEXT(Table2[[#This Row],[OrderDate]],"mmm")</f>
        <v>Jul</v>
      </c>
      <c r="D787">
        <v>1</v>
      </c>
      <c r="E787">
        <v>1</v>
      </c>
      <c r="F787">
        <v>19</v>
      </c>
      <c r="G787" s="3">
        <v>175651</v>
      </c>
      <c r="H787" s="3">
        <f t="shared" si="24"/>
        <v>3337369</v>
      </c>
      <c r="I787" s="5">
        <f>Table2[[#This Row],[Total Revenue]]*0.3</f>
        <v>1001210.7</v>
      </c>
      <c r="J787" s="6">
        <f t="shared" si="25"/>
        <v>0.3</v>
      </c>
      <c r="K787" t="str">
        <f>VLOOKUP(Table2[[#This Row],[ProductID]],Products!$A$1:C791,2)</f>
        <v>Laptop</v>
      </c>
      <c r="L787" t="str">
        <f>VLOOKUP(D787,Products!$A$1:C791,3)</f>
        <v>Electronics</v>
      </c>
      <c r="M787" t="str">
        <f>VLOOKUP(Table2[[#This Row],[AgentID]],Sales_Agents!$A$1:C790,2)</f>
        <v>Akin</v>
      </c>
      <c r="N787" t="str">
        <f>VLOOKUP(Table2[[#This Row],[AgentID]],Sales_Agents!$A$1:C790,3)</f>
        <v>West</v>
      </c>
    </row>
    <row r="788" spans="1:14" x14ac:dyDescent="0.25">
      <c r="A788">
        <v>787</v>
      </c>
      <c r="B788" s="1">
        <v>45335</v>
      </c>
      <c r="C788" s="8" t="str">
        <f>TEXT(Table2[[#This Row],[OrderDate]],"mmm")</f>
        <v>Feb</v>
      </c>
      <c r="D788">
        <v>1</v>
      </c>
      <c r="E788">
        <v>4</v>
      </c>
      <c r="F788">
        <v>11</v>
      </c>
      <c r="G788" s="3">
        <v>294761</v>
      </c>
      <c r="H788" s="3">
        <f t="shared" si="24"/>
        <v>3242371</v>
      </c>
      <c r="I788" s="5">
        <f>Table2[[#This Row],[Total Revenue]]*0.3</f>
        <v>972711.29999999993</v>
      </c>
      <c r="J788" s="6">
        <f t="shared" si="25"/>
        <v>0.3</v>
      </c>
      <c r="K788" t="str">
        <f>VLOOKUP(Table2[[#This Row],[ProductID]],Products!$A$1:C792,2)</f>
        <v>Laptop</v>
      </c>
      <c r="L788" t="str">
        <f>VLOOKUP(D788,Products!$A$1:C792,3)</f>
        <v>Electronics</v>
      </c>
      <c r="M788" t="str">
        <f>VLOOKUP(Table2[[#This Row],[AgentID]],Sales_Agents!$A$1:C791,2)</f>
        <v>Zainab</v>
      </c>
      <c r="N788" t="str">
        <f>VLOOKUP(Table2[[#This Row],[AgentID]],Sales_Agents!$A$1:C791,3)</f>
        <v>North</v>
      </c>
    </row>
    <row r="789" spans="1:14" x14ac:dyDescent="0.25">
      <c r="A789">
        <v>788</v>
      </c>
      <c r="B789" s="1">
        <v>45577</v>
      </c>
      <c r="C789" s="8" t="str">
        <f>TEXT(Table2[[#This Row],[OrderDate]],"mmm")</f>
        <v>Oct</v>
      </c>
      <c r="D789">
        <v>2</v>
      </c>
      <c r="E789">
        <v>1</v>
      </c>
      <c r="F789">
        <v>20</v>
      </c>
      <c r="G789" s="3">
        <v>73303</v>
      </c>
      <c r="H789" s="3">
        <f t="shared" si="24"/>
        <v>1466060</v>
      </c>
      <c r="I789" s="5">
        <f>Table2[[#This Row],[Total Revenue]]*0.3</f>
        <v>439818</v>
      </c>
      <c r="J789" s="6">
        <f t="shared" si="25"/>
        <v>0.3</v>
      </c>
      <c r="K789" t="str">
        <f>VLOOKUP(Table2[[#This Row],[ProductID]],Products!$A$1:C793,2)</f>
        <v>Phone</v>
      </c>
      <c r="L789" t="str">
        <f>VLOOKUP(D789,Products!$A$1:C793,3)</f>
        <v>Electronics</v>
      </c>
      <c r="M789" t="str">
        <f>VLOOKUP(Table2[[#This Row],[AgentID]],Sales_Agents!$A$1:C792,2)</f>
        <v>Akin</v>
      </c>
      <c r="N789" t="str">
        <f>VLOOKUP(Table2[[#This Row],[AgentID]],Sales_Agents!$A$1:C792,3)</f>
        <v>West</v>
      </c>
    </row>
    <row r="790" spans="1:14" x14ac:dyDescent="0.25">
      <c r="A790">
        <v>789</v>
      </c>
      <c r="B790" s="1">
        <v>45601</v>
      </c>
      <c r="C790" s="8" t="str">
        <f>TEXT(Table2[[#This Row],[OrderDate]],"mmm")</f>
        <v>Nov</v>
      </c>
      <c r="D790">
        <v>5</v>
      </c>
      <c r="E790">
        <v>2</v>
      </c>
      <c r="F790">
        <v>12</v>
      </c>
      <c r="G790" s="3">
        <v>191746</v>
      </c>
      <c r="H790" s="3">
        <f t="shared" si="24"/>
        <v>2300952</v>
      </c>
      <c r="I790" s="5">
        <f>Table2[[#This Row],[Total Revenue]]*0.3</f>
        <v>690285.6</v>
      </c>
      <c r="J790" s="6">
        <f t="shared" si="25"/>
        <v>0.3</v>
      </c>
      <c r="K790" t="str">
        <f>VLOOKUP(Table2[[#This Row],[ProductID]],Products!$A$1:C794,2)</f>
        <v>Monitor</v>
      </c>
      <c r="L790" t="str">
        <f>VLOOKUP(D790,Products!$A$1:C794,3)</f>
        <v>Accessories</v>
      </c>
      <c r="M790" t="str">
        <f>VLOOKUP(Table2[[#This Row],[AgentID]],Sales_Agents!$A$1:C793,2)</f>
        <v>Blessing</v>
      </c>
      <c r="N790" t="str">
        <f>VLOOKUP(Table2[[#This Row],[AgentID]],Sales_Agents!$A$1:C793,3)</f>
        <v>East</v>
      </c>
    </row>
    <row r="791" spans="1:14" x14ac:dyDescent="0.25">
      <c r="A791">
        <v>790</v>
      </c>
      <c r="B791" s="1">
        <v>45500</v>
      </c>
      <c r="C791" s="8" t="str">
        <f>TEXT(Table2[[#This Row],[OrderDate]],"mmm")</f>
        <v>Jul</v>
      </c>
      <c r="D791">
        <v>2</v>
      </c>
      <c r="E791">
        <v>3</v>
      </c>
      <c r="F791">
        <v>8</v>
      </c>
      <c r="G791" s="3">
        <v>111725</v>
      </c>
      <c r="H791" s="3">
        <f t="shared" si="24"/>
        <v>893800</v>
      </c>
      <c r="I791" s="5">
        <f>Table2[[#This Row],[Total Revenue]]*0.3</f>
        <v>268140</v>
      </c>
      <c r="J791" s="6">
        <f t="shared" si="25"/>
        <v>0.3</v>
      </c>
      <c r="K791" t="str">
        <f>VLOOKUP(Table2[[#This Row],[ProductID]],Products!$A$1:C795,2)</f>
        <v>Phone</v>
      </c>
      <c r="L791" t="str">
        <f>VLOOKUP(D791,Products!$A$1:C795,3)</f>
        <v>Electronics</v>
      </c>
      <c r="M791" t="str">
        <f>VLOOKUP(Table2[[#This Row],[AgentID]],Sales_Agents!$A$1:C794,2)</f>
        <v>Chinedu</v>
      </c>
      <c r="N791" t="str">
        <f>VLOOKUP(Table2[[#This Row],[AgentID]],Sales_Agents!$A$1:C794,3)</f>
        <v>South</v>
      </c>
    </row>
    <row r="792" spans="1:14" x14ac:dyDescent="0.25">
      <c r="A792">
        <v>791</v>
      </c>
      <c r="B792" s="1">
        <v>45535</v>
      </c>
      <c r="C792" s="8" t="str">
        <f>TEXT(Table2[[#This Row],[OrderDate]],"mmm")</f>
        <v>Aug</v>
      </c>
      <c r="D792">
        <v>3</v>
      </c>
      <c r="E792">
        <v>4</v>
      </c>
      <c r="F792">
        <v>9</v>
      </c>
      <c r="G792" s="3">
        <v>249295</v>
      </c>
      <c r="H792" s="3">
        <f t="shared" si="24"/>
        <v>2243655</v>
      </c>
      <c r="I792" s="5">
        <f>Table2[[#This Row],[Total Revenue]]*0.3</f>
        <v>673096.5</v>
      </c>
      <c r="J792" s="6">
        <f t="shared" si="25"/>
        <v>0.3</v>
      </c>
      <c r="K792" t="str">
        <f>VLOOKUP(Table2[[#This Row],[ProductID]],Products!$A$1:C796,2)</f>
        <v>Tablet</v>
      </c>
      <c r="L792" t="str">
        <f>VLOOKUP(D792,Products!$A$1:C796,3)</f>
        <v>Electronics</v>
      </c>
      <c r="M792" t="str">
        <f>VLOOKUP(Table2[[#This Row],[AgentID]],Sales_Agents!$A$1:C795,2)</f>
        <v>Zainab</v>
      </c>
      <c r="N792" t="str">
        <f>VLOOKUP(Table2[[#This Row],[AgentID]],Sales_Agents!$A$1:C795,3)</f>
        <v>North</v>
      </c>
    </row>
    <row r="793" spans="1:14" x14ac:dyDescent="0.25">
      <c r="A793">
        <v>792</v>
      </c>
      <c r="B793" s="1">
        <v>45387</v>
      </c>
      <c r="C793" s="8" t="str">
        <f>TEXT(Table2[[#This Row],[OrderDate]],"mmm")</f>
        <v>Apr</v>
      </c>
      <c r="D793">
        <v>2</v>
      </c>
      <c r="E793">
        <v>1</v>
      </c>
      <c r="F793">
        <v>7</v>
      </c>
      <c r="G793" s="3">
        <v>229657</v>
      </c>
      <c r="H793" s="3">
        <f t="shared" si="24"/>
        <v>1607599</v>
      </c>
      <c r="I793" s="5">
        <f>Table2[[#This Row],[Total Revenue]]*0.3</f>
        <v>482279.69999999995</v>
      </c>
      <c r="J793" s="6">
        <f t="shared" si="25"/>
        <v>0.3</v>
      </c>
      <c r="K793" t="str">
        <f>VLOOKUP(Table2[[#This Row],[ProductID]],Products!$A$1:C797,2)</f>
        <v>Phone</v>
      </c>
      <c r="L793" t="str">
        <f>VLOOKUP(D793,Products!$A$1:C797,3)</f>
        <v>Electronics</v>
      </c>
      <c r="M793" t="str">
        <f>VLOOKUP(Table2[[#This Row],[AgentID]],Sales_Agents!$A$1:C796,2)</f>
        <v>Akin</v>
      </c>
      <c r="N793" t="str">
        <f>VLOOKUP(Table2[[#This Row],[AgentID]],Sales_Agents!$A$1:C796,3)</f>
        <v>West</v>
      </c>
    </row>
    <row r="794" spans="1:14" x14ac:dyDescent="0.25">
      <c r="A794">
        <v>793</v>
      </c>
      <c r="B794" s="1">
        <v>45468</v>
      </c>
      <c r="C794" s="8" t="str">
        <f>TEXT(Table2[[#This Row],[OrderDate]],"mmm")</f>
        <v>Jun</v>
      </c>
      <c r="D794">
        <v>3</v>
      </c>
      <c r="E794">
        <v>3</v>
      </c>
      <c r="F794">
        <v>6</v>
      </c>
      <c r="G794" s="3">
        <v>299855</v>
      </c>
      <c r="H794" s="3">
        <f t="shared" si="24"/>
        <v>1799130</v>
      </c>
      <c r="I794" s="5">
        <f>Table2[[#This Row],[Total Revenue]]*0.3</f>
        <v>539739</v>
      </c>
      <c r="J794" s="6">
        <f t="shared" si="25"/>
        <v>0.3</v>
      </c>
      <c r="K794" t="str">
        <f>VLOOKUP(Table2[[#This Row],[ProductID]],Products!$A$1:C798,2)</f>
        <v>Tablet</v>
      </c>
      <c r="L794" t="str">
        <f>VLOOKUP(D794,Products!$A$1:C798,3)</f>
        <v>Electronics</v>
      </c>
      <c r="M794" t="str">
        <f>VLOOKUP(Table2[[#This Row],[AgentID]],Sales_Agents!$A$1:C797,2)</f>
        <v>Chinedu</v>
      </c>
      <c r="N794" t="str">
        <f>VLOOKUP(Table2[[#This Row],[AgentID]],Sales_Agents!$A$1:C797,3)</f>
        <v>South</v>
      </c>
    </row>
    <row r="795" spans="1:14" x14ac:dyDescent="0.25">
      <c r="A795">
        <v>794</v>
      </c>
      <c r="B795" s="1">
        <v>45359</v>
      </c>
      <c r="C795" s="8" t="str">
        <f>TEXT(Table2[[#This Row],[OrderDate]],"mmm")</f>
        <v>Mar</v>
      </c>
      <c r="D795">
        <v>5</v>
      </c>
      <c r="E795">
        <v>2</v>
      </c>
      <c r="F795">
        <v>15</v>
      </c>
      <c r="G795" s="3">
        <v>399421</v>
      </c>
      <c r="H795" s="3">
        <f t="shared" si="24"/>
        <v>5991315</v>
      </c>
      <c r="I795" s="5">
        <f>Table2[[#This Row],[Total Revenue]]*0.3</f>
        <v>1797394.5</v>
      </c>
      <c r="J795" s="6">
        <f t="shared" si="25"/>
        <v>0.3</v>
      </c>
      <c r="K795" t="str">
        <f>VLOOKUP(Table2[[#This Row],[ProductID]],Products!$A$1:C799,2)</f>
        <v>Monitor</v>
      </c>
      <c r="L795" t="str">
        <f>VLOOKUP(D795,Products!$A$1:C799,3)</f>
        <v>Accessories</v>
      </c>
      <c r="M795" t="str">
        <f>VLOOKUP(Table2[[#This Row],[AgentID]],Sales_Agents!$A$1:C798,2)</f>
        <v>Blessing</v>
      </c>
      <c r="N795" t="str">
        <f>VLOOKUP(Table2[[#This Row],[AgentID]],Sales_Agents!$A$1:C798,3)</f>
        <v>East</v>
      </c>
    </row>
    <row r="796" spans="1:14" x14ac:dyDescent="0.25">
      <c r="A796">
        <v>795</v>
      </c>
      <c r="B796" s="1">
        <v>45565</v>
      </c>
      <c r="C796" s="8" t="str">
        <f>TEXT(Table2[[#This Row],[OrderDate]],"mmm")</f>
        <v>Sept</v>
      </c>
      <c r="D796">
        <v>1</v>
      </c>
      <c r="E796">
        <v>3</v>
      </c>
      <c r="F796">
        <v>14</v>
      </c>
      <c r="G796" s="3">
        <v>395122</v>
      </c>
      <c r="H796" s="3">
        <f t="shared" si="24"/>
        <v>5531708</v>
      </c>
      <c r="I796" s="5">
        <f>Table2[[#This Row],[Total Revenue]]*0.3</f>
        <v>1659512.4</v>
      </c>
      <c r="J796" s="6">
        <f t="shared" si="25"/>
        <v>0.3</v>
      </c>
      <c r="K796" t="str">
        <f>VLOOKUP(Table2[[#This Row],[ProductID]],Products!$A$1:C800,2)</f>
        <v>Laptop</v>
      </c>
      <c r="L796" t="str">
        <f>VLOOKUP(D796,Products!$A$1:C800,3)</f>
        <v>Electronics</v>
      </c>
      <c r="M796" t="str">
        <f>VLOOKUP(Table2[[#This Row],[AgentID]],Sales_Agents!$A$1:C799,2)</f>
        <v>Chinedu</v>
      </c>
      <c r="N796" t="str">
        <f>VLOOKUP(Table2[[#This Row],[AgentID]],Sales_Agents!$A$1:C799,3)</f>
        <v>South</v>
      </c>
    </row>
    <row r="797" spans="1:14" x14ac:dyDescent="0.25">
      <c r="A797">
        <v>796</v>
      </c>
      <c r="B797" s="1">
        <v>45644</v>
      </c>
      <c r="C797" s="8" t="str">
        <f>TEXT(Table2[[#This Row],[OrderDate]],"mmm")</f>
        <v>Dec</v>
      </c>
      <c r="D797">
        <v>4</v>
      </c>
      <c r="E797">
        <v>2</v>
      </c>
      <c r="F797">
        <v>18</v>
      </c>
      <c r="G797" s="3">
        <v>353657</v>
      </c>
      <c r="H797" s="3">
        <f t="shared" si="24"/>
        <v>6365826</v>
      </c>
      <c r="I797" s="5">
        <f>Table2[[#This Row],[Total Revenue]]*0.3</f>
        <v>1909747.7999999998</v>
      </c>
      <c r="J797" s="6">
        <f t="shared" si="25"/>
        <v>0.3</v>
      </c>
      <c r="K797" t="str">
        <f>VLOOKUP(Table2[[#This Row],[ProductID]],Products!$A$1:C801,2)</f>
        <v>Printer</v>
      </c>
      <c r="L797" t="str">
        <f>VLOOKUP(D797,Products!$A$1:C801,3)</f>
        <v>Accessories</v>
      </c>
      <c r="M797" t="str">
        <f>VLOOKUP(Table2[[#This Row],[AgentID]],Sales_Agents!$A$1:C800,2)</f>
        <v>Blessing</v>
      </c>
      <c r="N797" t="str">
        <f>VLOOKUP(Table2[[#This Row],[AgentID]],Sales_Agents!$A$1:C800,3)</f>
        <v>East</v>
      </c>
    </row>
    <row r="798" spans="1:14" x14ac:dyDescent="0.25">
      <c r="A798">
        <v>797</v>
      </c>
      <c r="B798" s="1">
        <v>45453</v>
      </c>
      <c r="C798" s="8" t="str">
        <f>TEXT(Table2[[#This Row],[OrderDate]],"mmm")</f>
        <v>Jun</v>
      </c>
      <c r="D798">
        <v>5</v>
      </c>
      <c r="E798">
        <v>4</v>
      </c>
      <c r="F798">
        <v>18</v>
      </c>
      <c r="G798" s="3">
        <v>170509</v>
      </c>
      <c r="H798" s="3">
        <f t="shared" si="24"/>
        <v>3069162</v>
      </c>
      <c r="I798" s="5">
        <f>Table2[[#This Row],[Total Revenue]]*0.3</f>
        <v>920748.6</v>
      </c>
      <c r="J798" s="6">
        <f t="shared" si="25"/>
        <v>0.3</v>
      </c>
      <c r="K798" t="str">
        <f>VLOOKUP(Table2[[#This Row],[ProductID]],Products!$A$1:C802,2)</f>
        <v>Monitor</v>
      </c>
      <c r="L798" t="str">
        <f>VLOOKUP(D798,Products!$A$1:C802,3)</f>
        <v>Accessories</v>
      </c>
      <c r="M798" t="str">
        <f>VLOOKUP(Table2[[#This Row],[AgentID]],Sales_Agents!$A$1:C801,2)</f>
        <v>Zainab</v>
      </c>
      <c r="N798" t="str">
        <f>VLOOKUP(Table2[[#This Row],[AgentID]],Sales_Agents!$A$1:C801,3)</f>
        <v>North</v>
      </c>
    </row>
    <row r="799" spans="1:14" x14ac:dyDescent="0.25">
      <c r="A799">
        <v>798</v>
      </c>
      <c r="B799" s="1">
        <v>45528</v>
      </c>
      <c r="C799" s="8" t="str">
        <f>TEXT(Table2[[#This Row],[OrderDate]],"mmm")</f>
        <v>Aug</v>
      </c>
      <c r="D799">
        <v>5</v>
      </c>
      <c r="E799">
        <v>2</v>
      </c>
      <c r="F799">
        <v>11</v>
      </c>
      <c r="G799" s="3">
        <v>258253</v>
      </c>
      <c r="H799" s="3">
        <f t="shared" si="24"/>
        <v>2840783</v>
      </c>
      <c r="I799" s="5">
        <f>Table2[[#This Row],[Total Revenue]]*0.3</f>
        <v>852234.9</v>
      </c>
      <c r="J799" s="6">
        <f t="shared" si="25"/>
        <v>0.3</v>
      </c>
      <c r="K799" t="str">
        <f>VLOOKUP(Table2[[#This Row],[ProductID]],Products!$A$1:C803,2)</f>
        <v>Monitor</v>
      </c>
      <c r="L799" t="str">
        <f>VLOOKUP(D799,Products!$A$1:C803,3)</f>
        <v>Accessories</v>
      </c>
      <c r="M799" t="str">
        <f>VLOOKUP(Table2[[#This Row],[AgentID]],Sales_Agents!$A$1:C802,2)</f>
        <v>Blessing</v>
      </c>
      <c r="N799" t="str">
        <f>VLOOKUP(Table2[[#This Row],[AgentID]],Sales_Agents!$A$1:C802,3)</f>
        <v>East</v>
      </c>
    </row>
    <row r="800" spans="1:14" x14ac:dyDescent="0.25">
      <c r="A800">
        <v>799</v>
      </c>
      <c r="B800" s="1">
        <v>45295</v>
      </c>
      <c r="C800" s="8" t="str">
        <f>TEXT(Table2[[#This Row],[OrderDate]],"mmm")</f>
        <v>Jan</v>
      </c>
      <c r="D800">
        <v>2</v>
      </c>
      <c r="E800">
        <v>1</v>
      </c>
      <c r="F800">
        <v>2</v>
      </c>
      <c r="G800" s="3">
        <v>87278</v>
      </c>
      <c r="H800" s="3">
        <f t="shared" si="24"/>
        <v>174556</v>
      </c>
      <c r="I800" s="5">
        <f>Table2[[#This Row],[Total Revenue]]*0.3</f>
        <v>52366.799999999996</v>
      </c>
      <c r="J800" s="6">
        <f t="shared" si="25"/>
        <v>0.3</v>
      </c>
      <c r="K800" t="str">
        <f>VLOOKUP(Table2[[#This Row],[ProductID]],Products!$A$1:C804,2)</f>
        <v>Phone</v>
      </c>
      <c r="L800" t="str">
        <f>VLOOKUP(D800,Products!$A$1:C804,3)</f>
        <v>Electronics</v>
      </c>
      <c r="M800" t="str">
        <f>VLOOKUP(Table2[[#This Row],[AgentID]],Sales_Agents!$A$1:C803,2)</f>
        <v>Akin</v>
      </c>
      <c r="N800" t="str">
        <f>VLOOKUP(Table2[[#This Row],[AgentID]],Sales_Agents!$A$1:C803,3)</f>
        <v>West</v>
      </c>
    </row>
    <row r="801" spans="1:14" x14ac:dyDescent="0.25">
      <c r="A801">
        <v>800</v>
      </c>
      <c r="B801" s="1">
        <v>45592</v>
      </c>
      <c r="C801" s="8" t="str">
        <f>TEXT(Table2[[#This Row],[OrderDate]],"mmm")</f>
        <v>Oct</v>
      </c>
      <c r="D801">
        <v>1</v>
      </c>
      <c r="E801">
        <v>2</v>
      </c>
      <c r="F801">
        <v>14</v>
      </c>
      <c r="G801" s="3">
        <v>263298</v>
      </c>
      <c r="H801" s="3">
        <f t="shared" si="24"/>
        <v>3686172</v>
      </c>
      <c r="I801" s="5">
        <f>Table2[[#This Row],[Total Revenue]]*0.3</f>
        <v>1105851.5999999999</v>
      </c>
      <c r="J801" s="6">
        <f t="shared" si="25"/>
        <v>0.3</v>
      </c>
      <c r="K801" t="str">
        <f>VLOOKUP(Table2[[#This Row],[ProductID]],Products!$A$1:C805,2)</f>
        <v>Laptop</v>
      </c>
      <c r="L801" t="str">
        <f>VLOOKUP(D801,Products!$A$1:C805,3)</f>
        <v>Electronics</v>
      </c>
      <c r="M801" t="str">
        <f>VLOOKUP(Table2[[#This Row],[AgentID]],Sales_Agents!$A$1:C804,2)</f>
        <v>Blessing</v>
      </c>
      <c r="N801" t="str">
        <f>VLOOKUP(Table2[[#This Row],[AgentID]],Sales_Agents!$A$1:C804,3)</f>
        <v>East</v>
      </c>
    </row>
    <row r="802" spans="1:14" x14ac:dyDescent="0.25">
      <c r="A802">
        <v>801</v>
      </c>
      <c r="B802" s="1">
        <v>45329</v>
      </c>
      <c r="C802" s="8" t="str">
        <f>TEXT(Table2[[#This Row],[OrderDate]],"mmm")</f>
        <v>Feb</v>
      </c>
      <c r="D802">
        <v>1</v>
      </c>
      <c r="E802">
        <v>2</v>
      </c>
      <c r="F802">
        <v>15</v>
      </c>
      <c r="G802" s="3">
        <v>289675</v>
      </c>
      <c r="H802" s="3">
        <f t="shared" si="24"/>
        <v>4345125</v>
      </c>
      <c r="I802" s="5">
        <f>Table2[[#This Row],[Total Revenue]]*0.3</f>
        <v>1303537.5</v>
      </c>
      <c r="J802" s="6">
        <f t="shared" si="25"/>
        <v>0.3</v>
      </c>
      <c r="K802" t="str">
        <f>VLOOKUP(Table2[[#This Row],[ProductID]],Products!$A$1:C806,2)</f>
        <v>Laptop</v>
      </c>
      <c r="L802" t="str">
        <f>VLOOKUP(D802,Products!$A$1:C806,3)</f>
        <v>Electronics</v>
      </c>
      <c r="M802" t="str">
        <f>VLOOKUP(Table2[[#This Row],[AgentID]],Sales_Agents!$A$1:C805,2)</f>
        <v>Blessing</v>
      </c>
      <c r="N802" t="str">
        <f>VLOOKUP(Table2[[#This Row],[AgentID]],Sales_Agents!$A$1:C805,3)</f>
        <v>East</v>
      </c>
    </row>
    <row r="803" spans="1:14" x14ac:dyDescent="0.25">
      <c r="A803">
        <v>802</v>
      </c>
      <c r="B803" s="1">
        <v>45565</v>
      </c>
      <c r="C803" s="8" t="str">
        <f>TEXT(Table2[[#This Row],[OrderDate]],"mmm")</f>
        <v>Sept</v>
      </c>
      <c r="D803">
        <v>5</v>
      </c>
      <c r="E803">
        <v>1</v>
      </c>
      <c r="F803">
        <v>12</v>
      </c>
      <c r="G803" s="3">
        <v>184851</v>
      </c>
      <c r="H803" s="3">
        <f t="shared" si="24"/>
        <v>2218212</v>
      </c>
      <c r="I803" s="5">
        <f>Table2[[#This Row],[Total Revenue]]*0.3</f>
        <v>665463.6</v>
      </c>
      <c r="J803" s="6">
        <f t="shared" si="25"/>
        <v>0.3</v>
      </c>
      <c r="K803" t="str">
        <f>VLOOKUP(Table2[[#This Row],[ProductID]],Products!$A$1:C807,2)</f>
        <v>Monitor</v>
      </c>
      <c r="L803" t="str">
        <f>VLOOKUP(D803,Products!$A$1:C807,3)</f>
        <v>Accessories</v>
      </c>
      <c r="M803" t="str">
        <f>VLOOKUP(Table2[[#This Row],[AgentID]],Sales_Agents!$A$1:C806,2)</f>
        <v>Akin</v>
      </c>
      <c r="N803" t="str">
        <f>VLOOKUP(Table2[[#This Row],[AgentID]],Sales_Agents!$A$1:C806,3)</f>
        <v>West</v>
      </c>
    </row>
    <row r="804" spans="1:14" x14ac:dyDescent="0.25">
      <c r="A804">
        <v>803</v>
      </c>
      <c r="B804" s="1">
        <v>45589</v>
      </c>
      <c r="C804" s="8" t="str">
        <f>TEXT(Table2[[#This Row],[OrderDate]],"mmm")</f>
        <v>Oct</v>
      </c>
      <c r="D804">
        <v>4</v>
      </c>
      <c r="E804">
        <v>1</v>
      </c>
      <c r="F804">
        <v>20</v>
      </c>
      <c r="G804" s="3">
        <v>112622</v>
      </c>
      <c r="H804" s="3">
        <f t="shared" si="24"/>
        <v>2252440</v>
      </c>
      <c r="I804" s="5">
        <f>Table2[[#This Row],[Total Revenue]]*0.3</f>
        <v>675732</v>
      </c>
      <c r="J804" s="6">
        <f t="shared" si="25"/>
        <v>0.3</v>
      </c>
      <c r="K804" t="str">
        <f>VLOOKUP(Table2[[#This Row],[ProductID]],Products!$A$1:C808,2)</f>
        <v>Printer</v>
      </c>
      <c r="L804" t="str">
        <f>VLOOKUP(D804,Products!$A$1:C808,3)</f>
        <v>Accessories</v>
      </c>
      <c r="M804" t="str">
        <f>VLOOKUP(Table2[[#This Row],[AgentID]],Sales_Agents!$A$1:C807,2)</f>
        <v>Akin</v>
      </c>
      <c r="N804" t="str">
        <f>VLOOKUP(Table2[[#This Row],[AgentID]],Sales_Agents!$A$1:C807,3)</f>
        <v>West</v>
      </c>
    </row>
    <row r="805" spans="1:14" x14ac:dyDescent="0.25">
      <c r="A805">
        <v>804</v>
      </c>
      <c r="B805" s="1">
        <v>45599</v>
      </c>
      <c r="C805" s="8" t="str">
        <f>TEXT(Table2[[#This Row],[OrderDate]],"mmm")</f>
        <v>Nov</v>
      </c>
      <c r="D805">
        <v>2</v>
      </c>
      <c r="E805">
        <v>4</v>
      </c>
      <c r="F805">
        <v>19</v>
      </c>
      <c r="G805" s="3">
        <v>150606</v>
      </c>
      <c r="H805" s="3">
        <f t="shared" si="24"/>
        <v>2861514</v>
      </c>
      <c r="I805" s="5">
        <f>Table2[[#This Row],[Total Revenue]]*0.3</f>
        <v>858454.2</v>
      </c>
      <c r="J805" s="6">
        <f t="shared" si="25"/>
        <v>0.3</v>
      </c>
      <c r="K805" t="str">
        <f>VLOOKUP(Table2[[#This Row],[ProductID]],Products!$A$1:C809,2)</f>
        <v>Phone</v>
      </c>
      <c r="L805" t="str">
        <f>VLOOKUP(D805,Products!$A$1:C809,3)</f>
        <v>Electronics</v>
      </c>
      <c r="M805" t="str">
        <f>VLOOKUP(Table2[[#This Row],[AgentID]],Sales_Agents!$A$1:C808,2)</f>
        <v>Zainab</v>
      </c>
      <c r="N805" t="str">
        <f>VLOOKUP(Table2[[#This Row],[AgentID]],Sales_Agents!$A$1:C808,3)</f>
        <v>North</v>
      </c>
    </row>
    <row r="806" spans="1:14" x14ac:dyDescent="0.25">
      <c r="A806">
        <v>805</v>
      </c>
      <c r="B806" s="1">
        <v>45643</v>
      </c>
      <c r="C806" s="8" t="str">
        <f>TEXT(Table2[[#This Row],[OrderDate]],"mmm")</f>
        <v>Dec</v>
      </c>
      <c r="D806">
        <v>2</v>
      </c>
      <c r="E806">
        <v>2</v>
      </c>
      <c r="F806">
        <v>8</v>
      </c>
      <c r="G806" s="3">
        <v>176758</v>
      </c>
      <c r="H806" s="3">
        <f t="shared" si="24"/>
        <v>1414064</v>
      </c>
      <c r="I806" s="5">
        <f>Table2[[#This Row],[Total Revenue]]*0.3</f>
        <v>424219.2</v>
      </c>
      <c r="J806" s="6">
        <f t="shared" si="25"/>
        <v>0.3</v>
      </c>
      <c r="K806" t="str">
        <f>VLOOKUP(Table2[[#This Row],[ProductID]],Products!$A$1:C810,2)</f>
        <v>Phone</v>
      </c>
      <c r="L806" t="str">
        <f>VLOOKUP(D806,Products!$A$1:C810,3)</f>
        <v>Electronics</v>
      </c>
      <c r="M806" t="str">
        <f>VLOOKUP(Table2[[#This Row],[AgentID]],Sales_Agents!$A$1:C809,2)</f>
        <v>Blessing</v>
      </c>
      <c r="N806" t="str">
        <f>VLOOKUP(Table2[[#This Row],[AgentID]],Sales_Agents!$A$1:C809,3)</f>
        <v>East</v>
      </c>
    </row>
    <row r="807" spans="1:14" x14ac:dyDescent="0.25">
      <c r="A807">
        <v>806</v>
      </c>
      <c r="B807" s="1">
        <v>45461</v>
      </c>
      <c r="C807" s="8" t="str">
        <f>TEXT(Table2[[#This Row],[OrderDate]],"mmm")</f>
        <v>Jun</v>
      </c>
      <c r="D807">
        <v>2</v>
      </c>
      <c r="E807">
        <v>3</v>
      </c>
      <c r="F807">
        <v>11</v>
      </c>
      <c r="G807" s="3">
        <v>113863</v>
      </c>
      <c r="H807" s="3">
        <f t="shared" si="24"/>
        <v>1252493</v>
      </c>
      <c r="I807" s="5">
        <f>Table2[[#This Row],[Total Revenue]]*0.3</f>
        <v>375747.89999999997</v>
      </c>
      <c r="J807" s="6">
        <f t="shared" si="25"/>
        <v>0.3</v>
      </c>
      <c r="K807" t="str">
        <f>VLOOKUP(Table2[[#This Row],[ProductID]],Products!$A$1:C811,2)</f>
        <v>Phone</v>
      </c>
      <c r="L807" t="str">
        <f>VLOOKUP(D807,Products!$A$1:C811,3)</f>
        <v>Electronics</v>
      </c>
      <c r="M807" t="str">
        <f>VLOOKUP(Table2[[#This Row],[AgentID]],Sales_Agents!$A$1:C810,2)</f>
        <v>Chinedu</v>
      </c>
      <c r="N807" t="str">
        <f>VLOOKUP(Table2[[#This Row],[AgentID]],Sales_Agents!$A$1:C810,3)</f>
        <v>South</v>
      </c>
    </row>
    <row r="808" spans="1:14" x14ac:dyDescent="0.25">
      <c r="A808">
        <v>807</v>
      </c>
      <c r="B808" s="1">
        <v>45532</v>
      </c>
      <c r="C808" s="8" t="str">
        <f>TEXT(Table2[[#This Row],[OrderDate]],"mmm")</f>
        <v>Aug</v>
      </c>
      <c r="D808">
        <v>1</v>
      </c>
      <c r="E808">
        <v>3</v>
      </c>
      <c r="F808">
        <v>9</v>
      </c>
      <c r="G808" s="3">
        <v>141111</v>
      </c>
      <c r="H808" s="3">
        <f t="shared" si="24"/>
        <v>1269999</v>
      </c>
      <c r="I808" s="5">
        <f>Table2[[#This Row],[Total Revenue]]*0.3</f>
        <v>380999.7</v>
      </c>
      <c r="J808" s="6">
        <f t="shared" si="25"/>
        <v>0.3</v>
      </c>
      <c r="K808" t="str">
        <f>VLOOKUP(Table2[[#This Row],[ProductID]],Products!$A$1:C812,2)</f>
        <v>Laptop</v>
      </c>
      <c r="L808" t="str">
        <f>VLOOKUP(D808,Products!$A$1:C812,3)</f>
        <v>Electronics</v>
      </c>
      <c r="M808" t="str">
        <f>VLOOKUP(Table2[[#This Row],[AgentID]],Sales_Agents!$A$1:C811,2)</f>
        <v>Chinedu</v>
      </c>
      <c r="N808" t="str">
        <f>VLOOKUP(Table2[[#This Row],[AgentID]],Sales_Agents!$A$1:C811,3)</f>
        <v>South</v>
      </c>
    </row>
    <row r="809" spans="1:14" x14ac:dyDescent="0.25">
      <c r="A809">
        <v>808</v>
      </c>
      <c r="B809" s="1">
        <v>45349</v>
      </c>
      <c r="C809" s="8" t="str">
        <f>TEXT(Table2[[#This Row],[OrderDate]],"mmm")</f>
        <v>Feb</v>
      </c>
      <c r="D809">
        <v>5</v>
      </c>
      <c r="E809">
        <v>1</v>
      </c>
      <c r="F809">
        <v>7</v>
      </c>
      <c r="G809" s="3">
        <v>247661</v>
      </c>
      <c r="H809" s="3">
        <f t="shared" si="24"/>
        <v>1733627</v>
      </c>
      <c r="I809" s="5">
        <f>Table2[[#This Row],[Total Revenue]]*0.3</f>
        <v>520088.1</v>
      </c>
      <c r="J809" s="6">
        <f t="shared" si="25"/>
        <v>0.3</v>
      </c>
      <c r="K809" t="str">
        <f>VLOOKUP(Table2[[#This Row],[ProductID]],Products!$A$1:C813,2)</f>
        <v>Monitor</v>
      </c>
      <c r="L809" t="str">
        <f>VLOOKUP(D809,Products!$A$1:C813,3)</f>
        <v>Accessories</v>
      </c>
      <c r="M809" t="str">
        <f>VLOOKUP(Table2[[#This Row],[AgentID]],Sales_Agents!$A$1:C812,2)</f>
        <v>Akin</v>
      </c>
      <c r="N809" t="str">
        <f>VLOOKUP(Table2[[#This Row],[AgentID]],Sales_Agents!$A$1:C812,3)</f>
        <v>West</v>
      </c>
    </row>
    <row r="810" spans="1:14" x14ac:dyDescent="0.25">
      <c r="A810">
        <v>809</v>
      </c>
      <c r="B810" s="1">
        <v>45506</v>
      </c>
      <c r="C810" s="8" t="str">
        <f>TEXT(Table2[[#This Row],[OrderDate]],"mmm")</f>
        <v>Aug</v>
      </c>
      <c r="D810">
        <v>1</v>
      </c>
      <c r="E810">
        <v>3</v>
      </c>
      <c r="F810">
        <v>6</v>
      </c>
      <c r="G810" s="3">
        <v>86531</v>
      </c>
      <c r="H810" s="3">
        <f t="shared" si="24"/>
        <v>519186</v>
      </c>
      <c r="I810" s="5">
        <f>Table2[[#This Row],[Total Revenue]]*0.3</f>
        <v>155755.79999999999</v>
      </c>
      <c r="J810" s="6">
        <f t="shared" si="25"/>
        <v>0.3</v>
      </c>
      <c r="K810" t="str">
        <f>VLOOKUP(Table2[[#This Row],[ProductID]],Products!$A$1:C814,2)</f>
        <v>Laptop</v>
      </c>
      <c r="L810" t="str">
        <f>VLOOKUP(D810,Products!$A$1:C814,3)</f>
        <v>Electronics</v>
      </c>
      <c r="M810" t="str">
        <f>VLOOKUP(Table2[[#This Row],[AgentID]],Sales_Agents!$A$1:C813,2)</f>
        <v>Chinedu</v>
      </c>
      <c r="N810" t="str">
        <f>VLOOKUP(Table2[[#This Row],[AgentID]],Sales_Agents!$A$1:C813,3)</f>
        <v>South</v>
      </c>
    </row>
    <row r="811" spans="1:14" x14ac:dyDescent="0.25">
      <c r="A811">
        <v>810</v>
      </c>
      <c r="B811" s="1">
        <v>45579</v>
      </c>
      <c r="C811" s="8" t="str">
        <f>TEXT(Table2[[#This Row],[OrderDate]],"mmm")</f>
        <v>Oct</v>
      </c>
      <c r="D811">
        <v>1</v>
      </c>
      <c r="E811">
        <v>2</v>
      </c>
      <c r="F811">
        <v>12</v>
      </c>
      <c r="G811" s="3">
        <v>327799</v>
      </c>
      <c r="H811" s="3">
        <f t="shared" si="24"/>
        <v>3933588</v>
      </c>
      <c r="I811" s="5">
        <f>Table2[[#This Row],[Total Revenue]]*0.3</f>
        <v>1180076.3999999999</v>
      </c>
      <c r="J811" s="6">
        <f t="shared" si="25"/>
        <v>0.3</v>
      </c>
      <c r="K811" t="str">
        <f>VLOOKUP(Table2[[#This Row],[ProductID]],Products!$A$1:C815,2)</f>
        <v>Laptop</v>
      </c>
      <c r="L811" t="str">
        <f>VLOOKUP(D811,Products!$A$1:C815,3)</f>
        <v>Electronics</v>
      </c>
      <c r="M811" t="str">
        <f>VLOOKUP(Table2[[#This Row],[AgentID]],Sales_Agents!$A$1:C814,2)</f>
        <v>Blessing</v>
      </c>
      <c r="N811" t="str">
        <f>VLOOKUP(Table2[[#This Row],[AgentID]],Sales_Agents!$A$1:C814,3)</f>
        <v>East</v>
      </c>
    </row>
    <row r="812" spans="1:14" x14ac:dyDescent="0.25">
      <c r="A812">
        <v>811</v>
      </c>
      <c r="B812" s="1">
        <v>45440</v>
      </c>
      <c r="C812" s="8" t="str">
        <f>TEXT(Table2[[#This Row],[OrderDate]],"mmm")</f>
        <v>May</v>
      </c>
      <c r="D812">
        <v>2</v>
      </c>
      <c r="E812">
        <v>2</v>
      </c>
      <c r="F812">
        <v>1</v>
      </c>
      <c r="G812" s="3">
        <v>310142</v>
      </c>
      <c r="H812" s="3">
        <f t="shared" si="24"/>
        <v>310142</v>
      </c>
      <c r="I812" s="5">
        <f>Table2[[#This Row],[Total Revenue]]*0.3</f>
        <v>93042.599999999991</v>
      </c>
      <c r="J812" s="6">
        <f t="shared" si="25"/>
        <v>0.3</v>
      </c>
      <c r="K812" t="str">
        <f>VLOOKUP(Table2[[#This Row],[ProductID]],Products!$A$1:C816,2)</f>
        <v>Phone</v>
      </c>
      <c r="L812" t="str">
        <f>VLOOKUP(D812,Products!$A$1:C816,3)</f>
        <v>Electronics</v>
      </c>
      <c r="M812" t="str">
        <f>VLOOKUP(Table2[[#This Row],[AgentID]],Sales_Agents!$A$1:C815,2)</f>
        <v>Blessing</v>
      </c>
      <c r="N812" t="str">
        <f>VLOOKUP(Table2[[#This Row],[AgentID]],Sales_Agents!$A$1:C815,3)</f>
        <v>East</v>
      </c>
    </row>
    <row r="813" spans="1:14" x14ac:dyDescent="0.25">
      <c r="A813">
        <v>812</v>
      </c>
      <c r="B813" s="1">
        <v>45374</v>
      </c>
      <c r="C813" s="8" t="str">
        <f>TEXT(Table2[[#This Row],[OrderDate]],"mmm")</f>
        <v>Mar</v>
      </c>
      <c r="D813">
        <v>3</v>
      </c>
      <c r="E813">
        <v>1</v>
      </c>
      <c r="F813">
        <v>19</v>
      </c>
      <c r="G813" s="3">
        <v>74703</v>
      </c>
      <c r="H813" s="3">
        <f t="shared" si="24"/>
        <v>1419357</v>
      </c>
      <c r="I813" s="5">
        <f>Table2[[#This Row],[Total Revenue]]*0.3</f>
        <v>425807.1</v>
      </c>
      <c r="J813" s="6">
        <f t="shared" si="25"/>
        <v>0.3</v>
      </c>
      <c r="K813" t="str">
        <f>VLOOKUP(Table2[[#This Row],[ProductID]],Products!$A$1:C817,2)</f>
        <v>Tablet</v>
      </c>
      <c r="L813" t="str">
        <f>VLOOKUP(D813,Products!$A$1:C817,3)</f>
        <v>Electronics</v>
      </c>
      <c r="M813" t="str">
        <f>VLOOKUP(Table2[[#This Row],[AgentID]],Sales_Agents!$A$1:C816,2)</f>
        <v>Akin</v>
      </c>
      <c r="N813" t="str">
        <f>VLOOKUP(Table2[[#This Row],[AgentID]],Sales_Agents!$A$1:C816,3)</f>
        <v>West</v>
      </c>
    </row>
    <row r="814" spans="1:14" x14ac:dyDescent="0.25">
      <c r="A814">
        <v>813</v>
      </c>
      <c r="B814" s="1">
        <v>45481</v>
      </c>
      <c r="C814" s="8" t="str">
        <f>TEXT(Table2[[#This Row],[OrderDate]],"mmm")</f>
        <v>Jul</v>
      </c>
      <c r="D814">
        <v>2</v>
      </c>
      <c r="E814">
        <v>3</v>
      </c>
      <c r="F814">
        <v>13</v>
      </c>
      <c r="G814" s="3">
        <v>320471</v>
      </c>
      <c r="H814" s="3">
        <f t="shared" si="24"/>
        <v>4166123</v>
      </c>
      <c r="I814" s="5">
        <f>Table2[[#This Row],[Total Revenue]]*0.3</f>
        <v>1249836.8999999999</v>
      </c>
      <c r="J814" s="6">
        <f t="shared" si="25"/>
        <v>0.3</v>
      </c>
      <c r="K814" t="str">
        <f>VLOOKUP(Table2[[#This Row],[ProductID]],Products!$A$1:C818,2)</f>
        <v>Phone</v>
      </c>
      <c r="L814" t="str">
        <f>VLOOKUP(D814,Products!$A$1:C818,3)</f>
        <v>Electronics</v>
      </c>
      <c r="M814" t="str">
        <f>VLOOKUP(Table2[[#This Row],[AgentID]],Sales_Agents!$A$1:C817,2)</f>
        <v>Chinedu</v>
      </c>
      <c r="N814" t="str">
        <f>VLOOKUP(Table2[[#This Row],[AgentID]],Sales_Agents!$A$1:C817,3)</f>
        <v>South</v>
      </c>
    </row>
    <row r="815" spans="1:14" x14ac:dyDescent="0.25">
      <c r="A815">
        <v>814</v>
      </c>
      <c r="B815" s="1">
        <v>45621</v>
      </c>
      <c r="C815" s="8" t="str">
        <f>TEXT(Table2[[#This Row],[OrderDate]],"mmm")</f>
        <v>Nov</v>
      </c>
      <c r="D815">
        <v>2</v>
      </c>
      <c r="E815">
        <v>3</v>
      </c>
      <c r="F815">
        <v>20</v>
      </c>
      <c r="G815" s="3">
        <v>150598</v>
      </c>
      <c r="H815" s="3">
        <f t="shared" si="24"/>
        <v>3011960</v>
      </c>
      <c r="I815" s="5">
        <f>Table2[[#This Row],[Total Revenue]]*0.3</f>
        <v>903588</v>
      </c>
      <c r="J815" s="6">
        <f t="shared" si="25"/>
        <v>0.3</v>
      </c>
      <c r="K815" t="str">
        <f>VLOOKUP(Table2[[#This Row],[ProductID]],Products!$A$1:C819,2)</f>
        <v>Phone</v>
      </c>
      <c r="L815" t="str">
        <f>VLOOKUP(D815,Products!$A$1:C819,3)</f>
        <v>Electronics</v>
      </c>
      <c r="M815" t="str">
        <f>VLOOKUP(Table2[[#This Row],[AgentID]],Sales_Agents!$A$1:C818,2)</f>
        <v>Chinedu</v>
      </c>
      <c r="N815" t="str">
        <f>VLOOKUP(Table2[[#This Row],[AgentID]],Sales_Agents!$A$1:C818,3)</f>
        <v>South</v>
      </c>
    </row>
    <row r="816" spans="1:14" x14ac:dyDescent="0.25">
      <c r="A816">
        <v>815</v>
      </c>
      <c r="B816" s="1">
        <v>45347</v>
      </c>
      <c r="C816" s="8" t="str">
        <f>TEXT(Table2[[#This Row],[OrderDate]],"mmm")</f>
        <v>Feb</v>
      </c>
      <c r="D816">
        <v>2</v>
      </c>
      <c r="E816">
        <v>3</v>
      </c>
      <c r="F816">
        <v>12</v>
      </c>
      <c r="G816" s="3">
        <v>229161</v>
      </c>
      <c r="H816" s="3">
        <f t="shared" si="24"/>
        <v>2749932</v>
      </c>
      <c r="I816" s="5">
        <f>Table2[[#This Row],[Total Revenue]]*0.3</f>
        <v>824979.6</v>
      </c>
      <c r="J816" s="6">
        <f t="shared" si="25"/>
        <v>0.3</v>
      </c>
      <c r="K816" t="str">
        <f>VLOOKUP(Table2[[#This Row],[ProductID]],Products!$A$1:C820,2)</f>
        <v>Phone</v>
      </c>
      <c r="L816" t="str">
        <f>VLOOKUP(D816,Products!$A$1:C820,3)</f>
        <v>Electronics</v>
      </c>
      <c r="M816" t="str">
        <f>VLOOKUP(Table2[[#This Row],[AgentID]],Sales_Agents!$A$1:C819,2)</f>
        <v>Chinedu</v>
      </c>
      <c r="N816" t="str">
        <f>VLOOKUP(Table2[[#This Row],[AgentID]],Sales_Agents!$A$1:C819,3)</f>
        <v>South</v>
      </c>
    </row>
    <row r="817" spans="1:14" x14ac:dyDescent="0.25">
      <c r="A817">
        <v>816</v>
      </c>
      <c r="B817" s="1">
        <v>45628</v>
      </c>
      <c r="C817" s="8" t="str">
        <f>TEXT(Table2[[#This Row],[OrderDate]],"mmm")</f>
        <v>Dec</v>
      </c>
      <c r="D817">
        <v>5</v>
      </c>
      <c r="E817">
        <v>3</v>
      </c>
      <c r="F817">
        <v>10</v>
      </c>
      <c r="G817" s="3">
        <v>397201</v>
      </c>
      <c r="H817" s="3">
        <f t="shared" si="24"/>
        <v>3972010</v>
      </c>
      <c r="I817" s="5">
        <f>Table2[[#This Row],[Total Revenue]]*0.3</f>
        <v>1191603</v>
      </c>
      <c r="J817" s="6">
        <f t="shared" si="25"/>
        <v>0.3</v>
      </c>
      <c r="K817" t="str">
        <f>VLOOKUP(Table2[[#This Row],[ProductID]],Products!$A$1:C821,2)</f>
        <v>Monitor</v>
      </c>
      <c r="L817" t="str">
        <f>VLOOKUP(D817,Products!$A$1:C821,3)</f>
        <v>Accessories</v>
      </c>
      <c r="M817" t="str">
        <f>VLOOKUP(Table2[[#This Row],[AgentID]],Sales_Agents!$A$1:C820,2)</f>
        <v>Chinedu</v>
      </c>
      <c r="N817" t="str">
        <f>VLOOKUP(Table2[[#This Row],[AgentID]],Sales_Agents!$A$1:C820,3)</f>
        <v>South</v>
      </c>
    </row>
    <row r="818" spans="1:14" x14ac:dyDescent="0.25">
      <c r="A818">
        <v>817</v>
      </c>
      <c r="B818" s="1">
        <v>45356</v>
      </c>
      <c r="C818" s="8" t="str">
        <f>TEXT(Table2[[#This Row],[OrderDate]],"mmm")</f>
        <v>Mar</v>
      </c>
      <c r="D818">
        <v>5</v>
      </c>
      <c r="E818">
        <v>2</v>
      </c>
      <c r="F818">
        <v>8</v>
      </c>
      <c r="G818" s="3">
        <v>375876</v>
      </c>
      <c r="H818" s="3">
        <f t="shared" si="24"/>
        <v>3007008</v>
      </c>
      <c r="I818" s="5">
        <f>Table2[[#This Row],[Total Revenue]]*0.3</f>
        <v>902102.4</v>
      </c>
      <c r="J818" s="6">
        <f t="shared" si="25"/>
        <v>0.3</v>
      </c>
      <c r="K818" t="str">
        <f>VLOOKUP(Table2[[#This Row],[ProductID]],Products!$A$1:C822,2)</f>
        <v>Monitor</v>
      </c>
      <c r="L818" t="str">
        <f>VLOOKUP(D818,Products!$A$1:C822,3)</f>
        <v>Accessories</v>
      </c>
      <c r="M818" t="str">
        <f>VLOOKUP(Table2[[#This Row],[AgentID]],Sales_Agents!$A$1:C821,2)</f>
        <v>Blessing</v>
      </c>
      <c r="N818" t="str">
        <f>VLOOKUP(Table2[[#This Row],[AgentID]],Sales_Agents!$A$1:C821,3)</f>
        <v>East</v>
      </c>
    </row>
    <row r="819" spans="1:14" x14ac:dyDescent="0.25">
      <c r="A819">
        <v>818</v>
      </c>
      <c r="B819" s="1">
        <v>45567</v>
      </c>
      <c r="C819" s="8" t="str">
        <f>TEXT(Table2[[#This Row],[OrderDate]],"mmm")</f>
        <v>Oct</v>
      </c>
      <c r="D819">
        <v>3</v>
      </c>
      <c r="E819">
        <v>1</v>
      </c>
      <c r="F819">
        <v>6</v>
      </c>
      <c r="G819" s="3">
        <v>326461</v>
      </c>
      <c r="H819" s="3">
        <f t="shared" si="24"/>
        <v>1958766</v>
      </c>
      <c r="I819" s="5">
        <f>Table2[[#This Row],[Total Revenue]]*0.3</f>
        <v>587629.79999999993</v>
      </c>
      <c r="J819" s="6">
        <f t="shared" si="25"/>
        <v>0.3</v>
      </c>
      <c r="K819" t="str">
        <f>VLOOKUP(Table2[[#This Row],[ProductID]],Products!$A$1:C823,2)</f>
        <v>Tablet</v>
      </c>
      <c r="L819" t="str">
        <f>VLOOKUP(D819,Products!$A$1:C823,3)</f>
        <v>Electronics</v>
      </c>
      <c r="M819" t="str">
        <f>VLOOKUP(Table2[[#This Row],[AgentID]],Sales_Agents!$A$1:C822,2)</f>
        <v>Akin</v>
      </c>
      <c r="N819" t="str">
        <f>VLOOKUP(Table2[[#This Row],[AgentID]],Sales_Agents!$A$1:C822,3)</f>
        <v>West</v>
      </c>
    </row>
    <row r="820" spans="1:14" x14ac:dyDescent="0.25">
      <c r="A820">
        <v>819</v>
      </c>
      <c r="B820" s="1">
        <v>45429</v>
      </c>
      <c r="C820" s="8" t="str">
        <f>TEXT(Table2[[#This Row],[OrderDate]],"mmm")</f>
        <v>May</v>
      </c>
      <c r="D820">
        <v>3</v>
      </c>
      <c r="E820">
        <v>2</v>
      </c>
      <c r="F820">
        <v>8</v>
      </c>
      <c r="G820" s="3">
        <v>198456</v>
      </c>
      <c r="H820" s="3">
        <f t="shared" si="24"/>
        <v>1587648</v>
      </c>
      <c r="I820" s="5">
        <f>Table2[[#This Row],[Total Revenue]]*0.3</f>
        <v>476294.39999999997</v>
      </c>
      <c r="J820" s="6">
        <f t="shared" si="25"/>
        <v>0.3</v>
      </c>
      <c r="K820" t="str">
        <f>VLOOKUP(Table2[[#This Row],[ProductID]],Products!$A$1:C824,2)</f>
        <v>Tablet</v>
      </c>
      <c r="L820" t="str">
        <f>VLOOKUP(D820,Products!$A$1:C824,3)</f>
        <v>Electronics</v>
      </c>
      <c r="M820" t="str">
        <f>VLOOKUP(Table2[[#This Row],[AgentID]],Sales_Agents!$A$1:C823,2)</f>
        <v>Blessing</v>
      </c>
      <c r="N820" t="str">
        <f>VLOOKUP(Table2[[#This Row],[AgentID]],Sales_Agents!$A$1:C823,3)</f>
        <v>East</v>
      </c>
    </row>
    <row r="821" spans="1:14" x14ac:dyDescent="0.25">
      <c r="A821">
        <v>820</v>
      </c>
      <c r="B821" s="1">
        <v>45527</v>
      </c>
      <c r="C821" s="8" t="str">
        <f>TEXT(Table2[[#This Row],[OrderDate]],"mmm")</f>
        <v>Aug</v>
      </c>
      <c r="D821">
        <v>3</v>
      </c>
      <c r="E821">
        <v>2</v>
      </c>
      <c r="F821">
        <v>3</v>
      </c>
      <c r="G821" s="3">
        <v>253739</v>
      </c>
      <c r="H821" s="3">
        <f t="shared" si="24"/>
        <v>761217</v>
      </c>
      <c r="I821" s="5">
        <f>Table2[[#This Row],[Total Revenue]]*0.3</f>
        <v>228365.1</v>
      </c>
      <c r="J821" s="6">
        <f t="shared" si="25"/>
        <v>0.3</v>
      </c>
      <c r="K821" t="str">
        <f>VLOOKUP(Table2[[#This Row],[ProductID]],Products!$A$1:C825,2)</f>
        <v>Tablet</v>
      </c>
      <c r="L821" t="str">
        <f>VLOOKUP(D821,Products!$A$1:C825,3)</f>
        <v>Electronics</v>
      </c>
      <c r="M821" t="str">
        <f>VLOOKUP(Table2[[#This Row],[AgentID]],Sales_Agents!$A$1:C824,2)</f>
        <v>Blessing</v>
      </c>
      <c r="N821" t="str">
        <f>VLOOKUP(Table2[[#This Row],[AgentID]],Sales_Agents!$A$1:C824,3)</f>
        <v>East</v>
      </c>
    </row>
    <row r="822" spans="1:14" x14ac:dyDescent="0.25">
      <c r="A822">
        <v>821</v>
      </c>
      <c r="B822" s="1">
        <v>45404</v>
      </c>
      <c r="C822" s="8" t="str">
        <f>TEXT(Table2[[#This Row],[OrderDate]],"mmm")</f>
        <v>Apr</v>
      </c>
      <c r="D822">
        <v>2</v>
      </c>
      <c r="E822">
        <v>1</v>
      </c>
      <c r="F822">
        <v>14</v>
      </c>
      <c r="G822" s="3">
        <v>332740</v>
      </c>
      <c r="H822" s="3">
        <f t="shared" si="24"/>
        <v>4658360</v>
      </c>
      <c r="I822" s="5">
        <f>Table2[[#This Row],[Total Revenue]]*0.3</f>
        <v>1397508</v>
      </c>
      <c r="J822" s="6">
        <f t="shared" si="25"/>
        <v>0.3</v>
      </c>
      <c r="K822" t="str">
        <f>VLOOKUP(Table2[[#This Row],[ProductID]],Products!$A$1:C826,2)</f>
        <v>Phone</v>
      </c>
      <c r="L822" t="str">
        <f>VLOOKUP(D822,Products!$A$1:C826,3)</f>
        <v>Electronics</v>
      </c>
      <c r="M822" t="str">
        <f>VLOOKUP(Table2[[#This Row],[AgentID]],Sales_Agents!$A$1:C825,2)</f>
        <v>Akin</v>
      </c>
      <c r="N822" t="str">
        <f>VLOOKUP(Table2[[#This Row],[AgentID]],Sales_Agents!$A$1:C825,3)</f>
        <v>West</v>
      </c>
    </row>
    <row r="823" spans="1:14" x14ac:dyDescent="0.25">
      <c r="A823">
        <v>822</v>
      </c>
      <c r="B823" s="1">
        <v>45643</v>
      </c>
      <c r="C823" s="8" t="str">
        <f>TEXT(Table2[[#This Row],[OrderDate]],"mmm")</f>
        <v>Dec</v>
      </c>
      <c r="D823">
        <v>1</v>
      </c>
      <c r="E823">
        <v>1</v>
      </c>
      <c r="F823">
        <v>16</v>
      </c>
      <c r="G823" s="3">
        <v>391639</v>
      </c>
      <c r="H823" s="3">
        <f t="shared" si="24"/>
        <v>6266224</v>
      </c>
      <c r="I823" s="5">
        <f>Table2[[#This Row],[Total Revenue]]*0.3</f>
        <v>1879867.2</v>
      </c>
      <c r="J823" s="6">
        <f t="shared" si="25"/>
        <v>0.3</v>
      </c>
      <c r="K823" t="str">
        <f>VLOOKUP(Table2[[#This Row],[ProductID]],Products!$A$1:C827,2)</f>
        <v>Laptop</v>
      </c>
      <c r="L823" t="str">
        <f>VLOOKUP(D823,Products!$A$1:C827,3)</f>
        <v>Electronics</v>
      </c>
      <c r="M823" t="str">
        <f>VLOOKUP(Table2[[#This Row],[AgentID]],Sales_Agents!$A$1:C826,2)</f>
        <v>Akin</v>
      </c>
      <c r="N823" t="str">
        <f>VLOOKUP(Table2[[#This Row],[AgentID]],Sales_Agents!$A$1:C826,3)</f>
        <v>West</v>
      </c>
    </row>
    <row r="824" spans="1:14" x14ac:dyDescent="0.25">
      <c r="A824">
        <v>823</v>
      </c>
      <c r="B824" s="1">
        <v>45560</v>
      </c>
      <c r="C824" s="8" t="str">
        <f>TEXT(Table2[[#This Row],[OrderDate]],"mmm")</f>
        <v>Sept</v>
      </c>
      <c r="D824">
        <v>5</v>
      </c>
      <c r="E824">
        <v>3</v>
      </c>
      <c r="F824">
        <v>16</v>
      </c>
      <c r="G824" s="3">
        <v>304380</v>
      </c>
      <c r="H824" s="3">
        <f t="shared" si="24"/>
        <v>4870080</v>
      </c>
      <c r="I824" s="5">
        <f>Table2[[#This Row],[Total Revenue]]*0.3</f>
        <v>1461024</v>
      </c>
      <c r="J824" s="6">
        <f t="shared" si="25"/>
        <v>0.3</v>
      </c>
      <c r="K824" t="str">
        <f>VLOOKUP(Table2[[#This Row],[ProductID]],Products!$A$1:C828,2)</f>
        <v>Monitor</v>
      </c>
      <c r="L824" t="str">
        <f>VLOOKUP(D824,Products!$A$1:C828,3)</f>
        <v>Accessories</v>
      </c>
      <c r="M824" t="str">
        <f>VLOOKUP(Table2[[#This Row],[AgentID]],Sales_Agents!$A$1:C827,2)</f>
        <v>Chinedu</v>
      </c>
      <c r="N824" t="str">
        <f>VLOOKUP(Table2[[#This Row],[AgentID]],Sales_Agents!$A$1:C827,3)</f>
        <v>South</v>
      </c>
    </row>
    <row r="825" spans="1:14" x14ac:dyDescent="0.25">
      <c r="A825">
        <v>824</v>
      </c>
      <c r="B825" s="1">
        <v>45353</v>
      </c>
      <c r="C825" s="8" t="str">
        <f>TEXT(Table2[[#This Row],[OrderDate]],"mmm")</f>
        <v>Mar</v>
      </c>
      <c r="D825">
        <v>3</v>
      </c>
      <c r="E825">
        <v>1</v>
      </c>
      <c r="F825">
        <v>2</v>
      </c>
      <c r="G825" s="3">
        <v>117228</v>
      </c>
      <c r="H825" s="3">
        <f t="shared" si="24"/>
        <v>234456</v>
      </c>
      <c r="I825" s="5">
        <f>Table2[[#This Row],[Total Revenue]]*0.3</f>
        <v>70336.800000000003</v>
      </c>
      <c r="J825" s="6">
        <f t="shared" si="25"/>
        <v>0.3</v>
      </c>
      <c r="K825" t="str">
        <f>VLOOKUP(Table2[[#This Row],[ProductID]],Products!$A$1:C829,2)</f>
        <v>Tablet</v>
      </c>
      <c r="L825" t="str">
        <f>VLOOKUP(D825,Products!$A$1:C829,3)</f>
        <v>Electronics</v>
      </c>
      <c r="M825" t="str">
        <f>VLOOKUP(Table2[[#This Row],[AgentID]],Sales_Agents!$A$1:C828,2)</f>
        <v>Akin</v>
      </c>
      <c r="N825" t="str">
        <f>VLOOKUP(Table2[[#This Row],[AgentID]],Sales_Agents!$A$1:C828,3)</f>
        <v>West</v>
      </c>
    </row>
    <row r="826" spans="1:14" x14ac:dyDescent="0.25">
      <c r="A826">
        <v>825</v>
      </c>
      <c r="B826" s="1">
        <v>45536</v>
      </c>
      <c r="C826" s="8" t="str">
        <f>TEXT(Table2[[#This Row],[OrderDate]],"mmm")</f>
        <v>Sept</v>
      </c>
      <c r="D826">
        <v>4</v>
      </c>
      <c r="E826">
        <v>2</v>
      </c>
      <c r="F826">
        <v>9</v>
      </c>
      <c r="G826" s="3">
        <v>212622</v>
      </c>
      <c r="H826" s="3">
        <f t="shared" si="24"/>
        <v>1913598</v>
      </c>
      <c r="I826" s="5">
        <f>Table2[[#This Row],[Total Revenue]]*0.3</f>
        <v>574079.4</v>
      </c>
      <c r="J826" s="6">
        <f t="shared" si="25"/>
        <v>0.3</v>
      </c>
      <c r="K826" t="str">
        <f>VLOOKUP(Table2[[#This Row],[ProductID]],Products!$A$1:C830,2)</f>
        <v>Printer</v>
      </c>
      <c r="L826" t="str">
        <f>VLOOKUP(D826,Products!$A$1:C830,3)</f>
        <v>Accessories</v>
      </c>
      <c r="M826" t="str">
        <f>VLOOKUP(Table2[[#This Row],[AgentID]],Sales_Agents!$A$1:C829,2)</f>
        <v>Blessing</v>
      </c>
      <c r="N826" t="str">
        <f>VLOOKUP(Table2[[#This Row],[AgentID]],Sales_Agents!$A$1:C829,3)</f>
        <v>East</v>
      </c>
    </row>
    <row r="827" spans="1:14" x14ac:dyDescent="0.25">
      <c r="A827">
        <v>826</v>
      </c>
      <c r="B827" s="1">
        <v>45452</v>
      </c>
      <c r="C827" s="8" t="str">
        <f>TEXT(Table2[[#This Row],[OrderDate]],"mmm")</f>
        <v>Jun</v>
      </c>
      <c r="D827">
        <v>2</v>
      </c>
      <c r="E827">
        <v>1</v>
      </c>
      <c r="F827">
        <v>18</v>
      </c>
      <c r="G827" s="3">
        <v>65711</v>
      </c>
      <c r="H827" s="3">
        <f t="shared" si="24"/>
        <v>1182798</v>
      </c>
      <c r="I827" s="5">
        <f>Table2[[#This Row],[Total Revenue]]*0.3</f>
        <v>354839.39999999997</v>
      </c>
      <c r="J827" s="6">
        <f t="shared" si="25"/>
        <v>0.3</v>
      </c>
      <c r="K827" t="str">
        <f>VLOOKUP(Table2[[#This Row],[ProductID]],Products!$A$1:C831,2)</f>
        <v>Phone</v>
      </c>
      <c r="L827" t="str">
        <f>VLOOKUP(D827,Products!$A$1:C831,3)</f>
        <v>Electronics</v>
      </c>
      <c r="M827" t="str">
        <f>VLOOKUP(Table2[[#This Row],[AgentID]],Sales_Agents!$A$1:C830,2)</f>
        <v>Akin</v>
      </c>
      <c r="N827" t="str">
        <f>VLOOKUP(Table2[[#This Row],[AgentID]],Sales_Agents!$A$1:C830,3)</f>
        <v>West</v>
      </c>
    </row>
    <row r="828" spans="1:14" x14ac:dyDescent="0.25">
      <c r="A828">
        <v>827</v>
      </c>
      <c r="B828" s="1">
        <v>45496</v>
      </c>
      <c r="C828" s="8" t="str">
        <f>TEXT(Table2[[#This Row],[OrderDate]],"mmm")</f>
        <v>Jul</v>
      </c>
      <c r="D828">
        <v>4</v>
      </c>
      <c r="E828">
        <v>4</v>
      </c>
      <c r="F828">
        <v>20</v>
      </c>
      <c r="G828" s="3">
        <v>273444</v>
      </c>
      <c r="H828" s="3">
        <f t="shared" si="24"/>
        <v>5468880</v>
      </c>
      <c r="I828" s="5">
        <f>Table2[[#This Row],[Total Revenue]]*0.3</f>
        <v>1640664</v>
      </c>
      <c r="J828" s="6">
        <f t="shared" si="25"/>
        <v>0.3</v>
      </c>
      <c r="K828" t="str">
        <f>VLOOKUP(Table2[[#This Row],[ProductID]],Products!$A$1:C832,2)</f>
        <v>Printer</v>
      </c>
      <c r="L828" t="str">
        <f>VLOOKUP(D828,Products!$A$1:C832,3)</f>
        <v>Accessories</v>
      </c>
      <c r="M828" t="str">
        <f>VLOOKUP(Table2[[#This Row],[AgentID]],Sales_Agents!$A$1:C831,2)</f>
        <v>Zainab</v>
      </c>
      <c r="N828" t="str">
        <f>VLOOKUP(Table2[[#This Row],[AgentID]],Sales_Agents!$A$1:C831,3)</f>
        <v>North</v>
      </c>
    </row>
    <row r="829" spans="1:14" x14ac:dyDescent="0.25">
      <c r="A829">
        <v>828</v>
      </c>
      <c r="B829" s="1">
        <v>45349</v>
      </c>
      <c r="C829" s="8" t="str">
        <f>TEXT(Table2[[#This Row],[OrderDate]],"mmm")</f>
        <v>Feb</v>
      </c>
      <c r="D829">
        <v>4</v>
      </c>
      <c r="E829">
        <v>2</v>
      </c>
      <c r="F829">
        <v>11</v>
      </c>
      <c r="G829" s="3">
        <v>278310</v>
      </c>
      <c r="H829" s="3">
        <f t="shared" si="24"/>
        <v>3061410</v>
      </c>
      <c r="I829" s="5">
        <f>Table2[[#This Row],[Total Revenue]]*0.3</f>
        <v>918423</v>
      </c>
      <c r="J829" s="6">
        <f t="shared" si="25"/>
        <v>0.3</v>
      </c>
      <c r="K829" t="str">
        <f>VLOOKUP(Table2[[#This Row],[ProductID]],Products!$A$1:C833,2)</f>
        <v>Printer</v>
      </c>
      <c r="L829" t="str">
        <f>VLOOKUP(D829,Products!$A$1:C833,3)</f>
        <v>Accessories</v>
      </c>
      <c r="M829" t="str">
        <f>VLOOKUP(Table2[[#This Row],[AgentID]],Sales_Agents!$A$1:C832,2)</f>
        <v>Blessing</v>
      </c>
      <c r="N829" t="str">
        <f>VLOOKUP(Table2[[#This Row],[AgentID]],Sales_Agents!$A$1:C832,3)</f>
        <v>East</v>
      </c>
    </row>
    <row r="830" spans="1:14" x14ac:dyDescent="0.25">
      <c r="A830">
        <v>829</v>
      </c>
      <c r="B830" s="1">
        <v>45515</v>
      </c>
      <c r="C830" s="8" t="str">
        <f>TEXT(Table2[[#This Row],[OrderDate]],"mmm")</f>
        <v>Aug</v>
      </c>
      <c r="D830">
        <v>5</v>
      </c>
      <c r="E830">
        <v>2</v>
      </c>
      <c r="F830">
        <v>7</v>
      </c>
      <c r="G830" s="3">
        <v>85391</v>
      </c>
      <c r="H830" s="3">
        <f t="shared" si="24"/>
        <v>597737</v>
      </c>
      <c r="I830" s="5">
        <f>Table2[[#This Row],[Total Revenue]]*0.3</f>
        <v>179321.1</v>
      </c>
      <c r="J830" s="6">
        <f t="shared" si="25"/>
        <v>0.3</v>
      </c>
      <c r="K830" t="str">
        <f>VLOOKUP(Table2[[#This Row],[ProductID]],Products!$A$1:C834,2)</f>
        <v>Monitor</v>
      </c>
      <c r="L830" t="str">
        <f>VLOOKUP(D830,Products!$A$1:C834,3)</f>
        <v>Accessories</v>
      </c>
      <c r="M830" t="str">
        <f>VLOOKUP(Table2[[#This Row],[AgentID]],Sales_Agents!$A$1:C833,2)</f>
        <v>Blessing</v>
      </c>
      <c r="N830" t="str">
        <f>VLOOKUP(Table2[[#This Row],[AgentID]],Sales_Agents!$A$1:C833,3)</f>
        <v>East</v>
      </c>
    </row>
    <row r="831" spans="1:14" x14ac:dyDescent="0.25">
      <c r="A831">
        <v>830</v>
      </c>
      <c r="B831" s="1">
        <v>45592</v>
      </c>
      <c r="C831" s="8" t="str">
        <f>TEXT(Table2[[#This Row],[OrderDate]],"mmm")</f>
        <v>Oct</v>
      </c>
      <c r="D831">
        <v>5</v>
      </c>
      <c r="E831">
        <v>3</v>
      </c>
      <c r="F831">
        <v>19</v>
      </c>
      <c r="G831" s="3">
        <v>299874</v>
      </c>
      <c r="H831" s="3">
        <f t="shared" si="24"/>
        <v>5697606</v>
      </c>
      <c r="I831" s="5">
        <f>Table2[[#This Row],[Total Revenue]]*0.3</f>
        <v>1709281.8</v>
      </c>
      <c r="J831" s="6">
        <f t="shared" si="25"/>
        <v>0.3</v>
      </c>
      <c r="K831" t="str">
        <f>VLOOKUP(Table2[[#This Row],[ProductID]],Products!$A$1:C835,2)</f>
        <v>Monitor</v>
      </c>
      <c r="L831" t="str">
        <f>VLOOKUP(D831,Products!$A$1:C835,3)</f>
        <v>Accessories</v>
      </c>
      <c r="M831" t="str">
        <f>VLOOKUP(Table2[[#This Row],[AgentID]],Sales_Agents!$A$1:C834,2)</f>
        <v>Chinedu</v>
      </c>
      <c r="N831" t="str">
        <f>VLOOKUP(Table2[[#This Row],[AgentID]],Sales_Agents!$A$1:C834,3)</f>
        <v>South</v>
      </c>
    </row>
    <row r="832" spans="1:14" x14ac:dyDescent="0.25">
      <c r="A832">
        <v>831</v>
      </c>
      <c r="B832" s="1">
        <v>45350</v>
      </c>
      <c r="C832" s="8" t="str">
        <f>TEXT(Table2[[#This Row],[OrderDate]],"mmm")</f>
        <v>Feb</v>
      </c>
      <c r="D832">
        <v>2</v>
      </c>
      <c r="E832">
        <v>1</v>
      </c>
      <c r="F832">
        <v>16</v>
      </c>
      <c r="G832" s="3">
        <v>58616</v>
      </c>
      <c r="H832" s="3">
        <f t="shared" si="24"/>
        <v>937856</v>
      </c>
      <c r="I832" s="5">
        <f>Table2[[#This Row],[Total Revenue]]*0.3</f>
        <v>281356.79999999999</v>
      </c>
      <c r="J832" s="6">
        <f t="shared" si="25"/>
        <v>0.3</v>
      </c>
      <c r="K832" t="str">
        <f>VLOOKUP(Table2[[#This Row],[ProductID]],Products!$A$1:C836,2)</f>
        <v>Phone</v>
      </c>
      <c r="L832" t="str">
        <f>VLOOKUP(D832,Products!$A$1:C836,3)</f>
        <v>Electronics</v>
      </c>
      <c r="M832" t="str">
        <f>VLOOKUP(Table2[[#This Row],[AgentID]],Sales_Agents!$A$1:C835,2)</f>
        <v>Akin</v>
      </c>
      <c r="N832" t="str">
        <f>VLOOKUP(Table2[[#This Row],[AgentID]],Sales_Agents!$A$1:C835,3)</f>
        <v>West</v>
      </c>
    </row>
    <row r="833" spans="1:14" x14ac:dyDescent="0.25">
      <c r="A833">
        <v>832</v>
      </c>
      <c r="B833" s="1">
        <v>45420</v>
      </c>
      <c r="C833" s="8" t="str">
        <f>TEXT(Table2[[#This Row],[OrderDate]],"mmm")</f>
        <v>May</v>
      </c>
      <c r="D833">
        <v>2</v>
      </c>
      <c r="E833">
        <v>4</v>
      </c>
      <c r="F833">
        <v>18</v>
      </c>
      <c r="G833" s="3">
        <v>340570</v>
      </c>
      <c r="H833" s="3">
        <f t="shared" si="24"/>
        <v>6130260</v>
      </c>
      <c r="I833" s="5">
        <f>Table2[[#This Row],[Total Revenue]]*0.3</f>
        <v>1839078</v>
      </c>
      <c r="J833" s="6">
        <f t="shared" si="25"/>
        <v>0.3</v>
      </c>
      <c r="K833" t="str">
        <f>VLOOKUP(Table2[[#This Row],[ProductID]],Products!$A$1:C837,2)</f>
        <v>Phone</v>
      </c>
      <c r="L833" t="str">
        <f>VLOOKUP(D833,Products!$A$1:C837,3)</f>
        <v>Electronics</v>
      </c>
      <c r="M833" t="str">
        <f>VLOOKUP(Table2[[#This Row],[AgentID]],Sales_Agents!$A$1:C836,2)</f>
        <v>Zainab</v>
      </c>
      <c r="N833" t="str">
        <f>VLOOKUP(Table2[[#This Row],[AgentID]],Sales_Agents!$A$1:C836,3)</f>
        <v>North</v>
      </c>
    </row>
    <row r="834" spans="1:14" x14ac:dyDescent="0.25">
      <c r="A834">
        <v>833</v>
      </c>
      <c r="B834" s="1">
        <v>45398</v>
      </c>
      <c r="C834" s="8" t="str">
        <f>TEXT(Table2[[#This Row],[OrderDate]],"mmm")</f>
        <v>Apr</v>
      </c>
      <c r="D834">
        <v>2</v>
      </c>
      <c r="E834">
        <v>3</v>
      </c>
      <c r="F834">
        <v>7</v>
      </c>
      <c r="G834" s="3">
        <v>136259</v>
      </c>
      <c r="H834" s="3">
        <f t="shared" ref="H834:H897" si="26">G834*F834</f>
        <v>953813</v>
      </c>
      <c r="I834" s="5">
        <f>Table2[[#This Row],[Total Revenue]]*0.3</f>
        <v>286143.89999999997</v>
      </c>
      <c r="J834" s="6">
        <f t="shared" ref="J834:J897" si="27">I834/H834</f>
        <v>0.3</v>
      </c>
      <c r="K834" t="str">
        <f>VLOOKUP(Table2[[#This Row],[ProductID]],Products!$A$1:C838,2)</f>
        <v>Phone</v>
      </c>
      <c r="L834" t="str">
        <f>VLOOKUP(D834,Products!$A$1:C838,3)</f>
        <v>Electronics</v>
      </c>
      <c r="M834" t="str">
        <f>VLOOKUP(Table2[[#This Row],[AgentID]],Sales_Agents!$A$1:C837,2)</f>
        <v>Chinedu</v>
      </c>
      <c r="N834" t="str">
        <f>VLOOKUP(Table2[[#This Row],[AgentID]],Sales_Agents!$A$1:C837,3)</f>
        <v>South</v>
      </c>
    </row>
    <row r="835" spans="1:14" x14ac:dyDescent="0.25">
      <c r="A835">
        <v>834</v>
      </c>
      <c r="B835" s="1">
        <v>45309</v>
      </c>
      <c r="C835" s="8" t="str">
        <f>TEXT(Table2[[#This Row],[OrderDate]],"mmm")</f>
        <v>Jan</v>
      </c>
      <c r="D835">
        <v>1</v>
      </c>
      <c r="E835">
        <v>2</v>
      </c>
      <c r="F835">
        <v>1</v>
      </c>
      <c r="G835" s="3">
        <v>378602</v>
      </c>
      <c r="H835" s="3">
        <f t="shared" si="26"/>
        <v>378602</v>
      </c>
      <c r="I835" s="5">
        <f>Table2[[#This Row],[Total Revenue]]*0.3</f>
        <v>113580.59999999999</v>
      </c>
      <c r="J835" s="6">
        <f t="shared" si="27"/>
        <v>0.3</v>
      </c>
      <c r="K835" t="str">
        <f>VLOOKUP(Table2[[#This Row],[ProductID]],Products!$A$1:C839,2)</f>
        <v>Laptop</v>
      </c>
      <c r="L835" t="str">
        <f>VLOOKUP(D835,Products!$A$1:C839,3)</f>
        <v>Electronics</v>
      </c>
      <c r="M835" t="str">
        <f>VLOOKUP(Table2[[#This Row],[AgentID]],Sales_Agents!$A$1:C838,2)</f>
        <v>Blessing</v>
      </c>
      <c r="N835" t="str">
        <f>VLOOKUP(Table2[[#This Row],[AgentID]],Sales_Agents!$A$1:C838,3)</f>
        <v>East</v>
      </c>
    </row>
    <row r="836" spans="1:14" x14ac:dyDescent="0.25">
      <c r="A836">
        <v>835</v>
      </c>
      <c r="B836" s="1">
        <v>45484</v>
      </c>
      <c r="C836" s="8" t="str">
        <f>TEXT(Table2[[#This Row],[OrderDate]],"mmm")</f>
        <v>Jul</v>
      </c>
      <c r="D836">
        <v>1</v>
      </c>
      <c r="E836">
        <v>1</v>
      </c>
      <c r="F836">
        <v>20</v>
      </c>
      <c r="G836" s="3">
        <v>188455</v>
      </c>
      <c r="H836" s="3">
        <f t="shared" si="26"/>
        <v>3769100</v>
      </c>
      <c r="I836" s="5">
        <f>Table2[[#This Row],[Total Revenue]]*0.3</f>
        <v>1130730</v>
      </c>
      <c r="J836" s="6">
        <f t="shared" si="27"/>
        <v>0.3</v>
      </c>
      <c r="K836" t="str">
        <f>VLOOKUP(Table2[[#This Row],[ProductID]],Products!$A$1:C840,2)</f>
        <v>Laptop</v>
      </c>
      <c r="L836" t="str">
        <f>VLOOKUP(D836,Products!$A$1:C840,3)</f>
        <v>Electronics</v>
      </c>
      <c r="M836" t="str">
        <f>VLOOKUP(Table2[[#This Row],[AgentID]],Sales_Agents!$A$1:C839,2)</f>
        <v>Akin</v>
      </c>
      <c r="N836" t="str">
        <f>VLOOKUP(Table2[[#This Row],[AgentID]],Sales_Agents!$A$1:C839,3)</f>
        <v>West</v>
      </c>
    </row>
    <row r="837" spans="1:14" x14ac:dyDescent="0.25">
      <c r="A837">
        <v>836</v>
      </c>
      <c r="B837" s="1">
        <v>45522</v>
      </c>
      <c r="C837" s="8" t="str">
        <f>TEXT(Table2[[#This Row],[OrderDate]],"mmm")</f>
        <v>Aug</v>
      </c>
      <c r="D837">
        <v>1</v>
      </c>
      <c r="E837">
        <v>3</v>
      </c>
      <c r="F837">
        <v>15</v>
      </c>
      <c r="G837" s="3">
        <v>163795</v>
      </c>
      <c r="H837" s="3">
        <f t="shared" si="26"/>
        <v>2456925</v>
      </c>
      <c r="I837" s="5">
        <f>Table2[[#This Row],[Total Revenue]]*0.3</f>
        <v>737077.5</v>
      </c>
      <c r="J837" s="6">
        <f t="shared" si="27"/>
        <v>0.3</v>
      </c>
      <c r="K837" t="str">
        <f>VLOOKUP(Table2[[#This Row],[ProductID]],Products!$A$1:C841,2)</f>
        <v>Laptop</v>
      </c>
      <c r="L837" t="str">
        <f>VLOOKUP(D837,Products!$A$1:C841,3)</f>
        <v>Electronics</v>
      </c>
      <c r="M837" t="str">
        <f>VLOOKUP(Table2[[#This Row],[AgentID]],Sales_Agents!$A$1:C840,2)</f>
        <v>Chinedu</v>
      </c>
      <c r="N837" t="str">
        <f>VLOOKUP(Table2[[#This Row],[AgentID]],Sales_Agents!$A$1:C840,3)</f>
        <v>South</v>
      </c>
    </row>
    <row r="838" spans="1:14" x14ac:dyDescent="0.25">
      <c r="A838">
        <v>837</v>
      </c>
      <c r="B838" s="1">
        <v>45617</v>
      </c>
      <c r="C838" s="8" t="str">
        <f>TEXT(Table2[[#This Row],[OrderDate]],"mmm")</f>
        <v>Nov</v>
      </c>
      <c r="D838">
        <v>4</v>
      </c>
      <c r="E838">
        <v>2</v>
      </c>
      <c r="F838">
        <v>10</v>
      </c>
      <c r="G838" s="3">
        <v>373561</v>
      </c>
      <c r="H838" s="3">
        <f t="shared" si="26"/>
        <v>3735610</v>
      </c>
      <c r="I838" s="5">
        <f>Table2[[#This Row],[Total Revenue]]*0.3</f>
        <v>1120683</v>
      </c>
      <c r="J838" s="6">
        <f t="shared" si="27"/>
        <v>0.3</v>
      </c>
      <c r="K838" t="str">
        <f>VLOOKUP(Table2[[#This Row],[ProductID]],Products!$A$1:C842,2)</f>
        <v>Printer</v>
      </c>
      <c r="L838" t="str">
        <f>VLOOKUP(D838,Products!$A$1:C842,3)</f>
        <v>Accessories</v>
      </c>
      <c r="M838" t="str">
        <f>VLOOKUP(Table2[[#This Row],[AgentID]],Sales_Agents!$A$1:C841,2)</f>
        <v>Blessing</v>
      </c>
      <c r="N838" t="str">
        <f>VLOOKUP(Table2[[#This Row],[AgentID]],Sales_Agents!$A$1:C841,3)</f>
        <v>East</v>
      </c>
    </row>
    <row r="839" spans="1:14" x14ac:dyDescent="0.25">
      <c r="A839">
        <v>838</v>
      </c>
      <c r="B839" s="1">
        <v>45566</v>
      </c>
      <c r="C839" s="8" t="str">
        <f>TEXT(Table2[[#This Row],[OrderDate]],"mmm")</f>
        <v>Oct</v>
      </c>
      <c r="D839">
        <v>1</v>
      </c>
      <c r="E839">
        <v>1</v>
      </c>
      <c r="F839">
        <v>12</v>
      </c>
      <c r="G839" s="3">
        <v>177991</v>
      </c>
      <c r="H839" s="3">
        <f t="shared" si="26"/>
        <v>2135892</v>
      </c>
      <c r="I839" s="5">
        <f>Table2[[#This Row],[Total Revenue]]*0.3</f>
        <v>640767.6</v>
      </c>
      <c r="J839" s="6">
        <f t="shared" si="27"/>
        <v>0.3</v>
      </c>
      <c r="K839" t="str">
        <f>VLOOKUP(Table2[[#This Row],[ProductID]],Products!$A$1:C843,2)</f>
        <v>Laptop</v>
      </c>
      <c r="L839" t="str">
        <f>VLOOKUP(D839,Products!$A$1:C843,3)</f>
        <v>Electronics</v>
      </c>
      <c r="M839" t="str">
        <f>VLOOKUP(Table2[[#This Row],[AgentID]],Sales_Agents!$A$1:C842,2)</f>
        <v>Akin</v>
      </c>
      <c r="N839" t="str">
        <f>VLOOKUP(Table2[[#This Row],[AgentID]],Sales_Agents!$A$1:C842,3)</f>
        <v>West</v>
      </c>
    </row>
    <row r="840" spans="1:14" x14ac:dyDescent="0.25">
      <c r="A840">
        <v>839</v>
      </c>
      <c r="B840" s="1">
        <v>45595</v>
      </c>
      <c r="C840" s="8" t="str">
        <f>TEXT(Table2[[#This Row],[OrderDate]],"mmm")</f>
        <v>Oct</v>
      </c>
      <c r="D840">
        <v>4</v>
      </c>
      <c r="E840">
        <v>4</v>
      </c>
      <c r="F840">
        <v>9</v>
      </c>
      <c r="G840" s="3">
        <v>158661</v>
      </c>
      <c r="H840" s="3">
        <f t="shared" si="26"/>
        <v>1427949</v>
      </c>
      <c r="I840" s="5">
        <f>Table2[[#This Row],[Total Revenue]]*0.3</f>
        <v>428384.7</v>
      </c>
      <c r="J840" s="6">
        <f t="shared" si="27"/>
        <v>0.3</v>
      </c>
      <c r="K840" t="str">
        <f>VLOOKUP(Table2[[#This Row],[ProductID]],Products!$A$1:C844,2)</f>
        <v>Printer</v>
      </c>
      <c r="L840" t="str">
        <f>VLOOKUP(D840,Products!$A$1:C844,3)</f>
        <v>Accessories</v>
      </c>
      <c r="M840" t="str">
        <f>VLOOKUP(Table2[[#This Row],[AgentID]],Sales_Agents!$A$1:C843,2)</f>
        <v>Zainab</v>
      </c>
      <c r="N840" t="str">
        <f>VLOOKUP(Table2[[#This Row],[AgentID]],Sales_Agents!$A$1:C843,3)</f>
        <v>North</v>
      </c>
    </row>
    <row r="841" spans="1:14" x14ac:dyDescent="0.25">
      <c r="A841">
        <v>840</v>
      </c>
      <c r="B841" s="1">
        <v>45478</v>
      </c>
      <c r="C841" s="8" t="str">
        <f>TEXT(Table2[[#This Row],[OrderDate]],"mmm")</f>
        <v>Jul</v>
      </c>
      <c r="D841">
        <v>4</v>
      </c>
      <c r="E841">
        <v>1</v>
      </c>
      <c r="F841">
        <v>4</v>
      </c>
      <c r="G841" s="3">
        <v>369595</v>
      </c>
      <c r="H841" s="3">
        <f t="shared" si="26"/>
        <v>1478380</v>
      </c>
      <c r="I841" s="5">
        <f>Table2[[#This Row],[Total Revenue]]*0.3</f>
        <v>443514</v>
      </c>
      <c r="J841" s="6">
        <f t="shared" si="27"/>
        <v>0.3</v>
      </c>
      <c r="K841" t="str">
        <f>VLOOKUP(Table2[[#This Row],[ProductID]],Products!$A$1:C845,2)</f>
        <v>Printer</v>
      </c>
      <c r="L841" t="str">
        <f>VLOOKUP(D841,Products!$A$1:C845,3)</f>
        <v>Accessories</v>
      </c>
      <c r="M841" t="str">
        <f>VLOOKUP(Table2[[#This Row],[AgentID]],Sales_Agents!$A$1:C844,2)</f>
        <v>Akin</v>
      </c>
      <c r="N841" t="str">
        <f>VLOOKUP(Table2[[#This Row],[AgentID]],Sales_Agents!$A$1:C844,3)</f>
        <v>West</v>
      </c>
    </row>
    <row r="842" spans="1:14" x14ac:dyDescent="0.25">
      <c r="A842">
        <v>841</v>
      </c>
      <c r="B842" s="1">
        <v>45337</v>
      </c>
      <c r="C842" s="8" t="str">
        <f>TEXT(Table2[[#This Row],[OrderDate]],"mmm")</f>
        <v>Feb</v>
      </c>
      <c r="D842">
        <v>5</v>
      </c>
      <c r="E842">
        <v>2</v>
      </c>
      <c r="F842">
        <v>6</v>
      </c>
      <c r="G842" s="3">
        <v>129001</v>
      </c>
      <c r="H842" s="3">
        <f t="shared" si="26"/>
        <v>774006</v>
      </c>
      <c r="I842" s="5">
        <f>Table2[[#This Row],[Total Revenue]]*0.3</f>
        <v>232201.8</v>
      </c>
      <c r="J842" s="6">
        <f t="shared" si="27"/>
        <v>0.3</v>
      </c>
      <c r="K842" t="str">
        <f>VLOOKUP(Table2[[#This Row],[ProductID]],Products!$A$1:C846,2)</f>
        <v>Monitor</v>
      </c>
      <c r="L842" t="str">
        <f>VLOOKUP(D842,Products!$A$1:C846,3)</f>
        <v>Accessories</v>
      </c>
      <c r="M842" t="str">
        <f>VLOOKUP(Table2[[#This Row],[AgentID]],Sales_Agents!$A$1:C845,2)</f>
        <v>Blessing</v>
      </c>
      <c r="N842" t="str">
        <f>VLOOKUP(Table2[[#This Row],[AgentID]],Sales_Agents!$A$1:C845,3)</f>
        <v>East</v>
      </c>
    </row>
    <row r="843" spans="1:14" x14ac:dyDescent="0.25">
      <c r="A843">
        <v>842</v>
      </c>
      <c r="B843" s="1">
        <v>45465</v>
      </c>
      <c r="C843" s="8" t="str">
        <f>TEXT(Table2[[#This Row],[OrderDate]],"mmm")</f>
        <v>Jun</v>
      </c>
      <c r="D843">
        <v>4</v>
      </c>
      <c r="E843">
        <v>1</v>
      </c>
      <c r="F843">
        <v>15</v>
      </c>
      <c r="G843" s="3">
        <v>259369</v>
      </c>
      <c r="H843" s="3">
        <f t="shared" si="26"/>
        <v>3890535</v>
      </c>
      <c r="I843" s="5">
        <f>Table2[[#This Row],[Total Revenue]]*0.3</f>
        <v>1167160.5</v>
      </c>
      <c r="J843" s="6">
        <f t="shared" si="27"/>
        <v>0.3</v>
      </c>
      <c r="K843" t="str">
        <f>VLOOKUP(Table2[[#This Row],[ProductID]],Products!$A$1:C847,2)</f>
        <v>Printer</v>
      </c>
      <c r="L843" t="str">
        <f>VLOOKUP(D843,Products!$A$1:C847,3)</f>
        <v>Accessories</v>
      </c>
      <c r="M843" t="str">
        <f>VLOOKUP(Table2[[#This Row],[AgentID]],Sales_Agents!$A$1:C846,2)</f>
        <v>Akin</v>
      </c>
      <c r="N843" t="str">
        <f>VLOOKUP(Table2[[#This Row],[AgentID]],Sales_Agents!$A$1:C846,3)</f>
        <v>West</v>
      </c>
    </row>
    <row r="844" spans="1:14" x14ac:dyDescent="0.25">
      <c r="A844">
        <v>843</v>
      </c>
      <c r="B844" s="1">
        <v>45299</v>
      </c>
      <c r="C844" s="8" t="str">
        <f>TEXT(Table2[[#This Row],[OrderDate]],"mmm")</f>
        <v>Jan</v>
      </c>
      <c r="D844">
        <v>3</v>
      </c>
      <c r="E844">
        <v>3</v>
      </c>
      <c r="F844">
        <v>11</v>
      </c>
      <c r="G844" s="3">
        <v>156063</v>
      </c>
      <c r="H844" s="3">
        <f t="shared" si="26"/>
        <v>1716693</v>
      </c>
      <c r="I844" s="5">
        <f>Table2[[#This Row],[Total Revenue]]*0.3</f>
        <v>515007.89999999997</v>
      </c>
      <c r="J844" s="6">
        <f t="shared" si="27"/>
        <v>0.3</v>
      </c>
      <c r="K844" t="str">
        <f>VLOOKUP(Table2[[#This Row],[ProductID]],Products!$A$1:C848,2)</f>
        <v>Tablet</v>
      </c>
      <c r="L844" t="str">
        <f>VLOOKUP(D844,Products!$A$1:C848,3)</f>
        <v>Electronics</v>
      </c>
      <c r="M844" t="str">
        <f>VLOOKUP(Table2[[#This Row],[AgentID]],Sales_Agents!$A$1:C847,2)</f>
        <v>Chinedu</v>
      </c>
      <c r="N844" t="str">
        <f>VLOOKUP(Table2[[#This Row],[AgentID]],Sales_Agents!$A$1:C847,3)</f>
        <v>South</v>
      </c>
    </row>
    <row r="845" spans="1:14" x14ac:dyDescent="0.25">
      <c r="A845">
        <v>844</v>
      </c>
      <c r="B845" s="1">
        <v>45308</v>
      </c>
      <c r="C845" s="8" t="str">
        <f>TEXT(Table2[[#This Row],[OrderDate]],"mmm")</f>
        <v>Jan</v>
      </c>
      <c r="D845">
        <v>3</v>
      </c>
      <c r="E845">
        <v>3</v>
      </c>
      <c r="F845">
        <v>9</v>
      </c>
      <c r="G845" s="3">
        <v>174641</v>
      </c>
      <c r="H845" s="3">
        <f t="shared" si="26"/>
        <v>1571769</v>
      </c>
      <c r="I845" s="5">
        <f>Table2[[#This Row],[Total Revenue]]*0.3</f>
        <v>471530.69999999995</v>
      </c>
      <c r="J845" s="6">
        <f t="shared" si="27"/>
        <v>0.3</v>
      </c>
      <c r="K845" t="str">
        <f>VLOOKUP(Table2[[#This Row],[ProductID]],Products!$A$1:C849,2)</f>
        <v>Tablet</v>
      </c>
      <c r="L845" t="str">
        <f>VLOOKUP(D845,Products!$A$1:C849,3)</f>
        <v>Electronics</v>
      </c>
      <c r="M845" t="str">
        <f>VLOOKUP(Table2[[#This Row],[AgentID]],Sales_Agents!$A$1:C848,2)</f>
        <v>Chinedu</v>
      </c>
      <c r="N845" t="str">
        <f>VLOOKUP(Table2[[#This Row],[AgentID]],Sales_Agents!$A$1:C848,3)</f>
        <v>South</v>
      </c>
    </row>
    <row r="846" spans="1:14" x14ac:dyDescent="0.25">
      <c r="A846">
        <v>845</v>
      </c>
      <c r="B846" s="1">
        <v>45341</v>
      </c>
      <c r="C846" s="8" t="str">
        <f>TEXT(Table2[[#This Row],[OrderDate]],"mmm")</f>
        <v>Feb</v>
      </c>
      <c r="D846">
        <v>3</v>
      </c>
      <c r="E846">
        <v>4</v>
      </c>
      <c r="F846">
        <v>18</v>
      </c>
      <c r="G846" s="3">
        <v>321940</v>
      </c>
      <c r="H846" s="3">
        <f t="shared" si="26"/>
        <v>5794920</v>
      </c>
      <c r="I846" s="5">
        <f>Table2[[#This Row],[Total Revenue]]*0.3</f>
        <v>1738476</v>
      </c>
      <c r="J846" s="6">
        <f t="shared" si="27"/>
        <v>0.3</v>
      </c>
      <c r="K846" t="str">
        <f>VLOOKUP(Table2[[#This Row],[ProductID]],Products!$A$1:C850,2)</f>
        <v>Tablet</v>
      </c>
      <c r="L846" t="str">
        <f>VLOOKUP(D846,Products!$A$1:C850,3)</f>
        <v>Electronics</v>
      </c>
      <c r="M846" t="str">
        <f>VLOOKUP(Table2[[#This Row],[AgentID]],Sales_Agents!$A$1:C849,2)</f>
        <v>Zainab</v>
      </c>
      <c r="N846" t="str">
        <f>VLOOKUP(Table2[[#This Row],[AgentID]],Sales_Agents!$A$1:C849,3)</f>
        <v>North</v>
      </c>
    </row>
    <row r="847" spans="1:14" x14ac:dyDescent="0.25">
      <c r="A847">
        <v>846</v>
      </c>
      <c r="B847" s="1">
        <v>45588</v>
      </c>
      <c r="C847" s="8" t="str">
        <f>TEXT(Table2[[#This Row],[OrderDate]],"mmm")</f>
        <v>Oct</v>
      </c>
      <c r="D847">
        <v>2</v>
      </c>
      <c r="E847">
        <v>2</v>
      </c>
      <c r="F847">
        <v>4</v>
      </c>
      <c r="G847" s="3">
        <v>156864</v>
      </c>
      <c r="H847" s="3">
        <f t="shared" si="26"/>
        <v>627456</v>
      </c>
      <c r="I847" s="5">
        <f>Table2[[#This Row],[Total Revenue]]*0.3</f>
        <v>188236.79999999999</v>
      </c>
      <c r="J847" s="6">
        <f t="shared" si="27"/>
        <v>0.3</v>
      </c>
      <c r="K847" t="str">
        <f>VLOOKUP(Table2[[#This Row],[ProductID]],Products!$A$1:C851,2)</f>
        <v>Phone</v>
      </c>
      <c r="L847" t="str">
        <f>VLOOKUP(D847,Products!$A$1:C851,3)</f>
        <v>Electronics</v>
      </c>
      <c r="M847" t="str">
        <f>VLOOKUP(Table2[[#This Row],[AgentID]],Sales_Agents!$A$1:C850,2)</f>
        <v>Blessing</v>
      </c>
      <c r="N847" t="str">
        <f>VLOOKUP(Table2[[#This Row],[AgentID]],Sales_Agents!$A$1:C850,3)</f>
        <v>East</v>
      </c>
    </row>
    <row r="848" spans="1:14" x14ac:dyDescent="0.25">
      <c r="A848">
        <v>847</v>
      </c>
      <c r="B848" s="1">
        <v>45397</v>
      </c>
      <c r="C848" s="8" t="str">
        <f>TEXT(Table2[[#This Row],[OrderDate]],"mmm")</f>
        <v>Apr</v>
      </c>
      <c r="D848">
        <v>1</v>
      </c>
      <c r="E848">
        <v>3</v>
      </c>
      <c r="F848">
        <v>20</v>
      </c>
      <c r="G848" s="3">
        <v>376702</v>
      </c>
      <c r="H848" s="3">
        <f t="shared" si="26"/>
        <v>7534040</v>
      </c>
      <c r="I848" s="5">
        <f>Table2[[#This Row],[Total Revenue]]*0.3</f>
        <v>2260212</v>
      </c>
      <c r="J848" s="6">
        <f t="shared" si="27"/>
        <v>0.3</v>
      </c>
      <c r="K848" t="str">
        <f>VLOOKUP(Table2[[#This Row],[ProductID]],Products!$A$1:C852,2)</f>
        <v>Laptop</v>
      </c>
      <c r="L848" t="str">
        <f>VLOOKUP(D848,Products!$A$1:C852,3)</f>
        <v>Electronics</v>
      </c>
      <c r="M848" t="str">
        <f>VLOOKUP(Table2[[#This Row],[AgentID]],Sales_Agents!$A$1:C851,2)</f>
        <v>Chinedu</v>
      </c>
      <c r="N848" t="str">
        <f>VLOOKUP(Table2[[#This Row],[AgentID]],Sales_Agents!$A$1:C851,3)</f>
        <v>South</v>
      </c>
    </row>
    <row r="849" spans="1:14" x14ac:dyDescent="0.25">
      <c r="A849">
        <v>848</v>
      </c>
      <c r="B849" s="1">
        <v>45412</v>
      </c>
      <c r="C849" s="8" t="str">
        <f>TEXT(Table2[[#This Row],[OrderDate]],"mmm")</f>
        <v>Apr</v>
      </c>
      <c r="D849">
        <v>3</v>
      </c>
      <c r="E849">
        <v>3</v>
      </c>
      <c r="F849">
        <v>14</v>
      </c>
      <c r="G849" s="3">
        <v>379790</v>
      </c>
      <c r="H849" s="3">
        <f t="shared" si="26"/>
        <v>5317060</v>
      </c>
      <c r="I849" s="5">
        <f>Table2[[#This Row],[Total Revenue]]*0.3</f>
        <v>1595118</v>
      </c>
      <c r="J849" s="6">
        <f t="shared" si="27"/>
        <v>0.3</v>
      </c>
      <c r="K849" t="str">
        <f>VLOOKUP(Table2[[#This Row],[ProductID]],Products!$A$1:C853,2)</f>
        <v>Tablet</v>
      </c>
      <c r="L849" t="str">
        <f>VLOOKUP(D849,Products!$A$1:C853,3)</f>
        <v>Electronics</v>
      </c>
      <c r="M849" t="str">
        <f>VLOOKUP(Table2[[#This Row],[AgentID]],Sales_Agents!$A$1:C852,2)</f>
        <v>Chinedu</v>
      </c>
      <c r="N849" t="str">
        <f>VLOOKUP(Table2[[#This Row],[AgentID]],Sales_Agents!$A$1:C852,3)</f>
        <v>South</v>
      </c>
    </row>
    <row r="850" spans="1:14" x14ac:dyDescent="0.25">
      <c r="A850">
        <v>849</v>
      </c>
      <c r="B850" s="1">
        <v>45574</v>
      </c>
      <c r="C850" s="8" t="str">
        <f>TEXT(Table2[[#This Row],[OrderDate]],"mmm")</f>
        <v>Oct</v>
      </c>
      <c r="D850">
        <v>3</v>
      </c>
      <c r="E850">
        <v>2</v>
      </c>
      <c r="F850">
        <v>2</v>
      </c>
      <c r="G850" s="3">
        <v>136163</v>
      </c>
      <c r="H850" s="3">
        <f t="shared" si="26"/>
        <v>272326</v>
      </c>
      <c r="I850" s="5">
        <f>Table2[[#This Row],[Total Revenue]]*0.3</f>
        <v>81697.8</v>
      </c>
      <c r="J850" s="6">
        <f t="shared" si="27"/>
        <v>0.3</v>
      </c>
      <c r="K850" t="str">
        <f>VLOOKUP(Table2[[#This Row],[ProductID]],Products!$A$1:C854,2)</f>
        <v>Tablet</v>
      </c>
      <c r="L850" t="str">
        <f>VLOOKUP(D850,Products!$A$1:C854,3)</f>
        <v>Electronics</v>
      </c>
      <c r="M850" t="str">
        <f>VLOOKUP(Table2[[#This Row],[AgentID]],Sales_Agents!$A$1:C853,2)</f>
        <v>Blessing</v>
      </c>
      <c r="N850" t="str">
        <f>VLOOKUP(Table2[[#This Row],[AgentID]],Sales_Agents!$A$1:C853,3)</f>
        <v>East</v>
      </c>
    </row>
    <row r="851" spans="1:14" x14ac:dyDescent="0.25">
      <c r="A851">
        <v>850</v>
      </c>
      <c r="B851" s="1">
        <v>45592</v>
      </c>
      <c r="C851" s="8" t="str">
        <f>TEXT(Table2[[#This Row],[OrderDate]],"mmm")</f>
        <v>Oct</v>
      </c>
      <c r="D851">
        <v>5</v>
      </c>
      <c r="E851">
        <v>2</v>
      </c>
      <c r="F851">
        <v>1</v>
      </c>
      <c r="G851" s="3">
        <v>321645</v>
      </c>
      <c r="H851" s="3">
        <f t="shared" si="26"/>
        <v>321645</v>
      </c>
      <c r="I851" s="5">
        <f>Table2[[#This Row],[Total Revenue]]*0.3</f>
        <v>96493.5</v>
      </c>
      <c r="J851" s="6">
        <f t="shared" si="27"/>
        <v>0.3</v>
      </c>
      <c r="K851" t="str">
        <f>VLOOKUP(Table2[[#This Row],[ProductID]],Products!$A$1:C855,2)</f>
        <v>Monitor</v>
      </c>
      <c r="L851" t="str">
        <f>VLOOKUP(D851,Products!$A$1:C855,3)</f>
        <v>Accessories</v>
      </c>
      <c r="M851" t="str">
        <f>VLOOKUP(Table2[[#This Row],[AgentID]],Sales_Agents!$A$1:C854,2)</f>
        <v>Blessing</v>
      </c>
      <c r="N851" t="str">
        <f>VLOOKUP(Table2[[#This Row],[AgentID]],Sales_Agents!$A$1:C854,3)</f>
        <v>East</v>
      </c>
    </row>
    <row r="852" spans="1:14" x14ac:dyDescent="0.25">
      <c r="A852">
        <v>851</v>
      </c>
      <c r="B852" s="1">
        <v>45301</v>
      </c>
      <c r="C852" s="8" t="str">
        <f>TEXT(Table2[[#This Row],[OrderDate]],"mmm")</f>
        <v>Jan</v>
      </c>
      <c r="D852">
        <v>5</v>
      </c>
      <c r="E852">
        <v>1</v>
      </c>
      <c r="F852">
        <v>10</v>
      </c>
      <c r="G852" s="3">
        <v>83344</v>
      </c>
      <c r="H852" s="3">
        <f t="shared" si="26"/>
        <v>833440</v>
      </c>
      <c r="I852" s="5">
        <f>Table2[[#This Row],[Total Revenue]]*0.3</f>
        <v>250032</v>
      </c>
      <c r="J852" s="6">
        <f t="shared" si="27"/>
        <v>0.3</v>
      </c>
      <c r="K852" t="str">
        <f>VLOOKUP(Table2[[#This Row],[ProductID]],Products!$A$1:C856,2)</f>
        <v>Monitor</v>
      </c>
      <c r="L852" t="str">
        <f>VLOOKUP(D852,Products!$A$1:C856,3)</f>
        <v>Accessories</v>
      </c>
      <c r="M852" t="str">
        <f>VLOOKUP(Table2[[#This Row],[AgentID]],Sales_Agents!$A$1:C855,2)</f>
        <v>Akin</v>
      </c>
      <c r="N852" t="str">
        <f>VLOOKUP(Table2[[#This Row],[AgentID]],Sales_Agents!$A$1:C855,3)</f>
        <v>West</v>
      </c>
    </row>
    <row r="853" spans="1:14" x14ac:dyDescent="0.25">
      <c r="A853">
        <v>852</v>
      </c>
      <c r="B853" s="1">
        <v>45531</v>
      </c>
      <c r="C853" s="8" t="str">
        <f>TEXT(Table2[[#This Row],[OrderDate]],"mmm")</f>
        <v>Aug</v>
      </c>
      <c r="D853">
        <v>3</v>
      </c>
      <c r="E853">
        <v>1</v>
      </c>
      <c r="F853">
        <v>6</v>
      </c>
      <c r="G853" s="3">
        <v>304948</v>
      </c>
      <c r="H853" s="3">
        <f t="shared" si="26"/>
        <v>1829688</v>
      </c>
      <c r="I853" s="5">
        <f>Table2[[#This Row],[Total Revenue]]*0.3</f>
        <v>548906.4</v>
      </c>
      <c r="J853" s="6">
        <f t="shared" si="27"/>
        <v>0.3</v>
      </c>
      <c r="K853" t="str">
        <f>VLOOKUP(Table2[[#This Row],[ProductID]],Products!$A$1:C857,2)</f>
        <v>Tablet</v>
      </c>
      <c r="L853" t="str">
        <f>VLOOKUP(D853,Products!$A$1:C857,3)</f>
        <v>Electronics</v>
      </c>
      <c r="M853" t="str">
        <f>VLOOKUP(Table2[[#This Row],[AgentID]],Sales_Agents!$A$1:C856,2)</f>
        <v>Akin</v>
      </c>
      <c r="N853" t="str">
        <f>VLOOKUP(Table2[[#This Row],[AgentID]],Sales_Agents!$A$1:C856,3)</f>
        <v>West</v>
      </c>
    </row>
    <row r="854" spans="1:14" x14ac:dyDescent="0.25">
      <c r="A854">
        <v>853</v>
      </c>
      <c r="B854" s="1">
        <v>45368</v>
      </c>
      <c r="C854" s="8" t="str">
        <f>TEXT(Table2[[#This Row],[OrderDate]],"mmm")</f>
        <v>Mar</v>
      </c>
      <c r="D854">
        <v>5</v>
      </c>
      <c r="E854">
        <v>1</v>
      </c>
      <c r="F854">
        <v>8</v>
      </c>
      <c r="G854" s="3">
        <v>297309</v>
      </c>
      <c r="H854" s="3">
        <f t="shared" si="26"/>
        <v>2378472</v>
      </c>
      <c r="I854" s="5">
        <f>Table2[[#This Row],[Total Revenue]]*0.3</f>
        <v>713541.6</v>
      </c>
      <c r="J854" s="6">
        <f t="shared" si="27"/>
        <v>0.3</v>
      </c>
      <c r="K854" t="str">
        <f>VLOOKUP(Table2[[#This Row],[ProductID]],Products!$A$1:C858,2)</f>
        <v>Monitor</v>
      </c>
      <c r="L854" t="str">
        <f>VLOOKUP(D854,Products!$A$1:C858,3)</f>
        <v>Accessories</v>
      </c>
      <c r="M854" t="str">
        <f>VLOOKUP(Table2[[#This Row],[AgentID]],Sales_Agents!$A$1:C857,2)</f>
        <v>Akin</v>
      </c>
      <c r="N854" t="str">
        <f>VLOOKUP(Table2[[#This Row],[AgentID]],Sales_Agents!$A$1:C857,3)</f>
        <v>West</v>
      </c>
    </row>
    <row r="855" spans="1:14" x14ac:dyDescent="0.25">
      <c r="A855">
        <v>854</v>
      </c>
      <c r="B855" s="1">
        <v>45607</v>
      </c>
      <c r="C855" s="8" t="str">
        <f>TEXT(Table2[[#This Row],[OrderDate]],"mmm")</f>
        <v>Nov</v>
      </c>
      <c r="D855">
        <v>5</v>
      </c>
      <c r="E855">
        <v>4</v>
      </c>
      <c r="F855">
        <v>7</v>
      </c>
      <c r="G855" s="3">
        <v>265074</v>
      </c>
      <c r="H855" s="3">
        <f t="shared" si="26"/>
        <v>1855518</v>
      </c>
      <c r="I855" s="5">
        <f>Table2[[#This Row],[Total Revenue]]*0.3</f>
        <v>556655.4</v>
      </c>
      <c r="J855" s="6">
        <f t="shared" si="27"/>
        <v>0.3</v>
      </c>
      <c r="K855" t="str">
        <f>VLOOKUP(Table2[[#This Row],[ProductID]],Products!$A$1:C859,2)</f>
        <v>Monitor</v>
      </c>
      <c r="L855" t="str">
        <f>VLOOKUP(D855,Products!$A$1:C859,3)</f>
        <v>Accessories</v>
      </c>
      <c r="M855" t="str">
        <f>VLOOKUP(Table2[[#This Row],[AgentID]],Sales_Agents!$A$1:C858,2)</f>
        <v>Zainab</v>
      </c>
      <c r="N855" t="str">
        <f>VLOOKUP(Table2[[#This Row],[AgentID]],Sales_Agents!$A$1:C858,3)</f>
        <v>North</v>
      </c>
    </row>
    <row r="856" spans="1:14" x14ac:dyDescent="0.25">
      <c r="A856">
        <v>855</v>
      </c>
      <c r="B856" s="1">
        <v>45395</v>
      </c>
      <c r="C856" s="8" t="str">
        <f>TEXT(Table2[[#This Row],[OrderDate]],"mmm")</f>
        <v>Apr</v>
      </c>
      <c r="D856">
        <v>2</v>
      </c>
      <c r="E856">
        <v>3</v>
      </c>
      <c r="F856">
        <v>9</v>
      </c>
      <c r="G856" s="3">
        <v>323410</v>
      </c>
      <c r="H856" s="3">
        <f t="shared" si="26"/>
        <v>2910690</v>
      </c>
      <c r="I856" s="5">
        <f>Table2[[#This Row],[Total Revenue]]*0.3</f>
        <v>873207</v>
      </c>
      <c r="J856" s="6">
        <f t="shared" si="27"/>
        <v>0.3</v>
      </c>
      <c r="K856" t="str">
        <f>VLOOKUP(Table2[[#This Row],[ProductID]],Products!$A$1:C860,2)</f>
        <v>Phone</v>
      </c>
      <c r="L856" t="str">
        <f>VLOOKUP(D856,Products!$A$1:C860,3)</f>
        <v>Electronics</v>
      </c>
      <c r="M856" t="str">
        <f>VLOOKUP(Table2[[#This Row],[AgentID]],Sales_Agents!$A$1:C859,2)</f>
        <v>Chinedu</v>
      </c>
      <c r="N856" t="str">
        <f>VLOOKUP(Table2[[#This Row],[AgentID]],Sales_Agents!$A$1:C859,3)</f>
        <v>South</v>
      </c>
    </row>
    <row r="857" spans="1:14" x14ac:dyDescent="0.25">
      <c r="A857">
        <v>856</v>
      </c>
      <c r="B857" s="1">
        <v>45567</v>
      </c>
      <c r="C857" s="8" t="str">
        <f>TEXT(Table2[[#This Row],[OrderDate]],"mmm")</f>
        <v>Oct</v>
      </c>
      <c r="D857">
        <v>5</v>
      </c>
      <c r="E857">
        <v>4</v>
      </c>
      <c r="F857">
        <v>4</v>
      </c>
      <c r="G857" s="3">
        <v>207062</v>
      </c>
      <c r="H857" s="3">
        <f t="shared" si="26"/>
        <v>828248</v>
      </c>
      <c r="I857" s="5">
        <f>Table2[[#This Row],[Total Revenue]]*0.3</f>
        <v>248474.4</v>
      </c>
      <c r="J857" s="6">
        <f t="shared" si="27"/>
        <v>0.3</v>
      </c>
      <c r="K857" t="str">
        <f>VLOOKUP(Table2[[#This Row],[ProductID]],Products!$A$1:C861,2)</f>
        <v>Monitor</v>
      </c>
      <c r="L857" t="str">
        <f>VLOOKUP(D857,Products!$A$1:C861,3)</f>
        <v>Accessories</v>
      </c>
      <c r="M857" t="str">
        <f>VLOOKUP(Table2[[#This Row],[AgentID]],Sales_Agents!$A$1:C860,2)</f>
        <v>Zainab</v>
      </c>
      <c r="N857" t="str">
        <f>VLOOKUP(Table2[[#This Row],[AgentID]],Sales_Agents!$A$1:C860,3)</f>
        <v>North</v>
      </c>
    </row>
    <row r="858" spans="1:14" x14ac:dyDescent="0.25">
      <c r="A858">
        <v>857</v>
      </c>
      <c r="B858" s="1">
        <v>45616</v>
      </c>
      <c r="C858" s="8" t="str">
        <f>TEXT(Table2[[#This Row],[OrderDate]],"mmm")</f>
        <v>Nov</v>
      </c>
      <c r="D858">
        <v>4</v>
      </c>
      <c r="E858">
        <v>2</v>
      </c>
      <c r="F858">
        <v>7</v>
      </c>
      <c r="G858" s="3">
        <v>243736</v>
      </c>
      <c r="H858" s="3">
        <f t="shared" si="26"/>
        <v>1706152</v>
      </c>
      <c r="I858" s="5">
        <f>Table2[[#This Row],[Total Revenue]]*0.3</f>
        <v>511845.6</v>
      </c>
      <c r="J858" s="6">
        <f t="shared" si="27"/>
        <v>0.3</v>
      </c>
      <c r="K858" t="str">
        <f>VLOOKUP(Table2[[#This Row],[ProductID]],Products!$A$1:C862,2)</f>
        <v>Printer</v>
      </c>
      <c r="L858" t="str">
        <f>VLOOKUP(D858,Products!$A$1:C862,3)</f>
        <v>Accessories</v>
      </c>
      <c r="M858" t="str">
        <f>VLOOKUP(Table2[[#This Row],[AgentID]],Sales_Agents!$A$1:C861,2)</f>
        <v>Blessing</v>
      </c>
      <c r="N858" t="str">
        <f>VLOOKUP(Table2[[#This Row],[AgentID]],Sales_Agents!$A$1:C861,3)</f>
        <v>East</v>
      </c>
    </row>
    <row r="859" spans="1:14" x14ac:dyDescent="0.25">
      <c r="A859">
        <v>858</v>
      </c>
      <c r="B859" s="1">
        <v>45551</v>
      </c>
      <c r="C859" s="8" t="str">
        <f>TEXT(Table2[[#This Row],[OrderDate]],"mmm")</f>
        <v>Sept</v>
      </c>
      <c r="D859">
        <v>4</v>
      </c>
      <c r="E859">
        <v>4</v>
      </c>
      <c r="F859">
        <v>17</v>
      </c>
      <c r="G859" s="3">
        <v>61927</v>
      </c>
      <c r="H859" s="3">
        <f t="shared" si="26"/>
        <v>1052759</v>
      </c>
      <c r="I859" s="5">
        <f>Table2[[#This Row],[Total Revenue]]*0.3</f>
        <v>315827.7</v>
      </c>
      <c r="J859" s="6">
        <f t="shared" si="27"/>
        <v>0.3</v>
      </c>
      <c r="K859" t="str">
        <f>VLOOKUP(Table2[[#This Row],[ProductID]],Products!$A$1:C863,2)</f>
        <v>Printer</v>
      </c>
      <c r="L859" t="str">
        <f>VLOOKUP(D859,Products!$A$1:C863,3)</f>
        <v>Accessories</v>
      </c>
      <c r="M859" t="str">
        <f>VLOOKUP(Table2[[#This Row],[AgentID]],Sales_Agents!$A$1:C862,2)</f>
        <v>Zainab</v>
      </c>
      <c r="N859" t="str">
        <f>VLOOKUP(Table2[[#This Row],[AgentID]],Sales_Agents!$A$1:C862,3)</f>
        <v>North</v>
      </c>
    </row>
    <row r="860" spans="1:14" x14ac:dyDescent="0.25">
      <c r="A860">
        <v>859</v>
      </c>
      <c r="B860" s="1">
        <v>45620</v>
      </c>
      <c r="C860" s="8" t="str">
        <f>TEXT(Table2[[#This Row],[OrderDate]],"mmm")</f>
        <v>Nov</v>
      </c>
      <c r="D860">
        <v>5</v>
      </c>
      <c r="E860">
        <v>4</v>
      </c>
      <c r="F860">
        <v>18</v>
      </c>
      <c r="G860" s="3">
        <v>329067</v>
      </c>
      <c r="H860" s="3">
        <f t="shared" si="26"/>
        <v>5923206</v>
      </c>
      <c r="I860" s="5">
        <f>Table2[[#This Row],[Total Revenue]]*0.3</f>
        <v>1776961.8</v>
      </c>
      <c r="J860" s="6">
        <f t="shared" si="27"/>
        <v>0.3</v>
      </c>
      <c r="K860" t="str">
        <f>VLOOKUP(Table2[[#This Row],[ProductID]],Products!$A$1:C864,2)</f>
        <v>Monitor</v>
      </c>
      <c r="L860" t="str">
        <f>VLOOKUP(D860,Products!$A$1:C864,3)</f>
        <v>Accessories</v>
      </c>
      <c r="M860" t="str">
        <f>VLOOKUP(Table2[[#This Row],[AgentID]],Sales_Agents!$A$1:C863,2)</f>
        <v>Zainab</v>
      </c>
      <c r="N860" t="str">
        <f>VLOOKUP(Table2[[#This Row],[AgentID]],Sales_Agents!$A$1:C863,3)</f>
        <v>North</v>
      </c>
    </row>
    <row r="861" spans="1:14" x14ac:dyDescent="0.25">
      <c r="A861">
        <v>860</v>
      </c>
      <c r="B861" s="1">
        <v>45515</v>
      </c>
      <c r="C861" s="8" t="str">
        <f>TEXT(Table2[[#This Row],[OrderDate]],"mmm")</f>
        <v>Aug</v>
      </c>
      <c r="D861">
        <v>3</v>
      </c>
      <c r="E861">
        <v>1</v>
      </c>
      <c r="F861">
        <v>18</v>
      </c>
      <c r="G861" s="3">
        <v>391824</v>
      </c>
      <c r="H861" s="3">
        <f t="shared" si="26"/>
        <v>7052832</v>
      </c>
      <c r="I861" s="5">
        <f>Table2[[#This Row],[Total Revenue]]*0.3</f>
        <v>2115849.6</v>
      </c>
      <c r="J861" s="6">
        <f t="shared" si="27"/>
        <v>0.3</v>
      </c>
      <c r="K861" t="str">
        <f>VLOOKUP(Table2[[#This Row],[ProductID]],Products!$A$1:C865,2)</f>
        <v>Tablet</v>
      </c>
      <c r="L861" t="str">
        <f>VLOOKUP(D861,Products!$A$1:C865,3)</f>
        <v>Electronics</v>
      </c>
      <c r="M861" t="str">
        <f>VLOOKUP(Table2[[#This Row],[AgentID]],Sales_Agents!$A$1:C864,2)</f>
        <v>Akin</v>
      </c>
      <c r="N861" t="str">
        <f>VLOOKUP(Table2[[#This Row],[AgentID]],Sales_Agents!$A$1:C864,3)</f>
        <v>West</v>
      </c>
    </row>
    <row r="862" spans="1:14" x14ac:dyDescent="0.25">
      <c r="A862">
        <v>861</v>
      </c>
      <c r="B862" s="1">
        <v>45425</v>
      </c>
      <c r="C862" s="8" t="str">
        <f>TEXT(Table2[[#This Row],[OrderDate]],"mmm")</f>
        <v>May</v>
      </c>
      <c r="D862">
        <v>4</v>
      </c>
      <c r="E862">
        <v>3</v>
      </c>
      <c r="F862">
        <v>20</v>
      </c>
      <c r="G862" s="3">
        <v>196190</v>
      </c>
      <c r="H862" s="3">
        <f t="shared" si="26"/>
        <v>3923800</v>
      </c>
      <c r="I862" s="5">
        <f>Table2[[#This Row],[Total Revenue]]*0.3</f>
        <v>1177140</v>
      </c>
      <c r="J862" s="6">
        <f t="shared" si="27"/>
        <v>0.3</v>
      </c>
      <c r="K862" t="str">
        <f>VLOOKUP(Table2[[#This Row],[ProductID]],Products!$A$1:C866,2)</f>
        <v>Printer</v>
      </c>
      <c r="L862" t="str">
        <f>VLOOKUP(D862,Products!$A$1:C866,3)</f>
        <v>Accessories</v>
      </c>
      <c r="M862" t="str">
        <f>VLOOKUP(Table2[[#This Row],[AgentID]],Sales_Agents!$A$1:C865,2)</f>
        <v>Chinedu</v>
      </c>
      <c r="N862" t="str">
        <f>VLOOKUP(Table2[[#This Row],[AgentID]],Sales_Agents!$A$1:C865,3)</f>
        <v>South</v>
      </c>
    </row>
    <row r="863" spans="1:14" x14ac:dyDescent="0.25">
      <c r="A863">
        <v>862</v>
      </c>
      <c r="B863" s="1">
        <v>45431</v>
      </c>
      <c r="C863" s="8" t="str">
        <f>TEXT(Table2[[#This Row],[OrderDate]],"mmm")</f>
        <v>May</v>
      </c>
      <c r="D863">
        <v>1</v>
      </c>
      <c r="E863">
        <v>3</v>
      </c>
      <c r="F863">
        <v>12</v>
      </c>
      <c r="G863" s="3">
        <v>263892</v>
      </c>
      <c r="H863" s="3">
        <f t="shared" si="26"/>
        <v>3166704</v>
      </c>
      <c r="I863" s="5">
        <f>Table2[[#This Row],[Total Revenue]]*0.3</f>
        <v>950011.2</v>
      </c>
      <c r="J863" s="6">
        <f t="shared" si="27"/>
        <v>0.3</v>
      </c>
      <c r="K863" t="str">
        <f>VLOOKUP(Table2[[#This Row],[ProductID]],Products!$A$1:C867,2)</f>
        <v>Laptop</v>
      </c>
      <c r="L863" t="str">
        <f>VLOOKUP(D863,Products!$A$1:C867,3)</f>
        <v>Electronics</v>
      </c>
      <c r="M863" t="str">
        <f>VLOOKUP(Table2[[#This Row],[AgentID]],Sales_Agents!$A$1:C866,2)</f>
        <v>Chinedu</v>
      </c>
      <c r="N863" t="str">
        <f>VLOOKUP(Table2[[#This Row],[AgentID]],Sales_Agents!$A$1:C866,3)</f>
        <v>South</v>
      </c>
    </row>
    <row r="864" spans="1:14" x14ac:dyDescent="0.25">
      <c r="A864">
        <v>863</v>
      </c>
      <c r="B864" s="1">
        <v>45359</v>
      </c>
      <c r="C864" s="8" t="str">
        <f>TEXT(Table2[[#This Row],[OrderDate]],"mmm")</f>
        <v>Mar</v>
      </c>
      <c r="D864">
        <v>5</v>
      </c>
      <c r="E864">
        <v>2</v>
      </c>
      <c r="F864">
        <v>19</v>
      </c>
      <c r="G864" s="3">
        <v>367903</v>
      </c>
      <c r="H864" s="3">
        <f t="shared" si="26"/>
        <v>6990157</v>
      </c>
      <c r="I864" s="5">
        <f>Table2[[#This Row],[Total Revenue]]*0.3</f>
        <v>2097047.0999999999</v>
      </c>
      <c r="J864" s="6">
        <f t="shared" si="27"/>
        <v>0.3</v>
      </c>
      <c r="K864" t="str">
        <f>VLOOKUP(Table2[[#This Row],[ProductID]],Products!$A$1:C868,2)</f>
        <v>Monitor</v>
      </c>
      <c r="L864" t="str">
        <f>VLOOKUP(D864,Products!$A$1:C868,3)</f>
        <v>Accessories</v>
      </c>
      <c r="M864" t="str">
        <f>VLOOKUP(Table2[[#This Row],[AgentID]],Sales_Agents!$A$1:C867,2)</f>
        <v>Blessing</v>
      </c>
      <c r="N864" t="str">
        <f>VLOOKUP(Table2[[#This Row],[AgentID]],Sales_Agents!$A$1:C867,3)</f>
        <v>East</v>
      </c>
    </row>
    <row r="865" spans="1:14" x14ac:dyDescent="0.25">
      <c r="A865">
        <v>864</v>
      </c>
      <c r="B865" s="1">
        <v>45430</v>
      </c>
      <c r="C865" s="8" t="str">
        <f>TEXT(Table2[[#This Row],[OrderDate]],"mmm")</f>
        <v>May</v>
      </c>
      <c r="D865">
        <v>5</v>
      </c>
      <c r="E865">
        <v>2</v>
      </c>
      <c r="F865">
        <v>6</v>
      </c>
      <c r="G865" s="3">
        <v>278619</v>
      </c>
      <c r="H865" s="3">
        <f t="shared" si="26"/>
        <v>1671714</v>
      </c>
      <c r="I865" s="5">
        <f>Table2[[#This Row],[Total Revenue]]*0.3</f>
        <v>501514.19999999995</v>
      </c>
      <c r="J865" s="6">
        <f t="shared" si="27"/>
        <v>0.3</v>
      </c>
      <c r="K865" t="str">
        <f>VLOOKUP(Table2[[#This Row],[ProductID]],Products!$A$1:C869,2)</f>
        <v>Monitor</v>
      </c>
      <c r="L865" t="str">
        <f>VLOOKUP(D865,Products!$A$1:C869,3)</f>
        <v>Accessories</v>
      </c>
      <c r="M865" t="str">
        <f>VLOOKUP(Table2[[#This Row],[AgentID]],Sales_Agents!$A$1:C868,2)</f>
        <v>Blessing</v>
      </c>
      <c r="N865" t="str">
        <f>VLOOKUP(Table2[[#This Row],[AgentID]],Sales_Agents!$A$1:C868,3)</f>
        <v>East</v>
      </c>
    </row>
    <row r="866" spans="1:14" x14ac:dyDescent="0.25">
      <c r="A866">
        <v>865</v>
      </c>
      <c r="B866" s="1">
        <v>45654</v>
      </c>
      <c r="C866" s="8" t="str">
        <f>TEXT(Table2[[#This Row],[OrderDate]],"mmm")</f>
        <v>Dec</v>
      </c>
      <c r="D866">
        <v>3</v>
      </c>
      <c r="E866">
        <v>3</v>
      </c>
      <c r="F866">
        <v>14</v>
      </c>
      <c r="G866" s="3">
        <v>262398</v>
      </c>
      <c r="H866" s="3">
        <f t="shared" si="26"/>
        <v>3673572</v>
      </c>
      <c r="I866" s="5">
        <f>Table2[[#This Row],[Total Revenue]]*0.3</f>
        <v>1102071.5999999999</v>
      </c>
      <c r="J866" s="6">
        <f t="shared" si="27"/>
        <v>0.3</v>
      </c>
      <c r="K866" t="str">
        <f>VLOOKUP(Table2[[#This Row],[ProductID]],Products!$A$1:C870,2)</f>
        <v>Tablet</v>
      </c>
      <c r="L866" t="str">
        <f>VLOOKUP(D866,Products!$A$1:C870,3)</f>
        <v>Electronics</v>
      </c>
      <c r="M866" t="str">
        <f>VLOOKUP(Table2[[#This Row],[AgentID]],Sales_Agents!$A$1:C869,2)</f>
        <v>Chinedu</v>
      </c>
      <c r="N866" t="str">
        <f>VLOOKUP(Table2[[#This Row],[AgentID]],Sales_Agents!$A$1:C869,3)</f>
        <v>South</v>
      </c>
    </row>
    <row r="867" spans="1:14" x14ac:dyDescent="0.25">
      <c r="A867">
        <v>866</v>
      </c>
      <c r="B867" s="1">
        <v>45578</v>
      </c>
      <c r="C867" s="8" t="str">
        <f>TEXT(Table2[[#This Row],[OrderDate]],"mmm")</f>
        <v>Oct</v>
      </c>
      <c r="D867">
        <v>1</v>
      </c>
      <c r="E867">
        <v>1</v>
      </c>
      <c r="F867">
        <v>19</v>
      </c>
      <c r="G867" s="3">
        <v>259062</v>
      </c>
      <c r="H867" s="3">
        <f t="shared" si="26"/>
        <v>4922178</v>
      </c>
      <c r="I867" s="5">
        <f>Table2[[#This Row],[Total Revenue]]*0.3</f>
        <v>1476653.4</v>
      </c>
      <c r="J867" s="6">
        <f t="shared" si="27"/>
        <v>0.3</v>
      </c>
      <c r="K867" t="str">
        <f>VLOOKUP(Table2[[#This Row],[ProductID]],Products!$A$1:C871,2)</f>
        <v>Laptop</v>
      </c>
      <c r="L867" t="str">
        <f>VLOOKUP(D867,Products!$A$1:C871,3)</f>
        <v>Electronics</v>
      </c>
      <c r="M867" t="str">
        <f>VLOOKUP(Table2[[#This Row],[AgentID]],Sales_Agents!$A$1:C870,2)</f>
        <v>Akin</v>
      </c>
      <c r="N867" t="str">
        <f>VLOOKUP(Table2[[#This Row],[AgentID]],Sales_Agents!$A$1:C870,3)</f>
        <v>West</v>
      </c>
    </row>
    <row r="868" spans="1:14" x14ac:dyDescent="0.25">
      <c r="A868">
        <v>867</v>
      </c>
      <c r="B868" s="1">
        <v>45303</v>
      </c>
      <c r="C868" s="8" t="str">
        <f>TEXT(Table2[[#This Row],[OrderDate]],"mmm")</f>
        <v>Jan</v>
      </c>
      <c r="D868">
        <v>3</v>
      </c>
      <c r="E868">
        <v>2</v>
      </c>
      <c r="F868">
        <v>13</v>
      </c>
      <c r="G868" s="3">
        <v>231182</v>
      </c>
      <c r="H868" s="3">
        <f t="shared" si="26"/>
        <v>3005366</v>
      </c>
      <c r="I868" s="5">
        <f>Table2[[#This Row],[Total Revenue]]*0.3</f>
        <v>901609.79999999993</v>
      </c>
      <c r="J868" s="6">
        <f t="shared" si="27"/>
        <v>0.3</v>
      </c>
      <c r="K868" t="str">
        <f>VLOOKUP(Table2[[#This Row],[ProductID]],Products!$A$1:C872,2)</f>
        <v>Tablet</v>
      </c>
      <c r="L868" t="str">
        <f>VLOOKUP(D868,Products!$A$1:C872,3)</f>
        <v>Electronics</v>
      </c>
      <c r="M868" t="str">
        <f>VLOOKUP(Table2[[#This Row],[AgentID]],Sales_Agents!$A$1:C871,2)</f>
        <v>Blessing</v>
      </c>
      <c r="N868" t="str">
        <f>VLOOKUP(Table2[[#This Row],[AgentID]],Sales_Agents!$A$1:C871,3)</f>
        <v>East</v>
      </c>
    </row>
    <row r="869" spans="1:14" x14ac:dyDescent="0.25">
      <c r="A869">
        <v>868</v>
      </c>
      <c r="B869" s="1">
        <v>45318</v>
      </c>
      <c r="C869" s="8" t="str">
        <f>TEXT(Table2[[#This Row],[OrderDate]],"mmm")</f>
        <v>Jan</v>
      </c>
      <c r="D869">
        <v>4</v>
      </c>
      <c r="E869">
        <v>1</v>
      </c>
      <c r="F869">
        <v>7</v>
      </c>
      <c r="G869" s="3">
        <v>90585</v>
      </c>
      <c r="H869" s="3">
        <f t="shared" si="26"/>
        <v>634095</v>
      </c>
      <c r="I869" s="5">
        <f>Table2[[#This Row],[Total Revenue]]*0.3</f>
        <v>190228.5</v>
      </c>
      <c r="J869" s="6">
        <f t="shared" si="27"/>
        <v>0.3</v>
      </c>
      <c r="K869" t="str">
        <f>VLOOKUP(Table2[[#This Row],[ProductID]],Products!$A$1:C873,2)</f>
        <v>Printer</v>
      </c>
      <c r="L869" t="str">
        <f>VLOOKUP(D869,Products!$A$1:C873,3)</f>
        <v>Accessories</v>
      </c>
      <c r="M869" t="str">
        <f>VLOOKUP(Table2[[#This Row],[AgentID]],Sales_Agents!$A$1:C872,2)</f>
        <v>Akin</v>
      </c>
      <c r="N869" t="str">
        <f>VLOOKUP(Table2[[#This Row],[AgentID]],Sales_Agents!$A$1:C872,3)</f>
        <v>West</v>
      </c>
    </row>
    <row r="870" spans="1:14" x14ac:dyDescent="0.25">
      <c r="A870">
        <v>869</v>
      </c>
      <c r="B870" s="1">
        <v>45566</v>
      </c>
      <c r="C870" s="8" t="str">
        <f>TEXT(Table2[[#This Row],[OrderDate]],"mmm")</f>
        <v>Oct</v>
      </c>
      <c r="D870">
        <v>3</v>
      </c>
      <c r="E870">
        <v>3</v>
      </c>
      <c r="F870">
        <v>16</v>
      </c>
      <c r="G870" s="3">
        <v>292178</v>
      </c>
      <c r="H870" s="3">
        <f t="shared" si="26"/>
        <v>4674848</v>
      </c>
      <c r="I870" s="5">
        <f>Table2[[#This Row],[Total Revenue]]*0.3</f>
        <v>1402454.4</v>
      </c>
      <c r="J870" s="6">
        <f t="shared" si="27"/>
        <v>0.3</v>
      </c>
      <c r="K870" t="str">
        <f>VLOOKUP(Table2[[#This Row],[ProductID]],Products!$A$1:C874,2)</f>
        <v>Tablet</v>
      </c>
      <c r="L870" t="str">
        <f>VLOOKUP(D870,Products!$A$1:C874,3)</f>
        <v>Electronics</v>
      </c>
      <c r="M870" t="str">
        <f>VLOOKUP(Table2[[#This Row],[AgentID]],Sales_Agents!$A$1:C873,2)</f>
        <v>Chinedu</v>
      </c>
      <c r="N870" t="str">
        <f>VLOOKUP(Table2[[#This Row],[AgentID]],Sales_Agents!$A$1:C873,3)</f>
        <v>South</v>
      </c>
    </row>
    <row r="871" spans="1:14" x14ac:dyDescent="0.25">
      <c r="A871">
        <v>870</v>
      </c>
      <c r="B871" s="1">
        <v>45474</v>
      </c>
      <c r="C871" s="8" t="str">
        <f>TEXT(Table2[[#This Row],[OrderDate]],"mmm")</f>
        <v>Jul</v>
      </c>
      <c r="D871">
        <v>4</v>
      </c>
      <c r="E871">
        <v>2</v>
      </c>
      <c r="F871">
        <v>5</v>
      </c>
      <c r="G871" s="3">
        <v>144820</v>
      </c>
      <c r="H871" s="3">
        <f t="shared" si="26"/>
        <v>724100</v>
      </c>
      <c r="I871" s="5">
        <f>Table2[[#This Row],[Total Revenue]]*0.3</f>
        <v>217230</v>
      </c>
      <c r="J871" s="6">
        <f t="shared" si="27"/>
        <v>0.3</v>
      </c>
      <c r="K871" t="str">
        <f>VLOOKUP(Table2[[#This Row],[ProductID]],Products!$A$1:C875,2)</f>
        <v>Printer</v>
      </c>
      <c r="L871" t="str">
        <f>VLOOKUP(D871,Products!$A$1:C875,3)</f>
        <v>Accessories</v>
      </c>
      <c r="M871" t="str">
        <f>VLOOKUP(Table2[[#This Row],[AgentID]],Sales_Agents!$A$1:C874,2)</f>
        <v>Blessing</v>
      </c>
      <c r="N871" t="str">
        <f>VLOOKUP(Table2[[#This Row],[AgentID]],Sales_Agents!$A$1:C874,3)</f>
        <v>East</v>
      </c>
    </row>
    <row r="872" spans="1:14" x14ac:dyDescent="0.25">
      <c r="A872">
        <v>871</v>
      </c>
      <c r="B872" s="1">
        <v>45585</v>
      </c>
      <c r="C872" s="8" t="str">
        <f>TEXT(Table2[[#This Row],[OrderDate]],"mmm")</f>
        <v>Oct</v>
      </c>
      <c r="D872">
        <v>1</v>
      </c>
      <c r="E872">
        <v>2</v>
      </c>
      <c r="F872">
        <v>6</v>
      </c>
      <c r="G872" s="3">
        <v>162710</v>
      </c>
      <c r="H872" s="3">
        <f t="shared" si="26"/>
        <v>976260</v>
      </c>
      <c r="I872" s="5">
        <f>Table2[[#This Row],[Total Revenue]]*0.3</f>
        <v>292878</v>
      </c>
      <c r="J872" s="6">
        <f t="shared" si="27"/>
        <v>0.3</v>
      </c>
      <c r="K872" t="str">
        <f>VLOOKUP(Table2[[#This Row],[ProductID]],Products!$A$1:C876,2)</f>
        <v>Laptop</v>
      </c>
      <c r="L872" t="str">
        <f>VLOOKUP(D872,Products!$A$1:C876,3)</f>
        <v>Electronics</v>
      </c>
      <c r="M872" t="str">
        <f>VLOOKUP(Table2[[#This Row],[AgentID]],Sales_Agents!$A$1:C875,2)</f>
        <v>Blessing</v>
      </c>
      <c r="N872" t="str">
        <f>VLOOKUP(Table2[[#This Row],[AgentID]],Sales_Agents!$A$1:C875,3)</f>
        <v>East</v>
      </c>
    </row>
    <row r="873" spans="1:14" x14ac:dyDescent="0.25">
      <c r="A873">
        <v>872</v>
      </c>
      <c r="B873" s="1">
        <v>45500</v>
      </c>
      <c r="C873" s="8" t="str">
        <f>TEXT(Table2[[#This Row],[OrderDate]],"mmm")</f>
        <v>Jul</v>
      </c>
      <c r="D873">
        <v>4</v>
      </c>
      <c r="E873">
        <v>2</v>
      </c>
      <c r="F873">
        <v>13</v>
      </c>
      <c r="G873" s="3">
        <v>112916</v>
      </c>
      <c r="H873" s="3">
        <f t="shared" si="26"/>
        <v>1467908</v>
      </c>
      <c r="I873" s="5">
        <f>Table2[[#This Row],[Total Revenue]]*0.3</f>
        <v>440372.39999999997</v>
      </c>
      <c r="J873" s="6">
        <f t="shared" si="27"/>
        <v>0.3</v>
      </c>
      <c r="K873" t="str">
        <f>VLOOKUP(Table2[[#This Row],[ProductID]],Products!$A$1:C877,2)</f>
        <v>Printer</v>
      </c>
      <c r="L873" t="str">
        <f>VLOOKUP(D873,Products!$A$1:C877,3)</f>
        <v>Accessories</v>
      </c>
      <c r="M873" t="str">
        <f>VLOOKUP(Table2[[#This Row],[AgentID]],Sales_Agents!$A$1:C876,2)</f>
        <v>Blessing</v>
      </c>
      <c r="N873" t="str">
        <f>VLOOKUP(Table2[[#This Row],[AgentID]],Sales_Agents!$A$1:C876,3)</f>
        <v>East</v>
      </c>
    </row>
    <row r="874" spans="1:14" x14ac:dyDescent="0.25">
      <c r="A874">
        <v>873</v>
      </c>
      <c r="B874" s="1">
        <v>45302</v>
      </c>
      <c r="C874" s="8" t="str">
        <f>TEXT(Table2[[#This Row],[OrderDate]],"mmm")</f>
        <v>Jan</v>
      </c>
      <c r="D874">
        <v>4</v>
      </c>
      <c r="E874">
        <v>4</v>
      </c>
      <c r="F874">
        <v>1</v>
      </c>
      <c r="G874" s="3">
        <v>143133</v>
      </c>
      <c r="H874" s="3">
        <f t="shared" si="26"/>
        <v>143133</v>
      </c>
      <c r="I874" s="5">
        <f>Table2[[#This Row],[Total Revenue]]*0.3</f>
        <v>42939.9</v>
      </c>
      <c r="J874" s="6">
        <f t="shared" si="27"/>
        <v>0.3</v>
      </c>
      <c r="K874" t="str">
        <f>VLOOKUP(Table2[[#This Row],[ProductID]],Products!$A$1:C878,2)</f>
        <v>Printer</v>
      </c>
      <c r="L874" t="str">
        <f>VLOOKUP(D874,Products!$A$1:C878,3)</f>
        <v>Accessories</v>
      </c>
      <c r="M874" t="str">
        <f>VLOOKUP(Table2[[#This Row],[AgentID]],Sales_Agents!$A$1:C877,2)</f>
        <v>Zainab</v>
      </c>
      <c r="N874" t="str">
        <f>VLOOKUP(Table2[[#This Row],[AgentID]],Sales_Agents!$A$1:C877,3)</f>
        <v>North</v>
      </c>
    </row>
    <row r="875" spans="1:14" x14ac:dyDescent="0.25">
      <c r="A875">
        <v>874</v>
      </c>
      <c r="B875" s="1">
        <v>45472</v>
      </c>
      <c r="C875" s="8" t="str">
        <f>TEXT(Table2[[#This Row],[OrderDate]],"mmm")</f>
        <v>Jun</v>
      </c>
      <c r="D875">
        <v>5</v>
      </c>
      <c r="E875">
        <v>3</v>
      </c>
      <c r="F875">
        <v>15</v>
      </c>
      <c r="G875" s="3">
        <v>131186</v>
      </c>
      <c r="H875" s="3">
        <f t="shared" si="26"/>
        <v>1967790</v>
      </c>
      <c r="I875" s="5">
        <f>Table2[[#This Row],[Total Revenue]]*0.3</f>
        <v>590337</v>
      </c>
      <c r="J875" s="6">
        <f t="shared" si="27"/>
        <v>0.3</v>
      </c>
      <c r="K875" t="str">
        <f>VLOOKUP(Table2[[#This Row],[ProductID]],Products!$A$1:C879,2)</f>
        <v>Monitor</v>
      </c>
      <c r="L875" t="str">
        <f>VLOOKUP(D875,Products!$A$1:C879,3)</f>
        <v>Accessories</v>
      </c>
      <c r="M875" t="str">
        <f>VLOOKUP(Table2[[#This Row],[AgentID]],Sales_Agents!$A$1:C878,2)</f>
        <v>Chinedu</v>
      </c>
      <c r="N875" t="str">
        <f>VLOOKUP(Table2[[#This Row],[AgentID]],Sales_Agents!$A$1:C878,3)</f>
        <v>South</v>
      </c>
    </row>
    <row r="876" spans="1:14" x14ac:dyDescent="0.25">
      <c r="A876">
        <v>875</v>
      </c>
      <c r="B876" s="1">
        <v>45369</v>
      </c>
      <c r="C876" s="8" t="str">
        <f>TEXT(Table2[[#This Row],[OrderDate]],"mmm")</f>
        <v>Mar</v>
      </c>
      <c r="D876">
        <v>1</v>
      </c>
      <c r="E876">
        <v>3</v>
      </c>
      <c r="F876">
        <v>8</v>
      </c>
      <c r="G876" s="3">
        <v>110607</v>
      </c>
      <c r="H876" s="3">
        <f t="shared" si="26"/>
        <v>884856</v>
      </c>
      <c r="I876" s="5">
        <f>Table2[[#This Row],[Total Revenue]]*0.3</f>
        <v>265456.8</v>
      </c>
      <c r="J876" s="6">
        <f t="shared" si="27"/>
        <v>0.3</v>
      </c>
      <c r="K876" t="str">
        <f>VLOOKUP(Table2[[#This Row],[ProductID]],Products!$A$1:C880,2)</f>
        <v>Laptop</v>
      </c>
      <c r="L876" t="str">
        <f>VLOOKUP(D876,Products!$A$1:C880,3)</f>
        <v>Electronics</v>
      </c>
      <c r="M876" t="str">
        <f>VLOOKUP(Table2[[#This Row],[AgentID]],Sales_Agents!$A$1:C879,2)</f>
        <v>Chinedu</v>
      </c>
      <c r="N876" t="str">
        <f>VLOOKUP(Table2[[#This Row],[AgentID]],Sales_Agents!$A$1:C879,3)</f>
        <v>South</v>
      </c>
    </row>
    <row r="877" spans="1:14" x14ac:dyDescent="0.25">
      <c r="A877">
        <v>876</v>
      </c>
      <c r="B877" s="1">
        <v>45421</v>
      </c>
      <c r="C877" s="8" t="str">
        <f>TEXT(Table2[[#This Row],[OrderDate]],"mmm")</f>
        <v>May</v>
      </c>
      <c r="D877">
        <v>2</v>
      </c>
      <c r="E877">
        <v>3</v>
      </c>
      <c r="F877">
        <v>17</v>
      </c>
      <c r="G877" s="3">
        <v>353214</v>
      </c>
      <c r="H877" s="3">
        <f t="shared" si="26"/>
        <v>6004638</v>
      </c>
      <c r="I877" s="5">
        <f>Table2[[#This Row],[Total Revenue]]*0.3</f>
        <v>1801391.4</v>
      </c>
      <c r="J877" s="6">
        <f t="shared" si="27"/>
        <v>0.3</v>
      </c>
      <c r="K877" t="str">
        <f>VLOOKUP(Table2[[#This Row],[ProductID]],Products!$A$1:C881,2)</f>
        <v>Phone</v>
      </c>
      <c r="L877" t="str">
        <f>VLOOKUP(D877,Products!$A$1:C881,3)</f>
        <v>Electronics</v>
      </c>
      <c r="M877" t="str">
        <f>VLOOKUP(Table2[[#This Row],[AgentID]],Sales_Agents!$A$1:C880,2)</f>
        <v>Chinedu</v>
      </c>
      <c r="N877" t="str">
        <f>VLOOKUP(Table2[[#This Row],[AgentID]],Sales_Agents!$A$1:C880,3)</f>
        <v>South</v>
      </c>
    </row>
    <row r="878" spans="1:14" x14ac:dyDescent="0.25">
      <c r="A878">
        <v>877</v>
      </c>
      <c r="B878" s="1">
        <v>45383</v>
      </c>
      <c r="C878" s="8" t="str">
        <f>TEXT(Table2[[#This Row],[OrderDate]],"mmm")</f>
        <v>Apr</v>
      </c>
      <c r="D878">
        <v>4</v>
      </c>
      <c r="E878">
        <v>2</v>
      </c>
      <c r="F878">
        <v>2</v>
      </c>
      <c r="G878" s="3">
        <v>269274</v>
      </c>
      <c r="H878" s="3">
        <f t="shared" si="26"/>
        <v>538548</v>
      </c>
      <c r="I878" s="5">
        <f>Table2[[#This Row],[Total Revenue]]*0.3</f>
        <v>161564.4</v>
      </c>
      <c r="J878" s="6">
        <f t="shared" si="27"/>
        <v>0.3</v>
      </c>
      <c r="K878" t="str">
        <f>VLOOKUP(Table2[[#This Row],[ProductID]],Products!$A$1:C882,2)</f>
        <v>Printer</v>
      </c>
      <c r="L878" t="str">
        <f>VLOOKUP(D878,Products!$A$1:C882,3)</f>
        <v>Accessories</v>
      </c>
      <c r="M878" t="str">
        <f>VLOOKUP(Table2[[#This Row],[AgentID]],Sales_Agents!$A$1:C881,2)</f>
        <v>Blessing</v>
      </c>
      <c r="N878" t="str">
        <f>VLOOKUP(Table2[[#This Row],[AgentID]],Sales_Agents!$A$1:C881,3)</f>
        <v>East</v>
      </c>
    </row>
    <row r="879" spans="1:14" x14ac:dyDescent="0.25">
      <c r="A879">
        <v>878</v>
      </c>
      <c r="B879" s="1">
        <v>45562</v>
      </c>
      <c r="C879" s="8" t="str">
        <f>TEXT(Table2[[#This Row],[OrderDate]],"mmm")</f>
        <v>Sept</v>
      </c>
      <c r="D879">
        <v>2</v>
      </c>
      <c r="E879">
        <v>2</v>
      </c>
      <c r="F879">
        <v>1</v>
      </c>
      <c r="G879" s="3">
        <v>230172</v>
      </c>
      <c r="H879" s="3">
        <f t="shared" si="26"/>
        <v>230172</v>
      </c>
      <c r="I879" s="5">
        <f>Table2[[#This Row],[Total Revenue]]*0.3</f>
        <v>69051.599999999991</v>
      </c>
      <c r="J879" s="6">
        <f t="shared" si="27"/>
        <v>0.3</v>
      </c>
      <c r="K879" t="str">
        <f>VLOOKUP(Table2[[#This Row],[ProductID]],Products!$A$1:C883,2)</f>
        <v>Phone</v>
      </c>
      <c r="L879" t="str">
        <f>VLOOKUP(D879,Products!$A$1:C883,3)</f>
        <v>Electronics</v>
      </c>
      <c r="M879" t="str">
        <f>VLOOKUP(Table2[[#This Row],[AgentID]],Sales_Agents!$A$1:C882,2)</f>
        <v>Blessing</v>
      </c>
      <c r="N879" t="str">
        <f>VLOOKUP(Table2[[#This Row],[AgentID]],Sales_Agents!$A$1:C882,3)</f>
        <v>East</v>
      </c>
    </row>
    <row r="880" spans="1:14" x14ac:dyDescent="0.25">
      <c r="A880">
        <v>879</v>
      </c>
      <c r="B880" s="1">
        <v>45351</v>
      </c>
      <c r="C880" s="8" t="str">
        <f>TEXT(Table2[[#This Row],[OrderDate]],"mmm")</f>
        <v>Feb</v>
      </c>
      <c r="D880">
        <v>1</v>
      </c>
      <c r="E880">
        <v>2</v>
      </c>
      <c r="F880">
        <v>20</v>
      </c>
      <c r="G880" s="3">
        <v>128458</v>
      </c>
      <c r="H880" s="3">
        <f t="shared" si="26"/>
        <v>2569160</v>
      </c>
      <c r="I880" s="5">
        <f>Table2[[#This Row],[Total Revenue]]*0.3</f>
        <v>770748</v>
      </c>
      <c r="J880" s="6">
        <f t="shared" si="27"/>
        <v>0.3</v>
      </c>
      <c r="K880" t="str">
        <f>VLOOKUP(Table2[[#This Row],[ProductID]],Products!$A$1:C884,2)</f>
        <v>Laptop</v>
      </c>
      <c r="L880" t="str">
        <f>VLOOKUP(D880,Products!$A$1:C884,3)</f>
        <v>Electronics</v>
      </c>
      <c r="M880" t="str">
        <f>VLOOKUP(Table2[[#This Row],[AgentID]],Sales_Agents!$A$1:C883,2)</f>
        <v>Blessing</v>
      </c>
      <c r="N880" t="str">
        <f>VLOOKUP(Table2[[#This Row],[AgentID]],Sales_Agents!$A$1:C883,3)</f>
        <v>East</v>
      </c>
    </row>
    <row r="881" spans="1:14" x14ac:dyDescent="0.25">
      <c r="A881">
        <v>880</v>
      </c>
      <c r="B881" s="1">
        <v>45429</v>
      </c>
      <c r="C881" s="8" t="str">
        <f>TEXT(Table2[[#This Row],[OrderDate]],"mmm")</f>
        <v>May</v>
      </c>
      <c r="D881">
        <v>1</v>
      </c>
      <c r="E881">
        <v>1</v>
      </c>
      <c r="F881">
        <v>5</v>
      </c>
      <c r="G881" s="3">
        <v>367543</v>
      </c>
      <c r="H881" s="3">
        <f t="shared" si="26"/>
        <v>1837715</v>
      </c>
      <c r="I881" s="5">
        <f>Table2[[#This Row],[Total Revenue]]*0.3</f>
        <v>551314.5</v>
      </c>
      <c r="J881" s="6">
        <f t="shared" si="27"/>
        <v>0.3</v>
      </c>
      <c r="K881" t="str">
        <f>VLOOKUP(Table2[[#This Row],[ProductID]],Products!$A$1:C885,2)</f>
        <v>Laptop</v>
      </c>
      <c r="L881" t="str">
        <f>VLOOKUP(D881,Products!$A$1:C885,3)</f>
        <v>Electronics</v>
      </c>
      <c r="M881" t="str">
        <f>VLOOKUP(Table2[[#This Row],[AgentID]],Sales_Agents!$A$1:C884,2)</f>
        <v>Akin</v>
      </c>
      <c r="N881" t="str">
        <f>VLOOKUP(Table2[[#This Row],[AgentID]],Sales_Agents!$A$1:C884,3)</f>
        <v>West</v>
      </c>
    </row>
    <row r="882" spans="1:14" x14ac:dyDescent="0.25">
      <c r="A882">
        <v>881</v>
      </c>
      <c r="B882" s="1">
        <v>45553</v>
      </c>
      <c r="C882" s="8" t="str">
        <f>TEXT(Table2[[#This Row],[OrderDate]],"mmm")</f>
        <v>Sept</v>
      </c>
      <c r="D882">
        <v>4</v>
      </c>
      <c r="E882">
        <v>4</v>
      </c>
      <c r="F882">
        <v>13</v>
      </c>
      <c r="G882" s="3">
        <v>159784</v>
      </c>
      <c r="H882" s="3">
        <f t="shared" si="26"/>
        <v>2077192</v>
      </c>
      <c r="I882" s="5">
        <f>Table2[[#This Row],[Total Revenue]]*0.3</f>
        <v>623157.6</v>
      </c>
      <c r="J882" s="6">
        <f t="shared" si="27"/>
        <v>0.3</v>
      </c>
      <c r="K882" t="str">
        <f>VLOOKUP(Table2[[#This Row],[ProductID]],Products!$A$1:C886,2)</f>
        <v>Printer</v>
      </c>
      <c r="L882" t="str">
        <f>VLOOKUP(D882,Products!$A$1:C886,3)</f>
        <v>Accessories</v>
      </c>
      <c r="M882" t="str">
        <f>VLOOKUP(Table2[[#This Row],[AgentID]],Sales_Agents!$A$1:C885,2)</f>
        <v>Zainab</v>
      </c>
      <c r="N882" t="str">
        <f>VLOOKUP(Table2[[#This Row],[AgentID]],Sales_Agents!$A$1:C885,3)</f>
        <v>North</v>
      </c>
    </row>
    <row r="883" spans="1:14" x14ac:dyDescent="0.25">
      <c r="A883">
        <v>882</v>
      </c>
      <c r="B883" s="1">
        <v>45641</v>
      </c>
      <c r="C883" s="8" t="str">
        <f>TEXT(Table2[[#This Row],[OrderDate]],"mmm")</f>
        <v>Dec</v>
      </c>
      <c r="D883">
        <v>2</v>
      </c>
      <c r="E883">
        <v>2</v>
      </c>
      <c r="F883">
        <v>9</v>
      </c>
      <c r="G883" s="3">
        <v>151281</v>
      </c>
      <c r="H883" s="3">
        <f t="shared" si="26"/>
        <v>1361529</v>
      </c>
      <c r="I883" s="5">
        <f>Table2[[#This Row],[Total Revenue]]*0.3</f>
        <v>408458.7</v>
      </c>
      <c r="J883" s="6">
        <f t="shared" si="27"/>
        <v>0.3</v>
      </c>
      <c r="K883" t="str">
        <f>VLOOKUP(Table2[[#This Row],[ProductID]],Products!$A$1:C887,2)</f>
        <v>Phone</v>
      </c>
      <c r="L883" t="str">
        <f>VLOOKUP(D883,Products!$A$1:C887,3)</f>
        <v>Electronics</v>
      </c>
      <c r="M883" t="str">
        <f>VLOOKUP(Table2[[#This Row],[AgentID]],Sales_Agents!$A$1:C886,2)</f>
        <v>Blessing</v>
      </c>
      <c r="N883" t="str">
        <f>VLOOKUP(Table2[[#This Row],[AgentID]],Sales_Agents!$A$1:C886,3)</f>
        <v>East</v>
      </c>
    </row>
    <row r="884" spans="1:14" x14ac:dyDescent="0.25">
      <c r="A884">
        <v>883</v>
      </c>
      <c r="B884" s="1">
        <v>45594</v>
      </c>
      <c r="C884" s="8" t="str">
        <f>TEXT(Table2[[#This Row],[OrderDate]],"mmm")</f>
        <v>Oct</v>
      </c>
      <c r="D884">
        <v>5</v>
      </c>
      <c r="E884">
        <v>3</v>
      </c>
      <c r="F884">
        <v>3</v>
      </c>
      <c r="G884" s="3">
        <v>179013</v>
      </c>
      <c r="H884" s="3">
        <f t="shared" si="26"/>
        <v>537039</v>
      </c>
      <c r="I884" s="5">
        <f>Table2[[#This Row],[Total Revenue]]*0.3</f>
        <v>161111.69999999998</v>
      </c>
      <c r="J884" s="6">
        <f t="shared" si="27"/>
        <v>0.3</v>
      </c>
      <c r="K884" t="str">
        <f>VLOOKUP(Table2[[#This Row],[ProductID]],Products!$A$1:C888,2)</f>
        <v>Monitor</v>
      </c>
      <c r="L884" t="str">
        <f>VLOOKUP(D884,Products!$A$1:C888,3)</f>
        <v>Accessories</v>
      </c>
      <c r="M884" t="str">
        <f>VLOOKUP(Table2[[#This Row],[AgentID]],Sales_Agents!$A$1:C887,2)</f>
        <v>Chinedu</v>
      </c>
      <c r="N884" t="str">
        <f>VLOOKUP(Table2[[#This Row],[AgentID]],Sales_Agents!$A$1:C887,3)</f>
        <v>South</v>
      </c>
    </row>
    <row r="885" spans="1:14" x14ac:dyDescent="0.25">
      <c r="A885">
        <v>884</v>
      </c>
      <c r="B885" s="1">
        <v>45555</v>
      </c>
      <c r="C885" s="8" t="str">
        <f>TEXT(Table2[[#This Row],[OrderDate]],"mmm")</f>
        <v>Sept</v>
      </c>
      <c r="D885">
        <v>4</v>
      </c>
      <c r="E885">
        <v>2</v>
      </c>
      <c r="F885">
        <v>16</v>
      </c>
      <c r="G885" s="3">
        <v>119514</v>
      </c>
      <c r="H885" s="3">
        <f t="shared" si="26"/>
        <v>1912224</v>
      </c>
      <c r="I885" s="5">
        <f>Table2[[#This Row],[Total Revenue]]*0.3</f>
        <v>573667.19999999995</v>
      </c>
      <c r="J885" s="6">
        <f t="shared" si="27"/>
        <v>0.3</v>
      </c>
      <c r="K885" t="str">
        <f>VLOOKUP(Table2[[#This Row],[ProductID]],Products!$A$1:C889,2)</f>
        <v>Printer</v>
      </c>
      <c r="L885" t="str">
        <f>VLOOKUP(D885,Products!$A$1:C889,3)</f>
        <v>Accessories</v>
      </c>
      <c r="M885" t="str">
        <f>VLOOKUP(Table2[[#This Row],[AgentID]],Sales_Agents!$A$1:C888,2)</f>
        <v>Blessing</v>
      </c>
      <c r="N885" t="str">
        <f>VLOOKUP(Table2[[#This Row],[AgentID]],Sales_Agents!$A$1:C888,3)</f>
        <v>East</v>
      </c>
    </row>
    <row r="886" spans="1:14" x14ac:dyDescent="0.25">
      <c r="A886">
        <v>885</v>
      </c>
      <c r="B886" s="1">
        <v>45541</v>
      </c>
      <c r="C886" s="8" t="str">
        <f>TEXT(Table2[[#This Row],[OrderDate]],"mmm")</f>
        <v>Sept</v>
      </c>
      <c r="D886">
        <v>2</v>
      </c>
      <c r="E886">
        <v>4</v>
      </c>
      <c r="F886">
        <v>18</v>
      </c>
      <c r="G886" s="3">
        <v>220218</v>
      </c>
      <c r="H886" s="3">
        <f t="shared" si="26"/>
        <v>3963924</v>
      </c>
      <c r="I886" s="5">
        <f>Table2[[#This Row],[Total Revenue]]*0.3</f>
        <v>1189177.2</v>
      </c>
      <c r="J886" s="6">
        <f t="shared" si="27"/>
        <v>0.3</v>
      </c>
      <c r="K886" t="str">
        <f>VLOOKUP(Table2[[#This Row],[ProductID]],Products!$A$1:C890,2)</f>
        <v>Phone</v>
      </c>
      <c r="L886" t="str">
        <f>VLOOKUP(D886,Products!$A$1:C890,3)</f>
        <v>Electronics</v>
      </c>
      <c r="M886" t="str">
        <f>VLOOKUP(Table2[[#This Row],[AgentID]],Sales_Agents!$A$1:C889,2)</f>
        <v>Zainab</v>
      </c>
      <c r="N886" t="str">
        <f>VLOOKUP(Table2[[#This Row],[AgentID]],Sales_Agents!$A$1:C889,3)</f>
        <v>North</v>
      </c>
    </row>
    <row r="887" spans="1:14" x14ac:dyDescent="0.25">
      <c r="A887">
        <v>886</v>
      </c>
      <c r="B887" s="1">
        <v>45570</v>
      </c>
      <c r="C887" s="8" t="str">
        <f>TEXT(Table2[[#This Row],[OrderDate]],"mmm")</f>
        <v>Oct</v>
      </c>
      <c r="D887">
        <v>3</v>
      </c>
      <c r="E887">
        <v>3</v>
      </c>
      <c r="F887">
        <v>3</v>
      </c>
      <c r="G887" s="3">
        <v>97131</v>
      </c>
      <c r="H887" s="3">
        <f t="shared" si="26"/>
        <v>291393</v>
      </c>
      <c r="I887" s="5">
        <f>Table2[[#This Row],[Total Revenue]]*0.3</f>
        <v>87417.9</v>
      </c>
      <c r="J887" s="6">
        <f t="shared" si="27"/>
        <v>0.3</v>
      </c>
      <c r="K887" t="str">
        <f>VLOOKUP(Table2[[#This Row],[ProductID]],Products!$A$1:C891,2)</f>
        <v>Tablet</v>
      </c>
      <c r="L887" t="str">
        <f>VLOOKUP(D887,Products!$A$1:C891,3)</f>
        <v>Electronics</v>
      </c>
      <c r="M887" t="str">
        <f>VLOOKUP(Table2[[#This Row],[AgentID]],Sales_Agents!$A$1:C890,2)</f>
        <v>Chinedu</v>
      </c>
      <c r="N887" t="str">
        <f>VLOOKUP(Table2[[#This Row],[AgentID]],Sales_Agents!$A$1:C890,3)</f>
        <v>South</v>
      </c>
    </row>
    <row r="888" spans="1:14" x14ac:dyDescent="0.25">
      <c r="A888">
        <v>887</v>
      </c>
      <c r="B888" s="1">
        <v>45605</v>
      </c>
      <c r="C888" s="8" t="str">
        <f>TEXT(Table2[[#This Row],[OrderDate]],"mmm")</f>
        <v>Nov</v>
      </c>
      <c r="D888">
        <v>4</v>
      </c>
      <c r="E888">
        <v>2</v>
      </c>
      <c r="F888">
        <v>10</v>
      </c>
      <c r="G888" s="3">
        <v>114860</v>
      </c>
      <c r="H888" s="3">
        <f t="shared" si="26"/>
        <v>1148600</v>
      </c>
      <c r="I888" s="5">
        <f>Table2[[#This Row],[Total Revenue]]*0.3</f>
        <v>344580</v>
      </c>
      <c r="J888" s="6">
        <f t="shared" si="27"/>
        <v>0.3</v>
      </c>
      <c r="K888" t="str">
        <f>VLOOKUP(Table2[[#This Row],[ProductID]],Products!$A$1:C892,2)</f>
        <v>Printer</v>
      </c>
      <c r="L888" t="str">
        <f>VLOOKUP(D888,Products!$A$1:C892,3)</f>
        <v>Accessories</v>
      </c>
      <c r="M888" t="str">
        <f>VLOOKUP(Table2[[#This Row],[AgentID]],Sales_Agents!$A$1:C891,2)</f>
        <v>Blessing</v>
      </c>
      <c r="N888" t="str">
        <f>VLOOKUP(Table2[[#This Row],[AgentID]],Sales_Agents!$A$1:C891,3)</f>
        <v>East</v>
      </c>
    </row>
    <row r="889" spans="1:14" x14ac:dyDescent="0.25">
      <c r="A889">
        <v>888</v>
      </c>
      <c r="B889" s="1">
        <v>45572</v>
      </c>
      <c r="C889" s="8" t="str">
        <f>TEXT(Table2[[#This Row],[OrderDate]],"mmm")</f>
        <v>Oct</v>
      </c>
      <c r="D889">
        <v>1</v>
      </c>
      <c r="E889">
        <v>4</v>
      </c>
      <c r="F889">
        <v>8</v>
      </c>
      <c r="G889" s="3">
        <v>53460</v>
      </c>
      <c r="H889" s="3">
        <f t="shared" si="26"/>
        <v>427680</v>
      </c>
      <c r="I889" s="5">
        <f>Table2[[#This Row],[Total Revenue]]*0.3</f>
        <v>128304</v>
      </c>
      <c r="J889" s="6">
        <f t="shared" si="27"/>
        <v>0.3</v>
      </c>
      <c r="K889" t="str">
        <f>VLOOKUP(Table2[[#This Row],[ProductID]],Products!$A$1:C893,2)</f>
        <v>Laptop</v>
      </c>
      <c r="L889" t="str">
        <f>VLOOKUP(D889,Products!$A$1:C893,3)</f>
        <v>Electronics</v>
      </c>
      <c r="M889" t="str">
        <f>VLOOKUP(Table2[[#This Row],[AgentID]],Sales_Agents!$A$1:C892,2)</f>
        <v>Zainab</v>
      </c>
      <c r="N889" t="str">
        <f>VLOOKUP(Table2[[#This Row],[AgentID]],Sales_Agents!$A$1:C892,3)</f>
        <v>North</v>
      </c>
    </row>
    <row r="890" spans="1:14" x14ac:dyDescent="0.25">
      <c r="A890">
        <v>889</v>
      </c>
      <c r="B890" s="1">
        <v>45381</v>
      </c>
      <c r="C890" s="8" t="str">
        <f>TEXT(Table2[[#This Row],[OrderDate]],"mmm")</f>
        <v>Mar</v>
      </c>
      <c r="D890">
        <v>3</v>
      </c>
      <c r="E890">
        <v>1</v>
      </c>
      <c r="F890">
        <v>8</v>
      </c>
      <c r="G890" s="3">
        <v>112398</v>
      </c>
      <c r="H890" s="3">
        <f t="shared" si="26"/>
        <v>899184</v>
      </c>
      <c r="I890" s="5">
        <f>Table2[[#This Row],[Total Revenue]]*0.3</f>
        <v>269755.2</v>
      </c>
      <c r="J890" s="6">
        <f t="shared" si="27"/>
        <v>0.3</v>
      </c>
      <c r="K890" t="str">
        <f>VLOOKUP(Table2[[#This Row],[ProductID]],Products!$A$1:C894,2)</f>
        <v>Tablet</v>
      </c>
      <c r="L890" t="str">
        <f>VLOOKUP(D890,Products!$A$1:C894,3)</f>
        <v>Electronics</v>
      </c>
      <c r="M890" t="str">
        <f>VLOOKUP(Table2[[#This Row],[AgentID]],Sales_Agents!$A$1:C893,2)</f>
        <v>Akin</v>
      </c>
      <c r="N890" t="str">
        <f>VLOOKUP(Table2[[#This Row],[AgentID]],Sales_Agents!$A$1:C893,3)</f>
        <v>West</v>
      </c>
    </row>
    <row r="891" spans="1:14" x14ac:dyDescent="0.25">
      <c r="A891">
        <v>890</v>
      </c>
      <c r="B891" s="1">
        <v>45554</v>
      </c>
      <c r="C891" s="8" t="str">
        <f>TEXT(Table2[[#This Row],[OrderDate]],"mmm")</f>
        <v>Sept</v>
      </c>
      <c r="D891">
        <v>1</v>
      </c>
      <c r="E891">
        <v>3</v>
      </c>
      <c r="F891">
        <v>17</v>
      </c>
      <c r="G891" s="3">
        <v>367005</v>
      </c>
      <c r="H891" s="3">
        <f t="shared" si="26"/>
        <v>6239085</v>
      </c>
      <c r="I891" s="5">
        <f>Table2[[#This Row],[Total Revenue]]*0.3</f>
        <v>1871725.5</v>
      </c>
      <c r="J891" s="6">
        <f t="shared" si="27"/>
        <v>0.3</v>
      </c>
      <c r="K891" t="str">
        <f>VLOOKUP(Table2[[#This Row],[ProductID]],Products!$A$1:C895,2)</f>
        <v>Laptop</v>
      </c>
      <c r="L891" t="str">
        <f>VLOOKUP(D891,Products!$A$1:C895,3)</f>
        <v>Electronics</v>
      </c>
      <c r="M891" t="str">
        <f>VLOOKUP(Table2[[#This Row],[AgentID]],Sales_Agents!$A$1:C894,2)</f>
        <v>Chinedu</v>
      </c>
      <c r="N891" t="str">
        <f>VLOOKUP(Table2[[#This Row],[AgentID]],Sales_Agents!$A$1:C894,3)</f>
        <v>South</v>
      </c>
    </row>
    <row r="892" spans="1:14" x14ac:dyDescent="0.25">
      <c r="A892">
        <v>891</v>
      </c>
      <c r="B892" s="1">
        <v>45317</v>
      </c>
      <c r="C892" s="8" t="str">
        <f>TEXT(Table2[[#This Row],[OrderDate]],"mmm")</f>
        <v>Jan</v>
      </c>
      <c r="D892">
        <v>4</v>
      </c>
      <c r="E892">
        <v>3</v>
      </c>
      <c r="F892">
        <v>10</v>
      </c>
      <c r="G892" s="3">
        <v>82337</v>
      </c>
      <c r="H892" s="3">
        <f t="shared" si="26"/>
        <v>823370</v>
      </c>
      <c r="I892" s="5">
        <f>Table2[[#This Row],[Total Revenue]]*0.3</f>
        <v>247011</v>
      </c>
      <c r="J892" s="6">
        <f t="shared" si="27"/>
        <v>0.3</v>
      </c>
      <c r="K892" t="str">
        <f>VLOOKUP(Table2[[#This Row],[ProductID]],Products!$A$1:C896,2)</f>
        <v>Printer</v>
      </c>
      <c r="L892" t="str">
        <f>VLOOKUP(D892,Products!$A$1:C896,3)</f>
        <v>Accessories</v>
      </c>
      <c r="M892" t="str">
        <f>VLOOKUP(Table2[[#This Row],[AgentID]],Sales_Agents!$A$1:C895,2)</f>
        <v>Chinedu</v>
      </c>
      <c r="N892" t="str">
        <f>VLOOKUP(Table2[[#This Row],[AgentID]],Sales_Agents!$A$1:C895,3)</f>
        <v>South</v>
      </c>
    </row>
    <row r="893" spans="1:14" x14ac:dyDescent="0.25">
      <c r="A893">
        <v>892</v>
      </c>
      <c r="B893" s="1">
        <v>45374</v>
      </c>
      <c r="C893" s="8" t="str">
        <f>TEXT(Table2[[#This Row],[OrderDate]],"mmm")</f>
        <v>Mar</v>
      </c>
      <c r="D893">
        <v>4</v>
      </c>
      <c r="E893">
        <v>4</v>
      </c>
      <c r="F893">
        <v>4</v>
      </c>
      <c r="G893" s="3">
        <v>224213</v>
      </c>
      <c r="H893" s="3">
        <f t="shared" si="26"/>
        <v>896852</v>
      </c>
      <c r="I893" s="5">
        <f>Table2[[#This Row],[Total Revenue]]*0.3</f>
        <v>269055.59999999998</v>
      </c>
      <c r="J893" s="6">
        <f t="shared" si="27"/>
        <v>0.3</v>
      </c>
      <c r="K893" t="str">
        <f>VLOOKUP(Table2[[#This Row],[ProductID]],Products!$A$1:C897,2)</f>
        <v>Printer</v>
      </c>
      <c r="L893" t="str">
        <f>VLOOKUP(D893,Products!$A$1:C897,3)</f>
        <v>Accessories</v>
      </c>
      <c r="M893" t="str">
        <f>VLOOKUP(Table2[[#This Row],[AgentID]],Sales_Agents!$A$1:C896,2)</f>
        <v>Zainab</v>
      </c>
      <c r="N893" t="str">
        <f>VLOOKUP(Table2[[#This Row],[AgentID]],Sales_Agents!$A$1:C896,3)</f>
        <v>North</v>
      </c>
    </row>
    <row r="894" spans="1:14" x14ac:dyDescent="0.25">
      <c r="A894">
        <v>893</v>
      </c>
      <c r="B894" s="1">
        <v>45381</v>
      </c>
      <c r="C894" s="8" t="str">
        <f>TEXT(Table2[[#This Row],[OrderDate]],"mmm")</f>
        <v>Mar</v>
      </c>
      <c r="D894">
        <v>4</v>
      </c>
      <c r="E894">
        <v>1</v>
      </c>
      <c r="F894">
        <v>16</v>
      </c>
      <c r="G894" s="3">
        <v>201549</v>
      </c>
      <c r="H894" s="3">
        <f t="shared" si="26"/>
        <v>3224784</v>
      </c>
      <c r="I894" s="5">
        <f>Table2[[#This Row],[Total Revenue]]*0.3</f>
        <v>967435.2</v>
      </c>
      <c r="J894" s="6">
        <f t="shared" si="27"/>
        <v>0.3</v>
      </c>
      <c r="K894" t="str">
        <f>VLOOKUP(Table2[[#This Row],[ProductID]],Products!$A$1:C898,2)</f>
        <v>Printer</v>
      </c>
      <c r="L894" t="str">
        <f>VLOOKUP(D894,Products!$A$1:C898,3)</f>
        <v>Accessories</v>
      </c>
      <c r="M894" t="str">
        <f>VLOOKUP(Table2[[#This Row],[AgentID]],Sales_Agents!$A$1:C897,2)</f>
        <v>Akin</v>
      </c>
      <c r="N894" t="str">
        <f>VLOOKUP(Table2[[#This Row],[AgentID]],Sales_Agents!$A$1:C897,3)</f>
        <v>West</v>
      </c>
    </row>
    <row r="895" spans="1:14" x14ac:dyDescent="0.25">
      <c r="A895">
        <v>894</v>
      </c>
      <c r="B895" s="1">
        <v>45539</v>
      </c>
      <c r="C895" s="8" t="str">
        <f>TEXT(Table2[[#This Row],[OrderDate]],"mmm")</f>
        <v>Sept</v>
      </c>
      <c r="D895">
        <v>5</v>
      </c>
      <c r="E895">
        <v>3</v>
      </c>
      <c r="F895">
        <v>11</v>
      </c>
      <c r="G895" s="3">
        <v>303131</v>
      </c>
      <c r="H895" s="3">
        <f t="shared" si="26"/>
        <v>3334441</v>
      </c>
      <c r="I895" s="5">
        <f>Table2[[#This Row],[Total Revenue]]*0.3</f>
        <v>1000332.2999999999</v>
      </c>
      <c r="J895" s="6">
        <f t="shared" si="27"/>
        <v>0.3</v>
      </c>
      <c r="K895" t="str">
        <f>VLOOKUP(Table2[[#This Row],[ProductID]],Products!$A$1:C899,2)</f>
        <v>Monitor</v>
      </c>
      <c r="L895" t="str">
        <f>VLOOKUP(D895,Products!$A$1:C899,3)</f>
        <v>Accessories</v>
      </c>
      <c r="M895" t="str">
        <f>VLOOKUP(Table2[[#This Row],[AgentID]],Sales_Agents!$A$1:C898,2)</f>
        <v>Chinedu</v>
      </c>
      <c r="N895" t="str">
        <f>VLOOKUP(Table2[[#This Row],[AgentID]],Sales_Agents!$A$1:C898,3)</f>
        <v>South</v>
      </c>
    </row>
    <row r="896" spans="1:14" x14ac:dyDescent="0.25">
      <c r="A896">
        <v>895</v>
      </c>
      <c r="B896" s="1">
        <v>45444</v>
      </c>
      <c r="C896" s="8" t="str">
        <f>TEXT(Table2[[#This Row],[OrderDate]],"mmm")</f>
        <v>Jun</v>
      </c>
      <c r="D896">
        <v>4</v>
      </c>
      <c r="E896">
        <v>3</v>
      </c>
      <c r="F896">
        <v>20</v>
      </c>
      <c r="G896" s="3">
        <v>151141</v>
      </c>
      <c r="H896" s="3">
        <f t="shared" si="26"/>
        <v>3022820</v>
      </c>
      <c r="I896" s="5">
        <f>Table2[[#This Row],[Total Revenue]]*0.3</f>
        <v>906846</v>
      </c>
      <c r="J896" s="6">
        <f t="shared" si="27"/>
        <v>0.3</v>
      </c>
      <c r="K896" t="str">
        <f>VLOOKUP(Table2[[#This Row],[ProductID]],Products!$A$1:C900,2)</f>
        <v>Printer</v>
      </c>
      <c r="L896" t="str">
        <f>VLOOKUP(D896,Products!$A$1:C900,3)</f>
        <v>Accessories</v>
      </c>
      <c r="M896" t="str">
        <f>VLOOKUP(Table2[[#This Row],[AgentID]],Sales_Agents!$A$1:C899,2)</f>
        <v>Chinedu</v>
      </c>
      <c r="N896" t="str">
        <f>VLOOKUP(Table2[[#This Row],[AgentID]],Sales_Agents!$A$1:C899,3)</f>
        <v>South</v>
      </c>
    </row>
    <row r="897" spans="1:14" x14ac:dyDescent="0.25">
      <c r="A897">
        <v>896</v>
      </c>
      <c r="B897" s="1">
        <v>45369</v>
      </c>
      <c r="C897" s="8" t="str">
        <f>TEXT(Table2[[#This Row],[OrderDate]],"mmm")</f>
        <v>Mar</v>
      </c>
      <c r="D897">
        <v>5</v>
      </c>
      <c r="E897">
        <v>3</v>
      </c>
      <c r="F897">
        <v>13</v>
      </c>
      <c r="G897" s="3">
        <v>209432</v>
      </c>
      <c r="H897" s="3">
        <f t="shared" si="26"/>
        <v>2722616</v>
      </c>
      <c r="I897" s="5">
        <f>Table2[[#This Row],[Total Revenue]]*0.3</f>
        <v>816784.79999999993</v>
      </c>
      <c r="J897" s="6">
        <f t="shared" si="27"/>
        <v>0.3</v>
      </c>
      <c r="K897" t="str">
        <f>VLOOKUP(Table2[[#This Row],[ProductID]],Products!$A$1:C901,2)</f>
        <v>Monitor</v>
      </c>
      <c r="L897" t="str">
        <f>VLOOKUP(D897,Products!$A$1:C901,3)</f>
        <v>Accessories</v>
      </c>
      <c r="M897" t="str">
        <f>VLOOKUP(Table2[[#This Row],[AgentID]],Sales_Agents!$A$1:C900,2)</f>
        <v>Chinedu</v>
      </c>
      <c r="N897" t="str">
        <f>VLOOKUP(Table2[[#This Row],[AgentID]],Sales_Agents!$A$1:C900,3)</f>
        <v>South</v>
      </c>
    </row>
    <row r="898" spans="1:14" x14ac:dyDescent="0.25">
      <c r="A898">
        <v>897</v>
      </c>
      <c r="B898" s="1">
        <v>45379</v>
      </c>
      <c r="C898" s="8" t="str">
        <f>TEXT(Table2[[#This Row],[OrderDate]],"mmm")</f>
        <v>Mar</v>
      </c>
      <c r="D898">
        <v>3</v>
      </c>
      <c r="E898">
        <v>4</v>
      </c>
      <c r="F898">
        <v>19</v>
      </c>
      <c r="G898" s="3">
        <v>242048</v>
      </c>
      <c r="H898" s="3">
        <f t="shared" ref="H898:H961" si="28">G898*F898</f>
        <v>4598912</v>
      </c>
      <c r="I898" s="5">
        <f>Table2[[#This Row],[Total Revenue]]*0.3</f>
        <v>1379673.5999999999</v>
      </c>
      <c r="J898" s="6">
        <f t="shared" ref="J898:J961" si="29">I898/H898</f>
        <v>0.3</v>
      </c>
      <c r="K898" t="str">
        <f>VLOOKUP(Table2[[#This Row],[ProductID]],Products!$A$1:C902,2)</f>
        <v>Tablet</v>
      </c>
      <c r="L898" t="str">
        <f>VLOOKUP(D898,Products!$A$1:C902,3)</f>
        <v>Electronics</v>
      </c>
      <c r="M898" t="str">
        <f>VLOOKUP(Table2[[#This Row],[AgentID]],Sales_Agents!$A$1:C901,2)</f>
        <v>Zainab</v>
      </c>
      <c r="N898" t="str">
        <f>VLOOKUP(Table2[[#This Row],[AgentID]],Sales_Agents!$A$1:C901,3)</f>
        <v>North</v>
      </c>
    </row>
    <row r="899" spans="1:14" x14ac:dyDescent="0.25">
      <c r="A899">
        <v>898</v>
      </c>
      <c r="B899" s="1">
        <v>45295</v>
      </c>
      <c r="C899" s="8" t="str">
        <f>TEXT(Table2[[#This Row],[OrderDate]],"mmm")</f>
        <v>Jan</v>
      </c>
      <c r="D899">
        <v>3</v>
      </c>
      <c r="E899">
        <v>3</v>
      </c>
      <c r="F899">
        <v>1</v>
      </c>
      <c r="G899" s="3">
        <v>93577</v>
      </c>
      <c r="H899" s="3">
        <f t="shared" si="28"/>
        <v>93577</v>
      </c>
      <c r="I899" s="5">
        <f>Table2[[#This Row],[Total Revenue]]*0.3</f>
        <v>28073.1</v>
      </c>
      <c r="J899" s="6">
        <f t="shared" si="29"/>
        <v>0.3</v>
      </c>
      <c r="K899" t="str">
        <f>VLOOKUP(Table2[[#This Row],[ProductID]],Products!$A$1:C903,2)</f>
        <v>Tablet</v>
      </c>
      <c r="L899" t="str">
        <f>VLOOKUP(D899,Products!$A$1:C903,3)</f>
        <v>Electronics</v>
      </c>
      <c r="M899" t="str">
        <f>VLOOKUP(Table2[[#This Row],[AgentID]],Sales_Agents!$A$1:C902,2)</f>
        <v>Chinedu</v>
      </c>
      <c r="N899" t="str">
        <f>VLOOKUP(Table2[[#This Row],[AgentID]],Sales_Agents!$A$1:C902,3)</f>
        <v>South</v>
      </c>
    </row>
    <row r="900" spans="1:14" x14ac:dyDescent="0.25">
      <c r="A900">
        <v>899</v>
      </c>
      <c r="B900" s="1">
        <v>45603</v>
      </c>
      <c r="C900" s="8" t="str">
        <f>TEXT(Table2[[#This Row],[OrderDate]],"mmm")</f>
        <v>Nov</v>
      </c>
      <c r="D900">
        <v>2</v>
      </c>
      <c r="E900">
        <v>2</v>
      </c>
      <c r="F900">
        <v>18</v>
      </c>
      <c r="G900" s="3">
        <v>183318</v>
      </c>
      <c r="H900" s="3">
        <f t="shared" si="28"/>
        <v>3299724</v>
      </c>
      <c r="I900" s="5">
        <f>Table2[[#This Row],[Total Revenue]]*0.3</f>
        <v>989917.2</v>
      </c>
      <c r="J900" s="6">
        <f t="shared" si="29"/>
        <v>0.3</v>
      </c>
      <c r="K900" t="str">
        <f>VLOOKUP(Table2[[#This Row],[ProductID]],Products!$A$1:C904,2)</f>
        <v>Phone</v>
      </c>
      <c r="L900" t="str">
        <f>VLOOKUP(D900,Products!$A$1:C904,3)</f>
        <v>Electronics</v>
      </c>
      <c r="M900" t="str">
        <f>VLOOKUP(Table2[[#This Row],[AgentID]],Sales_Agents!$A$1:C903,2)</f>
        <v>Blessing</v>
      </c>
      <c r="N900" t="str">
        <f>VLOOKUP(Table2[[#This Row],[AgentID]],Sales_Agents!$A$1:C903,3)</f>
        <v>East</v>
      </c>
    </row>
    <row r="901" spans="1:14" x14ac:dyDescent="0.25">
      <c r="A901">
        <v>900</v>
      </c>
      <c r="B901" s="1">
        <v>45345</v>
      </c>
      <c r="C901" s="8" t="str">
        <f>TEXT(Table2[[#This Row],[OrderDate]],"mmm")</f>
        <v>Feb</v>
      </c>
      <c r="D901">
        <v>4</v>
      </c>
      <c r="E901">
        <v>1</v>
      </c>
      <c r="F901">
        <v>4</v>
      </c>
      <c r="G901" s="3">
        <v>107854</v>
      </c>
      <c r="H901" s="3">
        <f t="shared" si="28"/>
        <v>431416</v>
      </c>
      <c r="I901" s="5">
        <f>Table2[[#This Row],[Total Revenue]]*0.3</f>
        <v>129424.79999999999</v>
      </c>
      <c r="J901" s="6">
        <f t="shared" si="29"/>
        <v>0.3</v>
      </c>
      <c r="K901" t="str">
        <f>VLOOKUP(Table2[[#This Row],[ProductID]],Products!$A$1:C905,2)</f>
        <v>Printer</v>
      </c>
      <c r="L901" t="str">
        <f>VLOOKUP(D901,Products!$A$1:C905,3)</f>
        <v>Accessories</v>
      </c>
      <c r="M901" t="str">
        <f>VLOOKUP(Table2[[#This Row],[AgentID]],Sales_Agents!$A$1:C904,2)</f>
        <v>Akin</v>
      </c>
      <c r="N901" t="str">
        <f>VLOOKUP(Table2[[#This Row],[AgentID]],Sales_Agents!$A$1:C904,3)</f>
        <v>West</v>
      </c>
    </row>
    <row r="902" spans="1:14" x14ac:dyDescent="0.25">
      <c r="A902">
        <v>901</v>
      </c>
      <c r="B902" s="1">
        <v>45465</v>
      </c>
      <c r="C902" s="8" t="str">
        <f>TEXT(Table2[[#This Row],[OrderDate]],"mmm")</f>
        <v>Jun</v>
      </c>
      <c r="D902">
        <v>5</v>
      </c>
      <c r="E902">
        <v>2</v>
      </c>
      <c r="F902">
        <v>2</v>
      </c>
      <c r="G902" s="3">
        <v>107875</v>
      </c>
      <c r="H902" s="3">
        <f t="shared" si="28"/>
        <v>215750</v>
      </c>
      <c r="I902" s="5">
        <f>Table2[[#This Row],[Total Revenue]]*0.3</f>
        <v>64725</v>
      </c>
      <c r="J902" s="6">
        <f t="shared" si="29"/>
        <v>0.3</v>
      </c>
      <c r="K902" t="str">
        <f>VLOOKUP(Table2[[#This Row],[ProductID]],Products!$A$1:C906,2)</f>
        <v>Monitor</v>
      </c>
      <c r="L902" t="str">
        <f>VLOOKUP(D902,Products!$A$1:C906,3)</f>
        <v>Accessories</v>
      </c>
      <c r="M902" t="str">
        <f>VLOOKUP(Table2[[#This Row],[AgentID]],Sales_Agents!$A$1:C905,2)</f>
        <v>Blessing</v>
      </c>
      <c r="N902" t="str">
        <f>VLOOKUP(Table2[[#This Row],[AgentID]],Sales_Agents!$A$1:C905,3)</f>
        <v>East</v>
      </c>
    </row>
    <row r="903" spans="1:14" x14ac:dyDescent="0.25">
      <c r="A903">
        <v>902</v>
      </c>
      <c r="B903" s="1">
        <v>45625</v>
      </c>
      <c r="C903" s="8" t="str">
        <f>TEXT(Table2[[#This Row],[OrderDate]],"mmm")</f>
        <v>Nov</v>
      </c>
      <c r="D903">
        <v>4</v>
      </c>
      <c r="E903">
        <v>2</v>
      </c>
      <c r="F903">
        <v>7</v>
      </c>
      <c r="G903" s="3">
        <v>61819</v>
      </c>
      <c r="H903" s="3">
        <f t="shared" si="28"/>
        <v>432733</v>
      </c>
      <c r="I903" s="5">
        <f>Table2[[#This Row],[Total Revenue]]*0.3</f>
        <v>129819.9</v>
      </c>
      <c r="J903" s="6">
        <f t="shared" si="29"/>
        <v>0.3</v>
      </c>
      <c r="K903" t="str">
        <f>VLOOKUP(Table2[[#This Row],[ProductID]],Products!$A$1:C907,2)</f>
        <v>Printer</v>
      </c>
      <c r="L903" t="str">
        <f>VLOOKUP(D903,Products!$A$1:C907,3)</f>
        <v>Accessories</v>
      </c>
      <c r="M903" t="str">
        <f>VLOOKUP(Table2[[#This Row],[AgentID]],Sales_Agents!$A$1:C906,2)</f>
        <v>Blessing</v>
      </c>
      <c r="N903" t="str">
        <f>VLOOKUP(Table2[[#This Row],[AgentID]],Sales_Agents!$A$1:C906,3)</f>
        <v>East</v>
      </c>
    </row>
    <row r="904" spans="1:14" x14ac:dyDescent="0.25">
      <c r="A904">
        <v>903</v>
      </c>
      <c r="B904" s="1">
        <v>45497</v>
      </c>
      <c r="C904" s="8" t="str">
        <f>TEXT(Table2[[#This Row],[OrderDate]],"mmm")</f>
        <v>Jul</v>
      </c>
      <c r="D904">
        <v>3</v>
      </c>
      <c r="E904">
        <v>2</v>
      </c>
      <c r="F904">
        <v>3</v>
      </c>
      <c r="G904" s="3">
        <v>93156</v>
      </c>
      <c r="H904" s="3">
        <f t="shared" si="28"/>
        <v>279468</v>
      </c>
      <c r="I904" s="5">
        <f>Table2[[#This Row],[Total Revenue]]*0.3</f>
        <v>83840.399999999994</v>
      </c>
      <c r="J904" s="6">
        <f t="shared" si="29"/>
        <v>0.3</v>
      </c>
      <c r="K904" t="str">
        <f>VLOOKUP(Table2[[#This Row],[ProductID]],Products!$A$1:C908,2)</f>
        <v>Tablet</v>
      </c>
      <c r="L904" t="str">
        <f>VLOOKUP(D904,Products!$A$1:C908,3)</f>
        <v>Electronics</v>
      </c>
      <c r="M904" t="str">
        <f>VLOOKUP(Table2[[#This Row],[AgentID]],Sales_Agents!$A$1:C907,2)</f>
        <v>Blessing</v>
      </c>
      <c r="N904" t="str">
        <f>VLOOKUP(Table2[[#This Row],[AgentID]],Sales_Agents!$A$1:C907,3)</f>
        <v>East</v>
      </c>
    </row>
    <row r="905" spans="1:14" x14ac:dyDescent="0.25">
      <c r="A905">
        <v>904</v>
      </c>
      <c r="B905" s="1">
        <v>45391</v>
      </c>
      <c r="C905" s="8" t="str">
        <f>TEXT(Table2[[#This Row],[OrderDate]],"mmm")</f>
        <v>Apr</v>
      </c>
      <c r="D905">
        <v>3</v>
      </c>
      <c r="E905">
        <v>1</v>
      </c>
      <c r="F905">
        <v>4</v>
      </c>
      <c r="G905" s="3">
        <v>174176</v>
      </c>
      <c r="H905" s="3">
        <f t="shared" si="28"/>
        <v>696704</v>
      </c>
      <c r="I905" s="5">
        <f>Table2[[#This Row],[Total Revenue]]*0.3</f>
        <v>209011.19999999998</v>
      </c>
      <c r="J905" s="6">
        <f t="shared" si="29"/>
        <v>0.3</v>
      </c>
      <c r="K905" t="str">
        <f>VLOOKUP(Table2[[#This Row],[ProductID]],Products!$A$1:C909,2)</f>
        <v>Tablet</v>
      </c>
      <c r="L905" t="str">
        <f>VLOOKUP(D905,Products!$A$1:C909,3)</f>
        <v>Electronics</v>
      </c>
      <c r="M905" t="str">
        <f>VLOOKUP(Table2[[#This Row],[AgentID]],Sales_Agents!$A$1:C908,2)</f>
        <v>Akin</v>
      </c>
      <c r="N905" t="str">
        <f>VLOOKUP(Table2[[#This Row],[AgentID]],Sales_Agents!$A$1:C908,3)</f>
        <v>West</v>
      </c>
    </row>
    <row r="906" spans="1:14" x14ac:dyDescent="0.25">
      <c r="A906">
        <v>905</v>
      </c>
      <c r="B906" s="1">
        <v>45395</v>
      </c>
      <c r="C906" s="8" t="str">
        <f>TEXT(Table2[[#This Row],[OrderDate]],"mmm")</f>
        <v>Apr</v>
      </c>
      <c r="D906">
        <v>1</v>
      </c>
      <c r="E906">
        <v>4</v>
      </c>
      <c r="F906">
        <v>17</v>
      </c>
      <c r="G906" s="3">
        <v>234036</v>
      </c>
      <c r="H906" s="3">
        <f t="shared" si="28"/>
        <v>3978612</v>
      </c>
      <c r="I906" s="5">
        <f>Table2[[#This Row],[Total Revenue]]*0.3</f>
        <v>1193583.5999999999</v>
      </c>
      <c r="J906" s="6">
        <f t="shared" si="29"/>
        <v>0.3</v>
      </c>
      <c r="K906" t="str">
        <f>VLOOKUP(Table2[[#This Row],[ProductID]],Products!$A$1:C910,2)</f>
        <v>Laptop</v>
      </c>
      <c r="L906" t="str">
        <f>VLOOKUP(D906,Products!$A$1:C910,3)</f>
        <v>Electronics</v>
      </c>
      <c r="M906" t="str">
        <f>VLOOKUP(Table2[[#This Row],[AgentID]],Sales_Agents!$A$1:C909,2)</f>
        <v>Zainab</v>
      </c>
      <c r="N906" t="str">
        <f>VLOOKUP(Table2[[#This Row],[AgentID]],Sales_Agents!$A$1:C909,3)</f>
        <v>North</v>
      </c>
    </row>
    <row r="907" spans="1:14" x14ac:dyDescent="0.25">
      <c r="A907">
        <v>906</v>
      </c>
      <c r="B907" s="1">
        <v>45516</v>
      </c>
      <c r="C907" s="8" t="str">
        <f>TEXT(Table2[[#This Row],[OrderDate]],"mmm")</f>
        <v>Aug</v>
      </c>
      <c r="D907">
        <v>3</v>
      </c>
      <c r="E907">
        <v>1</v>
      </c>
      <c r="F907">
        <v>10</v>
      </c>
      <c r="G907" s="3">
        <v>198062</v>
      </c>
      <c r="H907" s="3">
        <f t="shared" si="28"/>
        <v>1980620</v>
      </c>
      <c r="I907" s="5">
        <f>Table2[[#This Row],[Total Revenue]]*0.3</f>
        <v>594186</v>
      </c>
      <c r="J907" s="6">
        <f t="shared" si="29"/>
        <v>0.3</v>
      </c>
      <c r="K907" t="str">
        <f>VLOOKUP(Table2[[#This Row],[ProductID]],Products!$A$1:C911,2)</f>
        <v>Tablet</v>
      </c>
      <c r="L907" t="str">
        <f>VLOOKUP(D907,Products!$A$1:C911,3)</f>
        <v>Electronics</v>
      </c>
      <c r="M907" t="str">
        <f>VLOOKUP(Table2[[#This Row],[AgentID]],Sales_Agents!$A$1:C910,2)</f>
        <v>Akin</v>
      </c>
      <c r="N907" t="str">
        <f>VLOOKUP(Table2[[#This Row],[AgentID]],Sales_Agents!$A$1:C910,3)</f>
        <v>West</v>
      </c>
    </row>
    <row r="908" spans="1:14" x14ac:dyDescent="0.25">
      <c r="A908">
        <v>907</v>
      </c>
      <c r="B908" s="1">
        <v>45640</v>
      </c>
      <c r="C908" s="8" t="str">
        <f>TEXT(Table2[[#This Row],[OrderDate]],"mmm")</f>
        <v>Dec</v>
      </c>
      <c r="D908">
        <v>5</v>
      </c>
      <c r="E908">
        <v>2</v>
      </c>
      <c r="F908">
        <v>16</v>
      </c>
      <c r="G908" s="3">
        <v>234770</v>
      </c>
      <c r="H908" s="3">
        <f t="shared" si="28"/>
        <v>3756320</v>
      </c>
      <c r="I908" s="5">
        <f>Table2[[#This Row],[Total Revenue]]*0.3</f>
        <v>1126896</v>
      </c>
      <c r="J908" s="6">
        <f t="shared" si="29"/>
        <v>0.3</v>
      </c>
      <c r="K908" t="str">
        <f>VLOOKUP(Table2[[#This Row],[ProductID]],Products!$A$1:C912,2)</f>
        <v>Monitor</v>
      </c>
      <c r="L908" t="str">
        <f>VLOOKUP(D908,Products!$A$1:C912,3)</f>
        <v>Accessories</v>
      </c>
      <c r="M908" t="str">
        <f>VLOOKUP(Table2[[#This Row],[AgentID]],Sales_Agents!$A$1:C911,2)</f>
        <v>Blessing</v>
      </c>
      <c r="N908" t="str">
        <f>VLOOKUP(Table2[[#This Row],[AgentID]],Sales_Agents!$A$1:C911,3)</f>
        <v>East</v>
      </c>
    </row>
    <row r="909" spans="1:14" x14ac:dyDescent="0.25">
      <c r="A909">
        <v>908</v>
      </c>
      <c r="B909" s="1">
        <v>45388</v>
      </c>
      <c r="C909" s="8" t="str">
        <f>TEXT(Table2[[#This Row],[OrderDate]],"mmm")</f>
        <v>Apr</v>
      </c>
      <c r="D909">
        <v>4</v>
      </c>
      <c r="E909">
        <v>2</v>
      </c>
      <c r="F909">
        <v>6</v>
      </c>
      <c r="G909" s="3">
        <v>154184</v>
      </c>
      <c r="H909" s="3">
        <f t="shared" si="28"/>
        <v>925104</v>
      </c>
      <c r="I909" s="5">
        <f>Table2[[#This Row],[Total Revenue]]*0.3</f>
        <v>277531.2</v>
      </c>
      <c r="J909" s="6">
        <f t="shared" si="29"/>
        <v>0.3</v>
      </c>
      <c r="K909" t="str">
        <f>VLOOKUP(Table2[[#This Row],[ProductID]],Products!$A$1:C913,2)</f>
        <v>Printer</v>
      </c>
      <c r="L909" t="str">
        <f>VLOOKUP(D909,Products!$A$1:C913,3)</f>
        <v>Accessories</v>
      </c>
      <c r="M909" t="str">
        <f>VLOOKUP(Table2[[#This Row],[AgentID]],Sales_Agents!$A$1:C912,2)</f>
        <v>Blessing</v>
      </c>
      <c r="N909" t="str">
        <f>VLOOKUP(Table2[[#This Row],[AgentID]],Sales_Agents!$A$1:C912,3)</f>
        <v>East</v>
      </c>
    </row>
    <row r="910" spans="1:14" x14ac:dyDescent="0.25">
      <c r="A910">
        <v>909</v>
      </c>
      <c r="B910" s="1">
        <v>45351</v>
      </c>
      <c r="C910" s="8" t="str">
        <f>TEXT(Table2[[#This Row],[OrderDate]],"mmm")</f>
        <v>Feb</v>
      </c>
      <c r="D910">
        <v>2</v>
      </c>
      <c r="E910">
        <v>2</v>
      </c>
      <c r="F910">
        <v>18</v>
      </c>
      <c r="G910" s="3">
        <v>279493</v>
      </c>
      <c r="H910" s="3">
        <f t="shared" si="28"/>
        <v>5030874</v>
      </c>
      <c r="I910" s="5">
        <f>Table2[[#This Row],[Total Revenue]]*0.3</f>
        <v>1509262.2</v>
      </c>
      <c r="J910" s="6">
        <f t="shared" si="29"/>
        <v>0.3</v>
      </c>
      <c r="K910" t="str">
        <f>VLOOKUP(Table2[[#This Row],[ProductID]],Products!$A$1:C914,2)</f>
        <v>Phone</v>
      </c>
      <c r="L910" t="str">
        <f>VLOOKUP(D910,Products!$A$1:C914,3)</f>
        <v>Electronics</v>
      </c>
      <c r="M910" t="str">
        <f>VLOOKUP(Table2[[#This Row],[AgentID]],Sales_Agents!$A$1:C913,2)</f>
        <v>Blessing</v>
      </c>
      <c r="N910" t="str">
        <f>VLOOKUP(Table2[[#This Row],[AgentID]],Sales_Agents!$A$1:C913,3)</f>
        <v>East</v>
      </c>
    </row>
    <row r="911" spans="1:14" x14ac:dyDescent="0.25">
      <c r="A911">
        <v>910</v>
      </c>
      <c r="B911" s="1">
        <v>45629</v>
      </c>
      <c r="C911" s="8" t="str">
        <f>TEXT(Table2[[#This Row],[OrderDate]],"mmm")</f>
        <v>Dec</v>
      </c>
      <c r="D911">
        <v>4</v>
      </c>
      <c r="E911">
        <v>4</v>
      </c>
      <c r="F911">
        <v>5</v>
      </c>
      <c r="G911" s="3">
        <v>340163</v>
      </c>
      <c r="H911" s="3">
        <f t="shared" si="28"/>
        <v>1700815</v>
      </c>
      <c r="I911" s="5">
        <f>Table2[[#This Row],[Total Revenue]]*0.3</f>
        <v>510244.5</v>
      </c>
      <c r="J911" s="6">
        <f t="shared" si="29"/>
        <v>0.3</v>
      </c>
      <c r="K911" t="str">
        <f>VLOOKUP(Table2[[#This Row],[ProductID]],Products!$A$1:C915,2)</f>
        <v>Printer</v>
      </c>
      <c r="L911" t="str">
        <f>VLOOKUP(D911,Products!$A$1:C915,3)</f>
        <v>Accessories</v>
      </c>
      <c r="M911" t="str">
        <f>VLOOKUP(Table2[[#This Row],[AgentID]],Sales_Agents!$A$1:C914,2)</f>
        <v>Zainab</v>
      </c>
      <c r="N911" t="str">
        <f>VLOOKUP(Table2[[#This Row],[AgentID]],Sales_Agents!$A$1:C914,3)</f>
        <v>North</v>
      </c>
    </row>
    <row r="912" spans="1:14" x14ac:dyDescent="0.25">
      <c r="A912">
        <v>911</v>
      </c>
      <c r="B912" s="1">
        <v>45377</v>
      </c>
      <c r="C912" s="8" t="str">
        <f>TEXT(Table2[[#This Row],[OrderDate]],"mmm")</f>
        <v>Mar</v>
      </c>
      <c r="D912">
        <v>1</v>
      </c>
      <c r="E912">
        <v>4</v>
      </c>
      <c r="F912">
        <v>9</v>
      </c>
      <c r="G912" s="3">
        <v>166129</v>
      </c>
      <c r="H912" s="3">
        <f t="shared" si="28"/>
        <v>1495161</v>
      </c>
      <c r="I912" s="5">
        <f>Table2[[#This Row],[Total Revenue]]*0.3</f>
        <v>448548.3</v>
      </c>
      <c r="J912" s="6">
        <f t="shared" si="29"/>
        <v>0.3</v>
      </c>
      <c r="K912" t="str">
        <f>VLOOKUP(Table2[[#This Row],[ProductID]],Products!$A$1:C916,2)</f>
        <v>Laptop</v>
      </c>
      <c r="L912" t="str">
        <f>VLOOKUP(D912,Products!$A$1:C916,3)</f>
        <v>Electronics</v>
      </c>
      <c r="M912" t="str">
        <f>VLOOKUP(Table2[[#This Row],[AgentID]],Sales_Agents!$A$1:C915,2)</f>
        <v>Zainab</v>
      </c>
      <c r="N912" t="str">
        <f>VLOOKUP(Table2[[#This Row],[AgentID]],Sales_Agents!$A$1:C915,3)</f>
        <v>North</v>
      </c>
    </row>
    <row r="913" spans="1:14" x14ac:dyDescent="0.25">
      <c r="A913">
        <v>912</v>
      </c>
      <c r="B913" s="1">
        <v>45335</v>
      </c>
      <c r="C913" s="8" t="str">
        <f>TEXT(Table2[[#This Row],[OrderDate]],"mmm")</f>
        <v>Feb</v>
      </c>
      <c r="D913">
        <v>1</v>
      </c>
      <c r="E913">
        <v>2</v>
      </c>
      <c r="F913">
        <v>6</v>
      </c>
      <c r="G913" s="3">
        <v>182747</v>
      </c>
      <c r="H913" s="3">
        <f t="shared" si="28"/>
        <v>1096482</v>
      </c>
      <c r="I913" s="5">
        <f>Table2[[#This Row],[Total Revenue]]*0.3</f>
        <v>328944.59999999998</v>
      </c>
      <c r="J913" s="6">
        <f t="shared" si="29"/>
        <v>0.3</v>
      </c>
      <c r="K913" t="str">
        <f>VLOOKUP(Table2[[#This Row],[ProductID]],Products!$A$1:C917,2)</f>
        <v>Laptop</v>
      </c>
      <c r="L913" t="str">
        <f>VLOOKUP(D913,Products!$A$1:C917,3)</f>
        <v>Electronics</v>
      </c>
      <c r="M913" t="str">
        <f>VLOOKUP(Table2[[#This Row],[AgentID]],Sales_Agents!$A$1:C916,2)</f>
        <v>Blessing</v>
      </c>
      <c r="N913" t="str">
        <f>VLOOKUP(Table2[[#This Row],[AgentID]],Sales_Agents!$A$1:C916,3)</f>
        <v>East</v>
      </c>
    </row>
    <row r="914" spans="1:14" x14ac:dyDescent="0.25">
      <c r="A914">
        <v>913</v>
      </c>
      <c r="B914" s="1">
        <v>45530</v>
      </c>
      <c r="C914" s="8" t="str">
        <f>TEXT(Table2[[#This Row],[OrderDate]],"mmm")</f>
        <v>Aug</v>
      </c>
      <c r="D914">
        <v>3</v>
      </c>
      <c r="E914">
        <v>3</v>
      </c>
      <c r="F914">
        <v>8</v>
      </c>
      <c r="G914" s="3">
        <v>221548</v>
      </c>
      <c r="H914" s="3">
        <f t="shared" si="28"/>
        <v>1772384</v>
      </c>
      <c r="I914" s="5">
        <f>Table2[[#This Row],[Total Revenue]]*0.3</f>
        <v>531715.19999999995</v>
      </c>
      <c r="J914" s="6">
        <f t="shared" si="29"/>
        <v>0.3</v>
      </c>
      <c r="K914" t="str">
        <f>VLOOKUP(Table2[[#This Row],[ProductID]],Products!$A$1:C918,2)</f>
        <v>Tablet</v>
      </c>
      <c r="L914" t="str">
        <f>VLOOKUP(D914,Products!$A$1:C918,3)</f>
        <v>Electronics</v>
      </c>
      <c r="M914" t="str">
        <f>VLOOKUP(Table2[[#This Row],[AgentID]],Sales_Agents!$A$1:C917,2)</f>
        <v>Chinedu</v>
      </c>
      <c r="N914" t="str">
        <f>VLOOKUP(Table2[[#This Row],[AgentID]],Sales_Agents!$A$1:C917,3)</f>
        <v>South</v>
      </c>
    </row>
    <row r="915" spans="1:14" x14ac:dyDescent="0.25">
      <c r="A915">
        <v>914</v>
      </c>
      <c r="B915" s="1">
        <v>45441</v>
      </c>
      <c r="C915" s="8" t="str">
        <f>TEXT(Table2[[#This Row],[OrderDate]],"mmm")</f>
        <v>May</v>
      </c>
      <c r="D915">
        <v>1</v>
      </c>
      <c r="E915">
        <v>1</v>
      </c>
      <c r="F915">
        <v>10</v>
      </c>
      <c r="G915" s="3">
        <v>226441</v>
      </c>
      <c r="H915" s="3">
        <f t="shared" si="28"/>
        <v>2264410</v>
      </c>
      <c r="I915" s="5">
        <f>Table2[[#This Row],[Total Revenue]]*0.3</f>
        <v>679323</v>
      </c>
      <c r="J915" s="6">
        <f t="shared" si="29"/>
        <v>0.3</v>
      </c>
      <c r="K915" t="str">
        <f>VLOOKUP(Table2[[#This Row],[ProductID]],Products!$A$1:C919,2)</f>
        <v>Laptop</v>
      </c>
      <c r="L915" t="str">
        <f>VLOOKUP(D915,Products!$A$1:C919,3)</f>
        <v>Electronics</v>
      </c>
      <c r="M915" t="str">
        <f>VLOOKUP(Table2[[#This Row],[AgentID]],Sales_Agents!$A$1:C918,2)</f>
        <v>Akin</v>
      </c>
      <c r="N915" t="str">
        <f>VLOOKUP(Table2[[#This Row],[AgentID]],Sales_Agents!$A$1:C918,3)</f>
        <v>West</v>
      </c>
    </row>
    <row r="916" spans="1:14" x14ac:dyDescent="0.25">
      <c r="A916">
        <v>915</v>
      </c>
      <c r="B916" s="1">
        <v>45476</v>
      </c>
      <c r="C916" s="8" t="str">
        <f>TEXT(Table2[[#This Row],[OrderDate]],"mmm")</f>
        <v>Jul</v>
      </c>
      <c r="D916">
        <v>5</v>
      </c>
      <c r="E916">
        <v>2</v>
      </c>
      <c r="F916">
        <v>16</v>
      </c>
      <c r="G916" s="3">
        <v>166182</v>
      </c>
      <c r="H916" s="3">
        <f t="shared" si="28"/>
        <v>2658912</v>
      </c>
      <c r="I916" s="5">
        <f>Table2[[#This Row],[Total Revenue]]*0.3</f>
        <v>797673.6</v>
      </c>
      <c r="J916" s="6">
        <f t="shared" si="29"/>
        <v>0.3</v>
      </c>
      <c r="K916" t="str">
        <f>VLOOKUP(Table2[[#This Row],[ProductID]],Products!$A$1:C920,2)</f>
        <v>Monitor</v>
      </c>
      <c r="L916" t="str">
        <f>VLOOKUP(D916,Products!$A$1:C920,3)</f>
        <v>Accessories</v>
      </c>
      <c r="M916" t="str">
        <f>VLOOKUP(Table2[[#This Row],[AgentID]],Sales_Agents!$A$1:C919,2)</f>
        <v>Blessing</v>
      </c>
      <c r="N916" t="str">
        <f>VLOOKUP(Table2[[#This Row],[AgentID]],Sales_Agents!$A$1:C919,3)</f>
        <v>East</v>
      </c>
    </row>
    <row r="917" spans="1:14" x14ac:dyDescent="0.25">
      <c r="A917">
        <v>916</v>
      </c>
      <c r="B917" s="1">
        <v>45574</v>
      </c>
      <c r="C917" s="8" t="str">
        <f>TEXT(Table2[[#This Row],[OrderDate]],"mmm")</f>
        <v>Oct</v>
      </c>
      <c r="D917">
        <v>1</v>
      </c>
      <c r="E917">
        <v>4</v>
      </c>
      <c r="F917">
        <v>1</v>
      </c>
      <c r="G917" s="3">
        <v>215745</v>
      </c>
      <c r="H917" s="3">
        <f t="shared" si="28"/>
        <v>215745</v>
      </c>
      <c r="I917" s="5">
        <f>Table2[[#This Row],[Total Revenue]]*0.3</f>
        <v>64723.5</v>
      </c>
      <c r="J917" s="6">
        <f t="shared" si="29"/>
        <v>0.3</v>
      </c>
      <c r="K917" t="str">
        <f>VLOOKUP(Table2[[#This Row],[ProductID]],Products!$A$1:C921,2)</f>
        <v>Laptop</v>
      </c>
      <c r="L917" t="str">
        <f>VLOOKUP(D917,Products!$A$1:C921,3)</f>
        <v>Electronics</v>
      </c>
      <c r="M917" t="str">
        <f>VLOOKUP(Table2[[#This Row],[AgentID]],Sales_Agents!$A$1:C920,2)</f>
        <v>Zainab</v>
      </c>
      <c r="N917" t="str">
        <f>VLOOKUP(Table2[[#This Row],[AgentID]],Sales_Agents!$A$1:C920,3)</f>
        <v>North</v>
      </c>
    </row>
    <row r="918" spans="1:14" x14ac:dyDescent="0.25">
      <c r="A918">
        <v>917</v>
      </c>
      <c r="B918" s="1">
        <v>45316</v>
      </c>
      <c r="C918" s="8" t="str">
        <f>TEXT(Table2[[#This Row],[OrderDate]],"mmm")</f>
        <v>Jan</v>
      </c>
      <c r="D918">
        <v>1</v>
      </c>
      <c r="E918">
        <v>3</v>
      </c>
      <c r="F918">
        <v>1</v>
      </c>
      <c r="G918" s="3">
        <v>67620</v>
      </c>
      <c r="H918" s="3">
        <f t="shared" si="28"/>
        <v>67620</v>
      </c>
      <c r="I918" s="5">
        <f>Table2[[#This Row],[Total Revenue]]*0.3</f>
        <v>20286</v>
      </c>
      <c r="J918" s="6">
        <f t="shared" si="29"/>
        <v>0.3</v>
      </c>
      <c r="K918" t="str">
        <f>VLOOKUP(Table2[[#This Row],[ProductID]],Products!$A$1:C922,2)</f>
        <v>Laptop</v>
      </c>
      <c r="L918" t="str">
        <f>VLOOKUP(D918,Products!$A$1:C922,3)</f>
        <v>Electronics</v>
      </c>
      <c r="M918" t="str">
        <f>VLOOKUP(Table2[[#This Row],[AgentID]],Sales_Agents!$A$1:C921,2)</f>
        <v>Chinedu</v>
      </c>
      <c r="N918" t="str">
        <f>VLOOKUP(Table2[[#This Row],[AgentID]],Sales_Agents!$A$1:C921,3)</f>
        <v>South</v>
      </c>
    </row>
    <row r="919" spans="1:14" x14ac:dyDescent="0.25">
      <c r="A919">
        <v>918</v>
      </c>
      <c r="B919" s="1">
        <v>45598</v>
      </c>
      <c r="C919" s="8" t="str">
        <f>TEXT(Table2[[#This Row],[OrderDate]],"mmm")</f>
        <v>Nov</v>
      </c>
      <c r="D919">
        <v>3</v>
      </c>
      <c r="E919">
        <v>3</v>
      </c>
      <c r="F919">
        <v>7</v>
      </c>
      <c r="G919" s="3">
        <v>53876</v>
      </c>
      <c r="H919" s="3">
        <f t="shared" si="28"/>
        <v>377132</v>
      </c>
      <c r="I919" s="5">
        <f>Table2[[#This Row],[Total Revenue]]*0.3</f>
        <v>113139.59999999999</v>
      </c>
      <c r="J919" s="6">
        <f t="shared" si="29"/>
        <v>0.3</v>
      </c>
      <c r="K919" t="str">
        <f>VLOOKUP(Table2[[#This Row],[ProductID]],Products!$A$1:C923,2)</f>
        <v>Tablet</v>
      </c>
      <c r="L919" t="str">
        <f>VLOOKUP(D919,Products!$A$1:C923,3)</f>
        <v>Electronics</v>
      </c>
      <c r="M919" t="str">
        <f>VLOOKUP(Table2[[#This Row],[AgentID]],Sales_Agents!$A$1:C922,2)</f>
        <v>Chinedu</v>
      </c>
      <c r="N919" t="str">
        <f>VLOOKUP(Table2[[#This Row],[AgentID]],Sales_Agents!$A$1:C922,3)</f>
        <v>South</v>
      </c>
    </row>
    <row r="920" spans="1:14" x14ac:dyDescent="0.25">
      <c r="A920">
        <v>919</v>
      </c>
      <c r="B920" s="1">
        <v>45591</v>
      </c>
      <c r="C920" s="8" t="str">
        <f>TEXT(Table2[[#This Row],[OrderDate]],"mmm")</f>
        <v>Oct</v>
      </c>
      <c r="D920">
        <v>1</v>
      </c>
      <c r="E920">
        <v>3</v>
      </c>
      <c r="F920">
        <v>1</v>
      </c>
      <c r="G920" s="3">
        <v>248751</v>
      </c>
      <c r="H920" s="3">
        <f t="shared" si="28"/>
        <v>248751</v>
      </c>
      <c r="I920" s="5">
        <f>Table2[[#This Row],[Total Revenue]]*0.3</f>
        <v>74625.3</v>
      </c>
      <c r="J920" s="6">
        <f t="shared" si="29"/>
        <v>0.3</v>
      </c>
      <c r="K920" t="str">
        <f>VLOOKUP(Table2[[#This Row],[ProductID]],Products!$A$1:C924,2)</f>
        <v>Laptop</v>
      </c>
      <c r="L920" t="str">
        <f>VLOOKUP(D920,Products!$A$1:C924,3)</f>
        <v>Electronics</v>
      </c>
      <c r="M920" t="str">
        <f>VLOOKUP(Table2[[#This Row],[AgentID]],Sales_Agents!$A$1:C923,2)</f>
        <v>Chinedu</v>
      </c>
      <c r="N920" t="str">
        <f>VLOOKUP(Table2[[#This Row],[AgentID]],Sales_Agents!$A$1:C923,3)</f>
        <v>South</v>
      </c>
    </row>
    <row r="921" spans="1:14" x14ac:dyDescent="0.25">
      <c r="A921">
        <v>920</v>
      </c>
      <c r="B921" s="1">
        <v>45360</v>
      </c>
      <c r="C921" s="8" t="str">
        <f>TEXT(Table2[[#This Row],[OrderDate]],"mmm")</f>
        <v>Mar</v>
      </c>
      <c r="D921">
        <v>4</v>
      </c>
      <c r="E921">
        <v>1</v>
      </c>
      <c r="F921">
        <v>14</v>
      </c>
      <c r="G921" s="3">
        <v>109510</v>
      </c>
      <c r="H921" s="3">
        <f t="shared" si="28"/>
        <v>1533140</v>
      </c>
      <c r="I921" s="5">
        <f>Table2[[#This Row],[Total Revenue]]*0.3</f>
        <v>459942</v>
      </c>
      <c r="J921" s="6">
        <f t="shared" si="29"/>
        <v>0.3</v>
      </c>
      <c r="K921" t="str">
        <f>VLOOKUP(Table2[[#This Row],[ProductID]],Products!$A$1:C925,2)</f>
        <v>Printer</v>
      </c>
      <c r="L921" t="str">
        <f>VLOOKUP(D921,Products!$A$1:C925,3)</f>
        <v>Accessories</v>
      </c>
      <c r="M921" t="str">
        <f>VLOOKUP(Table2[[#This Row],[AgentID]],Sales_Agents!$A$1:C924,2)</f>
        <v>Akin</v>
      </c>
      <c r="N921" t="str">
        <f>VLOOKUP(Table2[[#This Row],[AgentID]],Sales_Agents!$A$1:C924,3)</f>
        <v>West</v>
      </c>
    </row>
    <row r="922" spans="1:14" x14ac:dyDescent="0.25">
      <c r="A922">
        <v>921</v>
      </c>
      <c r="B922" s="1">
        <v>45599</v>
      </c>
      <c r="C922" s="8" t="str">
        <f>TEXT(Table2[[#This Row],[OrderDate]],"mmm")</f>
        <v>Nov</v>
      </c>
      <c r="D922">
        <v>5</v>
      </c>
      <c r="E922">
        <v>1</v>
      </c>
      <c r="F922">
        <v>4</v>
      </c>
      <c r="G922" s="3">
        <v>144155</v>
      </c>
      <c r="H922" s="3">
        <f t="shared" si="28"/>
        <v>576620</v>
      </c>
      <c r="I922" s="5">
        <f>Table2[[#This Row],[Total Revenue]]*0.3</f>
        <v>172986</v>
      </c>
      <c r="J922" s="6">
        <f t="shared" si="29"/>
        <v>0.3</v>
      </c>
      <c r="K922" t="str">
        <f>VLOOKUP(Table2[[#This Row],[ProductID]],Products!$A$1:C926,2)</f>
        <v>Monitor</v>
      </c>
      <c r="L922" t="str">
        <f>VLOOKUP(D922,Products!$A$1:C926,3)</f>
        <v>Accessories</v>
      </c>
      <c r="M922" t="str">
        <f>VLOOKUP(Table2[[#This Row],[AgentID]],Sales_Agents!$A$1:C925,2)</f>
        <v>Akin</v>
      </c>
      <c r="N922" t="str">
        <f>VLOOKUP(Table2[[#This Row],[AgentID]],Sales_Agents!$A$1:C925,3)</f>
        <v>West</v>
      </c>
    </row>
    <row r="923" spans="1:14" x14ac:dyDescent="0.25">
      <c r="A923">
        <v>922</v>
      </c>
      <c r="B923" s="1">
        <v>45385</v>
      </c>
      <c r="C923" s="8" t="str">
        <f>TEXT(Table2[[#This Row],[OrderDate]],"mmm")</f>
        <v>Apr</v>
      </c>
      <c r="D923">
        <v>3</v>
      </c>
      <c r="E923">
        <v>4</v>
      </c>
      <c r="F923">
        <v>15</v>
      </c>
      <c r="G923" s="3">
        <v>351990</v>
      </c>
      <c r="H923" s="3">
        <f t="shared" si="28"/>
        <v>5279850</v>
      </c>
      <c r="I923" s="5">
        <f>Table2[[#This Row],[Total Revenue]]*0.3</f>
        <v>1583955</v>
      </c>
      <c r="J923" s="6">
        <f t="shared" si="29"/>
        <v>0.3</v>
      </c>
      <c r="K923" t="str">
        <f>VLOOKUP(Table2[[#This Row],[ProductID]],Products!$A$1:C927,2)</f>
        <v>Tablet</v>
      </c>
      <c r="L923" t="str">
        <f>VLOOKUP(D923,Products!$A$1:C927,3)</f>
        <v>Electronics</v>
      </c>
      <c r="M923" t="str">
        <f>VLOOKUP(Table2[[#This Row],[AgentID]],Sales_Agents!$A$1:C926,2)</f>
        <v>Zainab</v>
      </c>
      <c r="N923" t="str">
        <f>VLOOKUP(Table2[[#This Row],[AgentID]],Sales_Agents!$A$1:C926,3)</f>
        <v>North</v>
      </c>
    </row>
    <row r="924" spans="1:14" x14ac:dyDescent="0.25">
      <c r="A924">
        <v>923</v>
      </c>
      <c r="B924" s="1">
        <v>45503</v>
      </c>
      <c r="C924" s="8" t="str">
        <f>TEXT(Table2[[#This Row],[OrderDate]],"mmm")</f>
        <v>Jul</v>
      </c>
      <c r="D924">
        <v>2</v>
      </c>
      <c r="E924">
        <v>1</v>
      </c>
      <c r="F924">
        <v>19</v>
      </c>
      <c r="G924" s="3">
        <v>142024</v>
      </c>
      <c r="H924" s="3">
        <f t="shared" si="28"/>
        <v>2698456</v>
      </c>
      <c r="I924" s="5">
        <f>Table2[[#This Row],[Total Revenue]]*0.3</f>
        <v>809536.79999999993</v>
      </c>
      <c r="J924" s="6">
        <f t="shared" si="29"/>
        <v>0.3</v>
      </c>
      <c r="K924" t="str">
        <f>VLOOKUP(Table2[[#This Row],[ProductID]],Products!$A$1:C928,2)</f>
        <v>Phone</v>
      </c>
      <c r="L924" t="str">
        <f>VLOOKUP(D924,Products!$A$1:C928,3)</f>
        <v>Electronics</v>
      </c>
      <c r="M924" t="str">
        <f>VLOOKUP(Table2[[#This Row],[AgentID]],Sales_Agents!$A$1:C927,2)</f>
        <v>Akin</v>
      </c>
      <c r="N924" t="str">
        <f>VLOOKUP(Table2[[#This Row],[AgentID]],Sales_Agents!$A$1:C927,3)</f>
        <v>West</v>
      </c>
    </row>
    <row r="925" spans="1:14" x14ac:dyDescent="0.25">
      <c r="A925">
        <v>924</v>
      </c>
      <c r="B925" s="1">
        <v>45436</v>
      </c>
      <c r="C925" s="8" t="str">
        <f>TEXT(Table2[[#This Row],[OrderDate]],"mmm")</f>
        <v>May</v>
      </c>
      <c r="D925">
        <v>4</v>
      </c>
      <c r="E925">
        <v>1</v>
      </c>
      <c r="F925">
        <v>12</v>
      </c>
      <c r="G925" s="3">
        <v>230275</v>
      </c>
      <c r="H925" s="3">
        <f t="shared" si="28"/>
        <v>2763300</v>
      </c>
      <c r="I925" s="5">
        <f>Table2[[#This Row],[Total Revenue]]*0.3</f>
        <v>828990</v>
      </c>
      <c r="J925" s="6">
        <f t="shared" si="29"/>
        <v>0.3</v>
      </c>
      <c r="K925" t="str">
        <f>VLOOKUP(Table2[[#This Row],[ProductID]],Products!$A$1:C929,2)</f>
        <v>Printer</v>
      </c>
      <c r="L925" t="str">
        <f>VLOOKUP(D925,Products!$A$1:C929,3)</f>
        <v>Accessories</v>
      </c>
      <c r="M925" t="str">
        <f>VLOOKUP(Table2[[#This Row],[AgentID]],Sales_Agents!$A$1:C928,2)</f>
        <v>Akin</v>
      </c>
      <c r="N925" t="str">
        <f>VLOOKUP(Table2[[#This Row],[AgentID]],Sales_Agents!$A$1:C928,3)</f>
        <v>West</v>
      </c>
    </row>
    <row r="926" spans="1:14" x14ac:dyDescent="0.25">
      <c r="A926">
        <v>925</v>
      </c>
      <c r="B926" s="1">
        <v>45421</v>
      </c>
      <c r="C926" s="8" t="str">
        <f>TEXT(Table2[[#This Row],[OrderDate]],"mmm")</f>
        <v>May</v>
      </c>
      <c r="D926">
        <v>4</v>
      </c>
      <c r="E926">
        <v>4</v>
      </c>
      <c r="F926">
        <v>11</v>
      </c>
      <c r="G926" s="3">
        <v>337535</v>
      </c>
      <c r="H926" s="3">
        <f t="shared" si="28"/>
        <v>3712885</v>
      </c>
      <c r="I926" s="5">
        <f>Table2[[#This Row],[Total Revenue]]*0.3</f>
        <v>1113865.5</v>
      </c>
      <c r="J926" s="6">
        <f t="shared" si="29"/>
        <v>0.3</v>
      </c>
      <c r="K926" t="str">
        <f>VLOOKUP(Table2[[#This Row],[ProductID]],Products!$A$1:C930,2)</f>
        <v>Printer</v>
      </c>
      <c r="L926" t="str">
        <f>VLOOKUP(D926,Products!$A$1:C930,3)</f>
        <v>Accessories</v>
      </c>
      <c r="M926" t="str">
        <f>VLOOKUP(Table2[[#This Row],[AgentID]],Sales_Agents!$A$1:C929,2)</f>
        <v>Zainab</v>
      </c>
      <c r="N926" t="str">
        <f>VLOOKUP(Table2[[#This Row],[AgentID]],Sales_Agents!$A$1:C929,3)</f>
        <v>North</v>
      </c>
    </row>
    <row r="927" spans="1:14" x14ac:dyDescent="0.25">
      <c r="A927">
        <v>926</v>
      </c>
      <c r="B927" s="1">
        <v>45406</v>
      </c>
      <c r="C927" s="8" t="str">
        <f>TEXT(Table2[[#This Row],[OrderDate]],"mmm")</f>
        <v>Apr</v>
      </c>
      <c r="D927">
        <v>4</v>
      </c>
      <c r="E927">
        <v>1</v>
      </c>
      <c r="F927">
        <v>19</v>
      </c>
      <c r="G927" s="3">
        <v>199082</v>
      </c>
      <c r="H927" s="3">
        <f t="shared" si="28"/>
        <v>3782558</v>
      </c>
      <c r="I927" s="5">
        <f>Table2[[#This Row],[Total Revenue]]*0.3</f>
        <v>1134767.3999999999</v>
      </c>
      <c r="J927" s="6">
        <f t="shared" si="29"/>
        <v>0.3</v>
      </c>
      <c r="K927" t="str">
        <f>VLOOKUP(Table2[[#This Row],[ProductID]],Products!$A$1:C931,2)</f>
        <v>Printer</v>
      </c>
      <c r="L927" t="str">
        <f>VLOOKUP(D927,Products!$A$1:C931,3)</f>
        <v>Accessories</v>
      </c>
      <c r="M927" t="str">
        <f>VLOOKUP(Table2[[#This Row],[AgentID]],Sales_Agents!$A$1:C930,2)</f>
        <v>Akin</v>
      </c>
      <c r="N927" t="str">
        <f>VLOOKUP(Table2[[#This Row],[AgentID]],Sales_Agents!$A$1:C930,3)</f>
        <v>West</v>
      </c>
    </row>
    <row r="928" spans="1:14" x14ac:dyDescent="0.25">
      <c r="A928">
        <v>927</v>
      </c>
      <c r="B928" s="1">
        <v>45350</v>
      </c>
      <c r="C928" s="8" t="str">
        <f>TEXT(Table2[[#This Row],[OrderDate]],"mmm")</f>
        <v>Feb</v>
      </c>
      <c r="D928">
        <v>4</v>
      </c>
      <c r="E928">
        <v>1</v>
      </c>
      <c r="F928">
        <v>10</v>
      </c>
      <c r="G928" s="3">
        <v>314525</v>
      </c>
      <c r="H928" s="3">
        <f t="shared" si="28"/>
        <v>3145250</v>
      </c>
      <c r="I928" s="5">
        <f>Table2[[#This Row],[Total Revenue]]*0.3</f>
        <v>943575</v>
      </c>
      <c r="J928" s="6">
        <f t="shared" si="29"/>
        <v>0.3</v>
      </c>
      <c r="K928" t="str">
        <f>VLOOKUP(Table2[[#This Row],[ProductID]],Products!$A$1:C932,2)</f>
        <v>Printer</v>
      </c>
      <c r="L928" t="str">
        <f>VLOOKUP(D928,Products!$A$1:C932,3)</f>
        <v>Accessories</v>
      </c>
      <c r="M928" t="str">
        <f>VLOOKUP(Table2[[#This Row],[AgentID]],Sales_Agents!$A$1:C931,2)</f>
        <v>Akin</v>
      </c>
      <c r="N928" t="str">
        <f>VLOOKUP(Table2[[#This Row],[AgentID]],Sales_Agents!$A$1:C931,3)</f>
        <v>West</v>
      </c>
    </row>
    <row r="929" spans="1:14" x14ac:dyDescent="0.25">
      <c r="A929">
        <v>928</v>
      </c>
      <c r="B929" s="1">
        <v>45578</v>
      </c>
      <c r="C929" s="8" t="str">
        <f>TEXT(Table2[[#This Row],[OrderDate]],"mmm")</f>
        <v>Oct</v>
      </c>
      <c r="D929">
        <v>4</v>
      </c>
      <c r="E929">
        <v>3</v>
      </c>
      <c r="F929">
        <v>12</v>
      </c>
      <c r="G929" s="3">
        <v>176522</v>
      </c>
      <c r="H929" s="3">
        <f t="shared" si="28"/>
        <v>2118264</v>
      </c>
      <c r="I929" s="5">
        <f>Table2[[#This Row],[Total Revenue]]*0.3</f>
        <v>635479.19999999995</v>
      </c>
      <c r="J929" s="6">
        <f t="shared" si="29"/>
        <v>0.3</v>
      </c>
      <c r="K929" t="str">
        <f>VLOOKUP(Table2[[#This Row],[ProductID]],Products!$A$1:C933,2)</f>
        <v>Printer</v>
      </c>
      <c r="L929" t="str">
        <f>VLOOKUP(D929,Products!$A$1:C933,3)</f>
        <v>Accessories</v>
      </c>
      <c r="M929" t="str">
        <f>VLOOKUP(Table2[[#This Row],[AgentID]],Sales_Agents!$A$1:C932,2)</f>
        <v>Chinedu</v>
      </c>
      <c r="N929" t="str">
        <f>VLOOKUP(Table2[[#This Row],[AgentID]],Sales_Agents!$A$1:C932,3)</f>
        <v>South</v>
      </c>
    </row>
    <row r="930" spans="1:14" x14ac:dyDescent="0.25">
      <c r="A930">
        <v>929</v>
      </c>
      <c r="B930" s="1">
        <v>45399</v>
      </c>
      <c r="C930" s="8" t="str">
        <f>TEXT(Table2[[#This Row],[OrderDate]],"mmm")</f>
        <v>Apr</v>
      </c>
      <c r="D930">
        <v>4</v>
      </c>
      <c r="E930">
        <v>1</v>
      </c>
      <c r="F930">
        <v>14</v>
      </c>
      <c r="G930" s="3">
        <v>233166</v>
      </c>
      <c r="H930" s="3">
        <f t="shared" si="28"/>
        <v>3264324</v>
      </c>
      <c r="I930" s="5">
        <f>Table2[[#This Row],[Total Revenue]]*0.3</f>
        <v>979297.2</v>
      </c>
      <c r="J930" s="6">
        <f t="shared" si="29"/>
        <v>0.3</v>
      </c>
      <c r="K930" t="str">
        <f>VLOOKUP(Table2[[#This Row],[ProductID]],Products!$A$1:C934,2)</f>
        <v>Printer</v>
      </c>
      <c r="L930" t="str">
        <f>VLOOKUP(D930,Products!$A$1:C934,3)</f>
        <v>Accessories</v>
      </c>
      <c r="M930" t="str">
        <f>VLOOKUP(Table2[[#This Row],[AgentID]],Sales_Agents!$A$1:C933,2)</f>
        <v>Akin</v>
      </c>
      <c r="N930" t="str">
        <f>VLOOKUP(Table2[[#This Row],[AgentID]],Sales_Agents!$A$1:C933,3)</f>
        <v>West</v>
      </c>
    </row>
    <row r="931" spans="1:14" x14ac:dyDescent="0.25">
      <c r="A931">
        <v>930</v>
      </c>
      <c r="B931" s="1">
        <v>45627</v>
      </c>
      <c r="C931" s="8" t="str">
        <f>TEXT(Table2[[#This Row],[OrderDate]],"mmm")</f>
        <v>Dec</v>
      </c>
      <c r="D931">
        <v>3</v>
      </c>
      <c r="E931">
        <v>2</v>
      </c>
      <c r="F931">
        <v>10</v>
      </c>
      <c r="G931" s="3">
        <v>320926</v>
      </c>
      <c r="H931" s="3">
        <f t="shared" si="28"/>
        <v>3209260</v>
      </c>
      <c r="I931" s="5">
        <f>Table2[[#This Row],[Total Revenue]]*0.3</f>
        <v>962778</v>
      </c>
      <c r="J931" s="6">
        <f t="shared" si="29"/>
        <v>0.3</v>
      </c>
      <c r="K931" t="str">
        <f>VLOOKUP(Table2[[#This Row],[ProductID]],Products!$A$1:C935,2)</f>
        <v>Tablet</v>
      </c>
      <c r="L931" t="str">
        <f>VLOOKUP(D931,Products!$A$1:C935,3)</f>
        <v>Electronics</v>
      </c>
      <c r="M931" t="str">
        <f>VLOOKUP(Table2[[#This Row],[AgentID]],Sales_Agents!$A$1:C934,2)</f>
        <v>Blessing</v>
      </c>
      <c r="N931" t="str">
        <f>VLOOKUP(Table2[[#This Row],[AgentID]],Sales_Agents!$A$1:C934,3)</f>
        <v>East</v>
      </c>
    </row>
    <row r="932" spans="1:14" x14ac:dyDescent="0.25">
      <c r="A932">
        <v>931</v>
      </c>
      <c r="B932" s="1">
        <v>45346</v>
      </c>
      <c r="C932" s="8" t="str">
        <f>TEXT(Table2[[#This Row],[OrderDate]],"mmm")</f>
        <v>Feb</v>
      </c>
      <c r="D932">
        <v>4</v>
      </c>
      <c r="E932">
        <v>3</v>
      </c>
      <c r="F932">
        <v>7</v>
      </c>
      <c r="G932" s="3">
        <v>131268</v>
      </c>
      <c r="H932" s="3">
        <f t="shared" si="28"/>
        <v>918876</v>
      </c>
      <c r="I932" s="5">
        <f>Table2[[#This Row],[Total Revenue]]*0.3</f>
        <v>275662.8</v>
      </c>
      <c r="J932" s="6">
        <f t="shared" si="29"/>
        <v>0.3</v>
      </c>
      <c r="K932" t="str">
        <f>VLOOKUP(Table2[[#This Row],[ProductID]],Products!$A$1:C936,2)</f>
        <v>Printer</v>
      </c>
      <c r="L932" t="str">
        <f>VLOOKUP(D932,Products!$A$1:C936,3)</f>
        <v>Accessories</v>
      </c>
      <c r="M932" t="str">
        <f>VLOOKUP(Table2[[#This Row],[AgentID]],Sales_Agents!$A$1:C935,2)</f>
        <v>Chinedu</v>
      </c>
      <c r="N932" t="str">
        <f>VLOOKUP(Table2[[#This Row],[AgentID]],Sales_Agents!$A$1:C935,3)</f>
        <v>South</v>
      </c>
    </row>
    <row r="933" spans="1:14" x14ac:dyDescent="0.25">
      <c r="A933">
        <v>932</v>
      </c>
      <c r="B933" s="1">
        <v>45627</v>
      </c>
      <c r="C933" s="8" t="str">
        <f>TEXT(Table2[[#This Row],[OrderDate]],"mmm")</f>
        <v>Dec</v>
      </c>
      <c r="D933">
        <v>5</v>
      </c>
      <c r="E933">
        <v>4</v>
      </c>
      <c r="F933">
        <v>19</v>
      </c>
      <c r="G933" s="3">
        <v>86349</v>
      </c>
      <c r="H933" s="3">
        <f t="shared" si="28"/>
        <v>1640631</v>
      </c>
      <c r="I933" s="5">
        <f>Table2[[#This Row],[Total Revenue]]*0.3</f>
        <v>492189.3</v>
      </c>
      <c r="J933" s="6">
        <f t="shared" si="29"/>
        <v>0.3</v>
      </c>
      <c r="K933" t="str">
        <f>VLOOKUP(Table2[[#This Row],[ProductID]],Products!$A$1:C937,2)</f>
        <v>Monitor</v>
      </c>
      <c r="L933" t="str">
        <f>VLOOKUP(D933,Products!$A$1:C937,3)</f>
        <v>Accessories</v>
      </c>
      <c r="M933" t="str">
        <f>VLOOKUP(Table2[[#This Row],[AgentID]],Sales_Agents!$A$1:C936,2)</f>
        <v>Zainab</v>
      </c>
      <c r="N933" t="str">
        <f>VLOOKUP(Table2[[#This Row],[AgentID]],Sales_Agents!$A$1:C936,3)</f>
        <v>North</v>
      </c>
    </row>
    <row r="934" spans="1:14" x14ac:dyDescent="0.25">
      <c r="A934">
        <v>933</v>
      </c>
      <c r="B934" s="1">
        <v>45596</v>
      </c>
      <c r="C934" s="8" t="str">
        <f>TEXT(Table2[[#This Row],[OrderDate]],"mmm")</f>
        <v>Oct</v>
      </c>
      <c r="D934">
        <v>4</v>
      </c>
      <c r="E934">
        <v>2</v>
      </c>
      <c r="F934">
        <v>2</v>
      </c>
      <c r="G934" s="3">
        <v>269821</v>
      </c>
      <c r="H934" s="3">
        <f t="shared" si="28"/>
        <v>539642</v>
      </c>
      <c r="I934" s="5">
        <f>Table2[[#This Row],[Total Revenue]]*0.3</f>
        <v>161892.6</v>
      </c>
      <c r="J934" s="6">
        <f t="shared" si="29"/>
        <v>0.3</v>
      </c>
      <c r="K934" t="str">
        <f>VLOOKUP(Table2[[#This Row],[ProductID]],Products!$A$1:C938,2)</f>
        <v>Printer</v>
      </c>
      <c r="L934" t="str">
        <f>VLOOKUP(D934,Products!$A$1:C938,3)</f>
        <v>Accessories</v>
      </c>
      <c r="M934" t="str">
        <f>VLOOKUP(Table2[[#This Row],[AgentID]],Sales_Agents!$A$1:C937,2)</f>
        <v>Blessing</v>
      </c>
      <c r="N934" t="str">
        <f>VLOOKUP(Table2[[#This Row],[AgentID]],Sales_Agents!$A$1:C937,3)</f>
        <v>East</v>
      </c>
    </row>
    <row r="935" spans="1:14" x14ac:dyDescent="0.25">
      <c r="A935">
        <v>934</v>
      </c>
      <c r="B935" s="1">
        <v>45521</v>
      </c>
      <c r="C935" s="8" t="str">
        <f>TEXT(Table2[[#This Row],[OrderDate]],"mmm")</f>
        <v>Aug</v>
      </c>
      <c r="D935">
        <v>4</v>
      </c>
      <c r="E935">
        <v>3</v>
      </c>
      <c r="F935">
        <v>7</v>
      </c>
      <c r="G935" s="3">
        <v>149297</v>
      </c>
      <c r="H935" s="3">
        <f t="shared" si="28"/>
        <v>1045079</v>
      </c>
      <c r="I935" s="5">
        <f>Table2[[#This Row],[Total Revenue]]*0.3</f>
        <v>313523.7</v>
      </c>
      <c r="J935" s="6">
        <f t="shared" si="29"/>
        <v>0.3</v>
      </c>
      <c r="K935" t="str">
        <f>VLOOKUP(Table2[[#This Row],[ProductID]],Products!$A$1:C939,2)</f>
        <v>Printer</v>
      </c>
      <c r="L935" t="str">
        <f>VLOOKUP(D935,Products!$A$1:C939,3)</f>
        <v>Accessories</v>
      </c>
      <c r="M935" t="str">
        <f>VLOOKUP(Table2[[#This Row],[AgentID]],Sales_Agents!$A$1:C938,2)</f>
        <v>Chinedu</v>
      </c>
      <c r="N935" t="str">
        <f>VLOOKUP(Table2[[#This Row],[AgentID]],Sales_Agents!$A$1:C938,3)</f>
        <v>South</v>
      </c>
    </row>
    <row r="936" spans="1:14" x14ac:dyDescent="0.25">
      <c r="A936">
        <v>935</v>
      </c>
      <c r="B936" s="1">
        <v>45394</v>
      </c>
      <c r="C936" s="8" t="str">
        <f>TEXT(Table2[[#This Row],[OrderDate]],"mmm")</f>
        <v>Apr</v>
      </c>
      <c r="D936">
        <v>2</v>
      </c>
      <c r="E936">
        <v>3</v>
      </c>
      <c r="F936">
        <v>15</v>
      </c>
      <c r="G936" s="3">
        <v>257162</v>
      </c>
      <c r="H936" s="3">
        <f t="shared" si="28"/>
        <v>3857430</v>
      </c>
      <c r="I936" s="5">
        <f>Table2[[#This Row],[Total Revenue]]*0.3</f>
        <v>1157229</v>
      </c>
      <c r="J936" s="6">
        <f t="shared" si="29"/>
        <v>0.3</v>
      </c>
      <c r="K936" t="str">
        <f>VLOOKUP(Table2[[#This Row],[ProductID]],Products!$A$1:C940,2)</f>
        <v>Phone</v>
      </c>
      <c r="L936" t="str">
        <f>VLOOKUP(D936,Products!$A$1:C940,3)</f>
        <v>Electronics</v>
      </c>
      <c r="M936" t="str">
        <f>VLOOKUP(Table2[[#This Row],[AgentID]],Sales_Agents!$A$1:C939,2)</f>
        <v>Chinedu</v>
      </c>
      <c r="N936" t="str">
        <f>VLOOKUP(Table2[[#This Row],[AgentID]],Sales_Agents!$A$1:C939,3)</f>
        <v>South</v>
      </c>
    </row>
    <row r="937" spans="1:14" x14ac:dyDescent="0.25">
      <c r="A937">
        <v>936</v>
      </c>
      <c r="B937" s="1">
        <v>45601</v>
      </c>
      <c r="C937" s="8" t="str">
        <f>TEXT(Table2[[#This Row],[OrderDate]],"mmm")</f>
        <v>Nov</v>
      </c>
      <c r="D937">
        <v>4</v>
      </c>
      <c r="E937">
        <v>4</v>
      </c>
      <c r="F937">
        <v>16</v>
      </c>
      <c r="G937" s="3">
        <v>205928</v>
      </c>
      <c r="H937" s="3">
        <f t="shared" si="28"/>
        <v>3294848</v>
      </c>
      <c r="I937" s="5">
        <f>Table2[[#This Row],[Total Revenue]]*0.3</f>
        <v>988454.39999999991</v>
      </c>
      <c r="J937" s="6">
        <f t="shared" si="29"/>
        <v>0.3</v>
      </c>
      <c r="K937" t="str">
        <f>VLOOKUP(Table2[[#This Row],[ProductID]],Products!$A$1:C941,2)</f>
        <v>Printer</v>
      </c>
      <c r="L937" t="str">
        <f>VLOOKUP(D937,Products!$A$1:C941,3)</f>
        <v>Accessories</v>
      </c>
      <c r="M937" t="str">
        <f>VLOOKUP(Table2[[#This Row],[AgentID]],Sales_Agents!$A$1:C940,2)</f>
        <v>Zainab</v>
      </c>
      <c r="N937" t="str">
        <f>VLOOKUP(Table2[[#This Row],[AgentID]],Sales_Agents!$A$1:C940,3)</f>
        <v>North</v>
      </c>
    </row>
    <row r="938" spans="1:14" x14ac:dyDescent="0.25">
      <c r="A938">
        <v>937</v>
      </c>
      <c r="B938" s="1">
        <v>45558</v>
      </c>
      <c r="C938" s="8" t="str">
        <f>TEXT(Table2[[#This Row],[OrderDate]],"mmm")</f>
        <v>Sept</v>
      </c>
      <c r="D938">
        <v>4</v>
      </c>
      <c r="E938">
        <v>3</v>
      </c>
      <c r="F938">
        <v>12</v>
      </c>
      <c r="G938" s="3">
        <v>355834</v>
      </c>
      <c r="H938" s="3">
        <f t="shared" si="28"/>
        <v>4270008</v>
      </c>
      <c r="I938" s="5">
        <f>Table2[[#This Row],[Total Revenue]]*0.3</f>
        <v>1281002.3999999999</v>
      </c>
      <c r="J938" s="6">
        <f t="shared" si="29"/>
        <v>0.3</v>
      </c>
      <c r="K938" t="str">
        <f>VLOOKUP(Table2[[#This Row],[ProductID]],Products!$A$1:C942,2)</f>
        <v>Printer</v>
      </c>
      <c r="L938" t="str">
        <f>VLOOKUP(D938,Products!$A$1:C942,3)</f>
        <v>Accessories</v>
      </c>
      <c r="M938" t="str">
        <f>VLOOKUP(Table2[[#This Row],[AgentID]],Sales_Agents!$A$1:C941,2)</f>
        <v>Chinedu</v>
      </c>
      <c r="N938" t="str">
        <f>VLOOKUP(Table2[[#This Row],[AgentID]],Sales_Agents!$A$1:C941,3)</f>
        <v>South</v>
      </c>
    </row>
    <row r="939" spans="1:14" x14ac:dyDescent="0.25">
      <c r="A939">
        <v>938</v>
      </c>
      <c r="B939" s="1">
        <v>45597</v>
      </c>
      <c r="C939" s="8" t="str">
        <f>TEXT(Table2[[#This Row],[OrderDate]],"mmm")</f>
        <v>Nov</v>
      </c>
      <c r="D939">
        <v>3</v>
      </c>
      <c r="E939">
        <v>3</v>
      </c>
      <c r="F939">
        <v>14</v>
      </c>
      <c r="G939" s="3">
        <v>178565</v>
      </c>
      <c r="H939" s="3">
        <f t="shared" si="28"/>
        <v>2499910</v>
      </c>
      <c r="I939" s="5">
        <f>Table2[[#This Row],[Total Revenue]]*0.3</f>
        <v>749973</v>
      </c>
      <c r="J939" s="6">
        <f t="shared" si="29"/>
        <v>0.3</v>
      </c>
      <c r="K939" t="str">
        <f>VLOOKUP(Table2[[#This Row],[ProductID]],Products!$A$1:C943,2)</f>
        <v>Tablet</v>
      </c>
      <c r="L939" t="str">
        <f>VLOOKUP(D939,Products!$A$1:C943,3)</f>
        <v>Electronics</v>
      </c>
      <c r="M939" t="str">
        <f>VLOOKUP(Table2[[#This Row],[AgentID]],Sales_Agents!$A$1:C942,2)</f>
        <v>Chinedu</v>
      </c>
      <c r="N939" t="str">
        <f>VLOOKUP(Table2[[#This Row],[AgentID]],Sales_Agents!$A$1:C942,3)</f>
        <v>South</v>
      </c>
    </row>
    <row r="940" spans="1:14" x14ac:dyDescent="0.25">
      <c r="A940">
        <v>939</v>
      </c>
      <c r="B940" s="1">
        <v>45503</v>
      </c>
      <c r="C940" s="8" t="str">
        <f>TEXT(Table2[[#This Row],[OrderDate]],"mmm")</f>
        <v>Jul</v>
      </c>
      <c r="D940">
        <v>3</v>
      </c>
      <c r="E940">
        <v>4</v>
      </c>
      <c r="F940">
        <v>2</v>
      </c>
      <c r="G940" s="3">
        <v>331429</v>
      </c>
      <c r="H940" s="3">
        <f t="shared" si="28"/>
        <v>662858</v>
      </c>
      <c r="I940" s="5">
        <f>Table2[[#This Row],[Total Revenue]]*0.3</f>
        <v>198857.4</v>
      </c>
      <c r="J940" s="6">
        <f t="shared" si="29"/>
        <v>0.3</v>
      </c>
      <c r="K940" t="str">
        <f>VLOOKUP(Table2[[#This Row],[ProductID]],Products!$A$1:C944,2)</f>
        <v>Tablet</v>
      </c>
      <c r="L940" t="str">
        <f>VLOOKUP(D940,Products!$A$1:C944,3)</f>
        <v>Electronics</v>
      </c>
      <c r="M940" t="str">
        <f>VLOOKUP(Table2[[#This Row],[AgentID]],Sales_Agents!$A$1:C943,2)</f>
        <v>Zainab</v>
      </c>
      <c r="N940" t="str">
        <f>VLOOKUP(Table2[[#This Row],[AgentID]],Sales_Agents!$A$1:C943,3)</f>
        <v>North</v>
      </c>
    </row>
    <row r="941" spans="1:14" x14ac:dyDescent="0.25">
      <c r="A941">
        <v>940</v>
      </c>
      <c r="B941" s="1">
        <v>45513</v>
      </c>
      <c r="C941" s="8" t="str">
        <f>TEXT(Table2[[#This Row],[OrderDate]],"mmm")</f>
        <v>Aug</v>
      </c>
      <c r="D941">
        <v>4</v>
      </c>
      <c r="E941">
        <v>2</v>
      </c>
      <c r="F941">
        <v>1</v>
      </c>
      <c r="G941" s="3">
        <v>60118</v>
      </c>
      <c r="H941" s="3">
        <f t="shared" si="28"/>
        <v>60118</v>
      </c>
      <c r="I941" s="5">
        <f>Table2[[#This Row],[Total Revenue]]*0.3</f>
        <v>18035.399999999998</v>
      </c>
      <c r="J941" s="6">
        <f t="shared" si="29"/>
        <v>0.3</v>
      </c>
      <c r="K941" t="str">
        <f>VLOOKUP(Table2[[#This Row],[ProductID]],Products!$A$1:C945,2)</f>
        <v>Printer</v>
      </c>
      <c r="L941" t="str">
        <f>VLOOKUP(D941,Products!$A$1:C945,3)</f>
        <v>Accessories</v>
      </c>
      <c r="M941" t="str">
        <f>VLOOKUP(Table2[[#This Row],[AgentID]],Sales_Agents!$A$1:C944,2)</f>
        <v>Blessing</v>
      </c>
      <c r="N941" t="str">
        <f>VLOOKUP(Table2[[#This Row],[AgentID]],Sales_Agents!$A$1:C944,3)</f>
        <v>East</v>
      </c>
    </row>
    <row r="942" spans="1:14" x14ac:dyDescent="0.25">
      <c r="A942">
        <v>941</v>
      </c>
      <c r="B942" s="1">
        <v>45566</v>
      </c>
      <c r="C942" s="8" t="str">
        <f>TEXT(Table2[[#This Row],[OrderDate]],"mmm")</f>
        <v>Oct</v>
      </c>
      <c r="D942">
        <v>2</v>
      </c>
      <c r="E942">
        <v>1</v>
      </c>
      <c r="F942">
        <v>8</v>
      </c>
      <c r="G942" s="3">
        <v>64621</v>
      </c>
      <c r="H942" s="3">
        <f t="shared" si="28"/>
        <v>516968</v>
      </c>
      <c r="I942" s="5">
        <f>Table2[[#This Row],[Total Revenue]]*0.3</f>
        <v>155090.4</v>
      </c>
      <c r="J942" s="6">
        <f t="shared" si="29"/>
        <v>0.3</v>
      </c>
      <c r="K942" t="str">
        <f>VLOOKUP(Table2[[#This Row],[ProductID]],Products!$A$1:C946,2)</f>
        <v>Phone</v>
      </c>
      <c r="L942" t="str">
        <f>VLOOKUP(D942,Products!$A$1:C946,3)</f>
        <v>Electronics</v>
      </c>
      <c r="M942" t="str">
        <f>VLOOKUP(Table2[[#This Row],[AgentID]],Sales_Agents!$A$1:C945,2)</f>
        <v>Akin</v>
      </c>
      <c r="N942" t="str">
        <f>VLOOKUP(Table2[[#This Row],[AgentID]],Sales_Agents!$A$1:C945,3)</f>
        <v>West</v>
      </c>
    </row>
    <row r="943" spans="1:14" x14ac:dyDescent="0.25">
      <c r="A943">
        <v>942</v>
      </c>
      <c r="B943" s="1">
        <v>45584</v>
      </c>
      <c r="C943" s="8" t="str">
        <f>TEXT(Table2[[#This Row],[OrderDate]],"mmm")</f>
        <v>Oct</v>
      </c>
      <c r="D943">
        <v>2</v>
      </c>
      <c r="E943">
        <v>3</v>
      </c>
      <c r="F943">
        <v>16</v>
      </c>
      <c r="G943" s="3">
        <v>197178</v>
      </c>
      <c r="H943" s="3">
        <f t="shared" si="28"/>
        <v>3154848</v>
      </c>
      <c r="I943" s="5">
        <f>Table2[[#This Row],[Total Revenue]]*0.3</f>
        <v>946454.39999999991</v>
      </c>
      <c r="J943" s="6">
        <f t="shared" si="29"/>
        <v>0.3</v>
      </c>
      <c r="K943" t="str">
        <f>VLOOKUP(Table2[[#This Row],[ProductID]],Products!$A$1:C947,2)</f>
        <v>Phone</v>
      </c>
      <c r="L943" t="str">
        <f>VLOOKUP(D943,Products!$A$1:C947,3)</f>
        <v>Electronics</v>
      </c>
      <c r="M943" t="str">
        <f>VLOOKUP(Table2[[#This Row],[AgentID]],Sales_Agents!$A$1:C946,2)</f>
        <v>Chinedu</v>
      </c>
      <c r="N943" t="str">
        <f>VLOOKUP(Table2[[#This Row],[AgentID]],Sales_Agents!$A$1:C946,3)</f>
        <v>South</v>
      </c>
    </row>
    <row r="944" spans="1:14" x14ac:dyDescent="0.25">
      <c r="A944">
        <v>943</v>
      </c>
      <c r="B944" s="1">
        <v>45630</v>
      </c>
      <c r="C944" s="8" t="str">
        <f>TEXT(Table2[[#This Row],[OrderDate]],"mmm")</f>
        <v>Dec</v>
      </c>
      <c r="D944">
        <v>5</v>
      </c>
      <c r="E944">
        <v>3</v>
      </c>
      <c r="F944">
        <v>19</v>
      </c>
      <c r="G944" s="3">
        <v>161973</v>
      </c>
      <c r="H944" s="3">
        <f t="shared" si="28"/>
        <v>3077487</v>
      </c>
      <c r="I944" s="5">
        <f>Table2[[#This Row],[Total Revenue]]*0.3</f>
        <v>923246.1</v>
      </c>
      <c r="J944" s="6">
        <f t="shared" si="29"/>
        <v>0.3</v>
      </c>
      <c r="K944" t="str">
        <f>VLOOKUP(Table2[[#This Row],[ProductID]],Products!$A$1:C948,2)</f>
        <v>Monitor</v>
      </c>
      <c r="L944" t="str">
        <f>VLOOKUP(D944,Products!$A$1:C948,3)</f>
        <v>Accessories</v>
      </c>
      <c r="M944" t="str">
        <f>VLOOKUP(Table2[[#This Row],[AgentID]],Sales_Agents!$A$1:C947,2)</f>
        <v>Chinedu</v>
      </c>
      <c r="N944" t="str">
        <f>VLOOKUP(Table2[[#This Row],[AgentID]],Sales_Agents!$A$1:C947,3)</f>
        <v>South</v>
      </c>
    </row>
    <row r="945" spans="1:14" x14ac:dyDescent="0.25">
      <c r="A945">
        <v>944</v>
      </c>
      <c r="B945" s="1">
        <v>45395</v>
      </c>
      <c r="C945" s="8" t="str">
        <f>TEXT(Table2[[#This Row],[OrderDate]],"mmm")</f>
        <v>Apr</v>
      </c>
      <c r="D945">
        <v>4</v>
      </c>
      <c r="E945">
        <v>2</v>
      </c>
      <c r="F945">
        <v>19</v>
      </c>
      <c r="G945" s="3">
        <v>322802</v>
      </c>
      <c r="H945" s="3">
        <f t="shared" si="28"/>
        <v>6133238</v>
      </c>
      <c r="I945" s="5">
        <f>Table2[[#This Row],[Total Revenue]]*0.3</f>
        <v>1839971.4</v>
      </c>
      <c r="J945" s="6">
        <f t="shared" si="29"/>
        <v>0.3</v>
      </c>
      <c r="K945" t="str">
        <f>VLOOKUP(Table2[[#This Row],[ProductID]],Products!$A$1:C949,2)</f>
        <v>Printer</v>
      </c>
      <c r="L945" t="str">
        <f>VLOOKUP(D945,Products!$A$1:C949,3)</f>
        <v>Accessories</v>
      </c>
      <c r="M945" t="str">
        <f>VLOOKUP(Table2[[#This Row],[AgentID]],Sales_Agents!$A$1:C948,2)</f>
        <v>Blessing</v>
      </c>
      <c r="N945" t="str">
        <f>VLOOKUP(Table2[[#This Row],[AgentID]],Sales_Agents!$A$1:C948,3)</f>
        <v>East</v>
      </c>
    </row>
    <row r="946" spans="1:14" x14ac:dyDescent="0.25">
      <c r="A946">
        <v>945</v>
      </c>
      <c r="B946" s="1">
        <v>45556</v>
      </c>
      <c r="C946" s="8" t="str">
        <f>TEXT(Table2[[#This Row],[OrderDate]],"mmm")</f>
        <v>Sept</v>
      </c>
      <c r="D946">
        <v>5</v>
      </c>
      <c r="E946">
        <v>3</v>
      </c>
      <c r="F946">
        <v>17</v>
      </c>
      <c r="G946" s="3">
        <v>66091</v>
      </c>
      <c r="H946" s="3">
        <f t="shared" si="28"/>
        <v>1123547</v>
      </c>
      <c r="I946" s="5">
        <f>Table2[[#This Row],[Total Revenue]]*0.3</f>
        <v>337064.1</v>
      </c>
      <c r="J946" s="6">
        <f t="shared" si="29"/>
        <v>0.3</v>
      </c>
      <c r="K946" t="str">
        <f>VLOOKUP(Table2[[#This Row],[ProductID]],Products!$A$1:C950,2)</f>
        <v>Monitor</v>
      </c>
      <c r="L946" t="str">
        <f>VLOOKUP(D946,Products!$A$1:C950,3)</f>
        <v>Accessories</v>
      </c>
      <c r="M946" t="str">
        <f>VLOOKUP(Table2[[#This Row],[AgentID]],Sales_Agents!$A$1:C949,2)</f>
        <v>Chinedu</v>
      </c>
      <c r="N946" t="str">
        <f>VLOOKUP(Table2[[#This Row],[AgentID]],Sales_Agents!$A$1:C949,3)</f>
        <v>South</v>
      </c>
    </row>
    <row r="947" spans="1:14" x14ac:dyDescent="0.25">
      <c r="A947">
        <v>946</v>
      </c>
      <c r="B947" s="1">
        <v>45513</v>
      </c>
      <c r="C947" s="8" t="str">
        <f>TEXT(Table2[[#This Row],[OrderDate]],"mmm")</f>
        <v>Aug</v>
      </c>
      <c r="D947">
        <v>1</v>
      </c>
      <c r="E947">
        <v>2</v>
      </c>
      <c r="F947">
        <v>3</v>
      </c>
      <c r="G947" s="3">
        <v>221416</v>
      </c>
      <c r="H947" s="3">
        <f t="shared" si="28"/>
        <v>664248</v>
      </c>
      <c r="I947" s="5">
        <f>Table2[[#This Row],[Total Revenue]]*0.3</f>
        <v>199274.4</v>
      </c>
      <c r="J947" s="6">
        <f t="shared" si="29"/>
        <v>0.3</v>
      </c>
      <c r="K947" t="str">
        <f>VLOOKUP(Table2[[#This Row],[ProductID]],Products!$A$1:C951,2)</f>
        <v>Laptop</v>
      </c>
      <c r="L947" t="str">
        <f>VLOOKUP(D947,Products!$A$1:C951,3)</f>
        <v>Electronics</v>
      </c>
      <c r="M947" t="str">
        <f>VLOOKUP(Table2[[#This Row],[AgentID]],Sales_Agents!$A$1:C950,2)</f>
        <v>Blessing</v>
      </c>
      <c r="N947" t="str">
        <f>VLOOKUP(Table2[[#This Row],[AgentID]],Sales_Agents!$A$1:C950,3)</f>
        <v>East</v>
      </c>
    </row>
    <row r="948" spans="1:14" x14ac:dyDescent="0.25">
      <c r="A948">
        <v>947</v>
      </c>
      <c r="B948" s="1">
        <v>45592</v>
      </c>
      <c r="C948" s="8" t="str">
        <f>TEXT(Table2[[#This Row],[OrderDate]],"mmm")</f>
        <v>Oct</v>
      </c>
      <c r="D948">
        <v>2</v>
      </c>
      <c r="E948">
        <v>1</v>
      </c>
      <c r="F948">
        <v>16</v>
      </c>
      <c r="G948" s="3">
        <v>116675</v>
      </c>
      <c r="H948" s="3">
        <f t="shared" si="28"/>
        <v>1866800</v>
      </c>
      <c r="I948" s="5">
        <f>Table2[[#This Row],[Total Revenue]]*0.3</f>
        <v>560040</v>
      </c>
      <c r="J948" s="6">
        <f t="shared" si="29"/>
        <v>0.3</v>
      </c>
      <c r="K948" t="str">
        <f>VLOOKUP(Table2[[#This Row],[ProductID]],Products!$A$1:C952,2)</f>
        <v>Phone</v>
      </c>
      <c r="L948" t="str">
        <f>VLOOKUP(D948,Products!$A$1:C952,3)</f>
        <v>Electronics</v>
      </c>
      <c r="M948" t="str">
        <f>VLOOKUP(Table2[[#This Row],[AgentID]],Sales_Agents!$A$1:C951,2)</f>
        <v>Akin</v>
      </c>
      <c r="N948" t="str">
        <f>VLOOKUP(Table2[[#This Row],[AgentID]],Sales_Agents!$A$1:C951,3)</f>
        <v>West</v>
      </c>
    </row>
    <row r="949" spans="1:14" x14ac:dyDescent="0.25">
      <c r="A949">
        <v>948</v>
      </c>
      <c r="B949" s="1">
        <v>45314</v>
      </c>
      <c r="C949" s="8" t="str">
        <f>TEXT(Table2[[#This Row],[OrderDate]],"mmm")</f>
        <v>Jan</v>
      </c>
      <c r="D949">
        <v>3</v>
      </c>
      <c r="E949">
        <v>2</v>
      </c>
      <c r="F949">
        <v>7</v>
      </c>
      <c r="G949" s="3">
        <v>268865</v>
      </c>
      <c r="H949" s="3">
        <f t="shared" si="28"/>
        <v>1882055</v>
      </c>
      <c r="I949" s="5">
        <f>Table2[[#This Row],[Total Revenue]]*0.3</f>
        <v>564616.5</v>
      </c>
      <c r="J949" s="6">
        <f t="shared" si="29"/>
        <v>0.3</v>
      </c>
      <c r="K949" t="str">
        <f>VLOOKUP(Table2[[#This Row],[ProductID]],Products!$A$1:C953,2)</f>
        <v>Tablet</v>
      </c>
      <c r="L949" t="str">
        <f>VLOOKUP(D949,Products!$A$1:C953,3)</f>
        <v>Electronics</v>
      </c>
      <c r="M949" t="str">
        <f>VLOOKUP(Table2[[#This Row],[AgentID]],Sales_Agents!$A$1:C952,2)</f>
        <v>Blessing</v>
      </c>
      <c r="N949" t="str">
        <f>VLOOKUP(Table2[[#This Row],[AgentID]],Sales_Agents!$A$1:C952,3)</f>
        <v>East</v>
      </c>
    </row>
    <row r="950" spans="1:14" x14ac:dyDescent="0.25">
      <c r="A950">
        <v>949</v>
      </c>
      <c r="B950" s="1">
        <v>45302</v>
      </c>
      <c r="C950" s="8" t="str">
        <f>TEXT(Table2[[#This Row],[OrderDate]],"mmm")</f>
        <v>Jan</v>
      </c>
      <c r="D950">
        <v>3</v>
      </c>
      <c r="E950">
        <v>4</v>
      </c>
      <c r="F950">
        <v>9</v>
      </c>
      <c r="G950" s="3">
        <v>135519</v>
      </c>
      <c r="H950" s="3">
        <f t="shared" si="28"/>
        <v>1219671</v>
      </c>
      <c r="I950" s="5">
        <f>Table2[[#This Row],[Total Revenue]]*0.3</f>
        <v>365901.3</v>
      </c>
      <c r="J950" s="6">
        <f t="shared" si="29"/>
        <v>0.3</v>
      </c>
      <c r="K950" t="str">
        <f>VLOOKUP(Table2[[#This Row],[ProductID]],Products!$A$1:C954,2)</f>
        <v>Tablet</v>
      </c>
      <c r="L950" t="str">
        <f>VLOOKUP(D950,Products!$A$1:C954,3)</f>
        <v>Electronics</v>
      </c>
      <c r="M950" t="str">
        <f>VLOOKUP(Table2[[#This Row],[AgentID]],Sales_Agents!$A$1:C953,2)</f>
        <v>Zainab</v>
      </c>
      <c r="N950" t="str">
        <f>VLOOKUP(Table2[[#This Row],[AgentID]],Sales_Agents!$A$1:C953,3)</f>
        <v>North</v>
      </c>
    </row>
    <row r="951" spans="1:14" x14ac:dyDescent="0.25">
      <c r="A951">
        <v>950</v>
      </c>
      <c r="B951" s="1">
        <v>45497</v>
      </c>
      <c r="C951" s="8" t="str">
        <f>TEXT(Table2[[#This Row],[OrderDate]],"mmm")</f>
        <v>Jul</v>
      </c>
      <c r="D951">
        <v>3</v>
      </c>
      <c r="E951">
        <v>1</v>
      </c>
      <c r="F951">
        <v>17</v>
      </c>
      <c r="G951" s="3">
        <v>204869</v>
      </c>
      <c r="H951" s="3">
        <f t="shared" si="28"/>
        <v>3482773</v>
      </c>
      <c r="I951" s="5">
        <f>Table2[[#This Row],[Total Revenue]]*0.3</f>
        <v>1044831.8999999999</v>
      </c>
      <c r="J951" s="6">
        <f t="shared" si="29"/>
        <v>0.3</v>
      </c>
      <c r="K951" t="str">
        <f>VLOOKUP(Table2[[#This Row],[ProductID]],Products!$A$1:C955,2)</f>
        <v>Tablet</v>
      </c>
      <c r="L951" t="str">
        <f>VLOOKUP(D951,Products!$A$1:C955,3)</f>
        <v>Electronics</v>
      </c>
      <c r="M951" t="str">
        <f>VLOOKUP(Table2[[#This Row],[AgentID]],Sales_Agents!$A$1:C954,2)</f>
        <v>Akin</v>
      </c>
      <c r="N951" t="str">
        <f>VLOOKUP(Table2[[#This Row],[AgentID]],Sales_Agents!$A$1:C954,3)</f>
        <v>West</v>
      </c>
    </row>
    <row r="952" spans="1:14" x14ac:dyDescent="0.25">
      <c r="A952">
        <v>951</v>
      </c>
      <c r="B952" s="1">
        <v>45606</v>
      </c>
      <c r="C952" s="8" t="str">
        <f>TEXT(Table2[[#This Row],[OrderDate]],"mmm")</f>
        <v>Nov</v>
      </c>
      <c r="D952">
        <v>1</v>
      </c>
      <c r="E952">
        <v>1</v>
      </c>
      <c r="F952">
        <v>12</v>
      </c>
      <c r="G952" s="3">
        <v>204748</v>
      </c>
      <c r="H952" s="3">
        <f t="shared" si="28"/>
        <v>2456976</v>
      </c>
      <c r="I952" s="5">
        <f>Table2[[#This Row],[Total Revenue]]*0.3</f>
        <v>737092.79999999993</v>
      </c>
      <c r="J952" s="6">
        <f t="shared" si="29"/>
        <v>0.3</v>
      </c>
      <c r="K952" t="str">
        <f>VLOOKUP(Table2[[#This Row],[ProductID]],Products!$A$1:C956,2)</f>
        <v>Laptop</v>
      </c>
      <c r="L952" t="str">
        <f>VLOOKUP(D952,Products!$A$1:C956,3)</f>
        <v>Electronics</v>
      </c>
      <c r="M952" t="str">
        <f>VLOOKUP(Table2[[#This Row],[AgentID]],Sales_Agents!$A$1:C955,2)</f>
        <v>Akin</v>
      </c>
      <c r="N952" t="str">
        <f>VLOOKUP(Table2[[#This Row],[AgentID]],Sales_Agents!$A$1:C955,3)</f>
        <v>West</v>
      </c>
    </row>
    <row r="953" spans="1:14" x14ac:dyDescent="0.25">
      <c r="A953">
        <v>952</v>
      </c>
      <c r="B953" s="1">
        <v>45516</v>
      </c>
      <c r="C953" s="8" t="str">
        <f>TEXT(Table2[[#This Row],[OrderDate]],"mmm")</f>
        <v>Aug</v>
      </c>
      <c r="D953">
        <v>3</v>
      </c>
      <c r="E953">
        <v>1</v>
      </c>
      <c r="F953">
        <v>2</v>
      </c>
      <c r="G953" s="3">
        <v>107163</v>
      </c>
      <c r="H953" s="3">
        <f t="shared" si="28"/>
        <v>214326</v>
      </c>
      <c r="I953" s="5">
        <f>Table2[[#This Row],[Total Revenue]]*0.3</f>
        <v>64297.799999999996</v>
      </c>
      <c r="J953" s="6">
        <f t="shared" si="29"/>
        <v>0.3</v>
      </c>
      <c r="K953" t="str">
        <f>VLOOKUP(Table2[[#This Row],[ProductID]],Products!$A$1:C957,2)</f>
        <v>Tablet</v>
      </c>
      <c r="L953" t="str">
        <f>VLOOKUP(D953,Products!$A$1:C957,3)</f>
        <v>Electronics</v>
      </c>
      <c r="M953" t="str">
        <f>VLOOKUP(Table2[[#This Row],[AgentID]],Sales_Agents!$A$1:C956,2)</f>
        <v>Akin</v>
      </c>
      <c r="N953" t="str">
        <f>VLOOKUP(Table2[[#This Row],[AgentID]],Sales_Agents!$A$1:C956,3)</f>
        <v>West</v>
      </c>
    </row>
    <row r="954" spans="1:14" x14ac:dyDescent="0.25">
      <c r="A954">
        <v>953</v>
      </c>
      <c r="B954" s="1">
        <v>45634</v>
      </c>
      <c r="C954" s="8" t="str">
        <f>TEXT(Table2[[#This Row],[OrderDate]],"mmm")</f>
        <v>Dec</v>
      </c>
      <c r="D954">
        <v>2</v>
      </c>
      <c r="E954">
        <v>2</v>
      </c>
      <c r="F954">
        <v>9</v>
      </c>
      <c r="G954" s="3">
        <v>295491</v>
      </c>
      <c r="H954" s="3">
        <f t="shared" si="28"/>
        <v>2659419</v>
      </c>
      <c r="I954" s="5">
        <f>Table2[[#This Row],[Total Revenue]]*0.3</f>
        <v>797825.7</v>
      </c>
      <c r="J954" s="6">
        <f t="shared" si="29"/>
        <v>0.3</v>
      </c>
      <c r="K954" t="str">
        <f>VLOOKUP(Table2[[#This Row],[ProductID]],Products!$A$1:C958,2)</f>
        <v>Phone</v>
      </c>
      <c r="L954" t="str">
        <f>VLOOKUP(D954,Products!$A$1:C958,3)</f>
        <v>Electronics</v>
      </c>
      <c r="M954" t="str">
        <f>VLOOKUP(Table2[[#This Row],[AgentID]],Sales_Agents!$A$1:C957,2)</f>
        <v>Blessing</v>
      </c>
      <c r="N954" t="str">
        <f>VLOOKUP(Table2[[#This Row],[AgentID]],Sales_Agents!$A$1:C957,3)</f>
        <v>East</v>
      </c>
    </row>
    <row r="955" spans="1:14" x14ac:dyDescent="0.25">
      <c r="A955">
        <v>954</v>
      </c>
      <c r="B955" s="1">
        <v>45601</v>
      </c>
      <c r="C955" s="8" t="str">
        <f>TEXT(Table2[[#This Row],[OrderDate]],"mmm")</f>
        <v>Nov</v>
      </c>
      <c r="D955">
        <v>4</v>
      </c>
      <c r="E955">
        <v>2</v>
      </c>
      <c r="F955">
        <v>16</v>
      </c>
      <c r="G955" s="3">
        <v>276997</v>
      </c>
      <c r="H955" s="3">
        <f t="shared" si="28"/>
        <v>4431952</v>
      </c>
      <c r="I955" s="5">
        <f>Table2[[#This Row],[Total Revenue]]*0.3</f>
        <v>1329585.5999999999</v>
      </c>
      <c r="J955" s="6">
        <f t="shared" si="29"/>
        <v>0.3</v>
      </c>
      <c r="K955" t="str">
        <f>VLOOKUP(Table2[[#This Row],[ProductID]],Products!$A$1:C959,2)</f>
        <v>Printer</v>
      </c>
      <c r="L955" t="str">
        <f>VLOOKUP(D955,Products!$A$1:C959,3)</f>
        <v>Accessories</v>
      </c>
      <c r="M955" t="str">
        <f>VLOOKUP(Table2[[#This Row],[AgentID]],Sales_Agents!$A$1:C958,2)</f>
        <v>Blessing</v>
      </c>
      <c r="N955" t="str">
        <f>VLOOKUP(Table2[[#This Row],[AgentID]],Sales_Agents!$A$1:C958,3)</f>
        <v>East</v>
      </c>
    </row>
    <row r="956" spans="1:14" x14ac:dyDescent="0.25">
      <c r="A956">
        <v>955</v>
      </c>
      <c r="B956" s="1">
        <v>45465</v>
      </c>
      <c r="C956" s="8" t="str">
        <f>TEXT(Table2[[#This Row],[OrderDate]],"mmm")</f>
        <v>Jun</v>
      </c>
      <c r="D956">
        <v>3</v>
      </c>
      <c r="E956">
        <v>4</v>
      </c>
      <c r="F956">
        <v>6</v>
      </c>
      <c r="G956" s="3">
        <v>391237</v>
      </c>
      <c r="H956" s="3">
        <f t="shared" si="28"/>
        <v>2347422</v>
      </c>
      <c r="I956" s="5">
        <f>Table2[[#This Row],[Total Revenue]]*0.3</f>
        <v>704226.6</v>
      </c>
      <c r="J956" s="6">
        <f t="shared" si="29"/>
        <v>0.3</v>
      </c>
      <c r="K956" t="str">
        <f>VLOOKUP(Table2[[#This Row],[ProductID]],Products!$A$1:C960,2)</f>
        <v>Tablet</v>
      </c>
      <c r="L956" t="str">
        <f>VLOOKUP(D956,Products!$A$1:C960,3)</f>
        <v>Electronics</v>
      </c>
      <c r="M956" t="str">
        <f>VLOOKUP(Table2[[#This Row],[AgentID]],Sales_Agents!$A$1:C959,2)</f>
        <v>Zainab</v>
      </c>
      <c r="N956" t="str">
        <f>VLOOKUP(Table2[[#This Row],[AgentID]],Sales_Agents!$A$1:C959,3)</f>
        <v>North</v>
      </c>
    </row>
    <row r="957" spans="1:14" x14ac:dyDescent="0.25">
      <c r="A957">
        <v>956</v>
      </c>
      <c r="B957" s="1">
        <v>45577</v>
      </c>
      <c r="C957" s="8" t="str">
        <f>TEXT(Table2[[#This Row],[OrderDate]],"mmm")</f>
        <v>Oct</v>
      </c>
      <c r="D957">
        <v>5</v>
      </c>
      <c r="E957">
        <v>2</v>
      </c>
      <c r="F957">
        <v>7</v>
      </c>
      <c r="G957" s="3">
        <v>114139</v>
      </c>
      <c r="H957" s="3">
        <f t="shared" si="28"/>
        <v>798973</v>
      </c>
      <c r="I957" s="5">
        <f>Table2[[#This Row],[Total Revenue]]*0.3</f>
        <v>239691.9</v>
      </c>
      <c r="J957" s="6">
        <f t="shared" si="29"/>
        <v>0.3</v>
      </c>
      <c r="K957" t="str">
        <f>VLOOKUP(Table2[[#This Row],[ProductID]],Products!$A$1:C961,2)</f>
        <v>Monitor</v>
      </c>
      <c r="L957" t="str">
        <f>VLOOKUP(D957,Products!$A$1:C961,3)</f>
        <v>Accessories</v>
      </c>
      <c r="M957" t="str">
        <f>VLOOKUP(Table2[[#This Row],[AgentID]],Sales_Agents!$A$1:C960,2)</f>
        <v>Blessing</v>
      </c>
      <c r="N957" t="str">
        <f>VLOOKUP(Table2[[#This Row],[AgentID]],Sales_Agents!$A$1:C960,3)</f>
        <v>East</v>
      </c>
    </row>
    <row r="958" spans="1:14" x14ac:dyDescent="0.25">
      <c r="A958">
        <v>957</v>
      </c>
      <c r="B958" s="1">
        <v>45566</v>
      </c>
      <c r="C958" s="8" t="str">
        <f>TEXT(Table2[[#This Row],[OrderDate]],"mmm")</f>
        <v>Oct</v>
      </c>
      <c r="D958">
        <v>5</v>
      </c>
      <c r="E958">
        <v>4</v>
      </c>
      <c r="F958">
        <v>9</v>
      </c>
      <c r="G958" s="3">
        <v>52927</v>
      </c>
      <c r="H958" s="3">
        <f t="shared" si="28"/>
        <v>476343</v>
      </c>
      <c r="I958" s="5">
        <f>Table2[[#This Row],[Total Revenue]]*0.3</f>
        <v>142902.9</v>
      </c>
      <c r="J958" s="6">
        <f t="shared" si="29"/>
        <v>0.3</v>
      </c>
      <c r="K958" t="str">
        <f>VLOOKUP(Table2[[#This Row],[ProductID]],Products!$A$1:C962,2)</f>
        <v>Monitor</v>
      </c>
      <c r="L958" t="str">
        <f>VLOOKUP(D958,Products!$A$1:C962,3)</f>
        <v>Accessories</v>
      </c>
      <c r="M958" t="str">
        <f>VLOOKUP(Table2[[#This Row],[AgentID]],Sales_Agents!$A$1:C961,2)</f>
        <v>Zainab</v>
      </c>
      <c r="N958" t="str">
        <f>VLOOKUP(Table2[[#This Row],[AgentID]],Sales_Agents!$A$1:C961,3)</f>
        <v>North</v>
      </c>
    </row>
    <row r="959" spans="1:14" x14ac:dyDescent="0.25">
      <c r="A959">
        <v>958</v>
      </c>
      <c r="B959" s="1">
        <v>45413</v>
      </c>
      <c r="C959" s="8" t="str">
        <f>TEXT(Table2[[#This Row],[OrderDate]],"mmm")</f>
        <v>May</v>
      </c>
      <c r="D959">
        <v>3</v>
      </c>
      <c r="E959">
        <v>1</v>
      </c>
      <c r="F959">
        <v>3</v>
      </c>
      <c r="G959" s="3">
        <v>285671</v>
      </c>
      <c r="H959" s="3">
        <f t="shared" si="28"/>
        <v>857013</v>
      </c>
      <c r="I959" s="5">
        <f>Table2[[#This Row],[Total Revenue]]*0.3</f>
        <v>257103.9</v>
      </c>
      <c r="J959" s="6">
        <f t="shared" si="29"/>
        <v>0.3</v>
      </c>
      <c r="K959" t="str">
        <f>VLOOKUP(Table2[[#This Row],[ProductID]],Products!$A$1:C963,2)</f>
        <v>Tablet</v>
      </c>
      <c r="L959" t="str">
        <f>VLOOKUP(D959,Products!$A$1:C963,3)</f>
        <v>Electronics</v>
      </c>
      <c r="M959" t="str">
        <f>VLOOKUP(Table2[[#This Row],[AgentID]],Sales_Agents!$A$1:C962,2)</f>
        <v>Akin</v>
      </c>
      <c r="N959" t="str">
        <f>VLOOKUP(Table2[[#This Row],[AgentID]],Sales_Agents!$A$1:C962,3)</f>
        <v>West</v>
      </c>
    </row>
    <row r="960" spans="1:14" x14ac:dyDescent="0.25">
      <c r="A960">
        <v>959</v>
      </c>
      <c r="B960" s="1">
        <v>45313</v>
      </c>
      <c r="C960" s="8" t="str">
        <f>TEXT(Table2[[#This Row],[OrderDate]],"mmm")</f>
        <v>Jan</v>
      </c>
      <c r="D960">
        <v>4</v>
      </c>
      <c r="E960">
        <v>4</v>
      </c>
      <c r="F960">
        <v>7</v>
      </c>
      <c r="G960" s="3">
        <v>76914</v>
      </c>
      <c r="H960" s="3">
        <f t="shared" si="28"/>
        <v>538398</v>
      </c>
      <c r="I960" s="5">
        <f>Table2[[#This Row],[Total Revenue]]*0.3</f>
        <v>161519.4</v>
      </c>
      <c r="J960" s="6">
        <f t="shared" si="29"/>
        <v>0.3</v>
      </c>
      <c r="K960" t="str">
        <f>VLOOKUP(Table2[[#This Row],[ProductID]],Products!$A$1:C964,2)</f>
        <v>Printer</v>
      </c>
      <c r="L960" t="str">
        <f>VLOOKUP(D960,Products!$A$1:C964,3)</f>
        <v>Accessories</v>
      </c>
      <c r="M960" t="str">
        <f>VLOOKUP(Table2[[#This Row],[AgentID]],Sales_Agents!$A$1:C963,2)</f>
        <v>Zainab</v>
      </c>
      <c r="N960" t="str">
        <f>VLOOKUP(Table2[[#This Row],[AgentID]],Sales_Agents!$A$1:C963,3)</f>
        <v>North</v>
      </c>
    </row>
    <row r="961" spans="1:14" x14ac:dyDescent="0.25">
      <c r="A961">
        <v>960</v>
      </c>
      <c r="B961" s="1">
        <v>45299</v>
      </c>
      <c r="C961" s="8" t="str">
        <f>TEXT(Table2[[#This Row],[OrderDate]],"mmm")</f>
        <v>Jan</v>
      </c>
      <c r="D961">
        <v>4</v>
      </c>
      <c r="E961">
        <v>2</v>
      </c>
      <c r="F961">
        <v>19</v>
      </c>
      <c r="G961" s="3">
        <v>281987</v>
      </c>
      <c r="H961" s="3">
        <f t="shared" si="28"/>
        <v>5357753</v>
      </c>
      <c r="I961" s="5">
        <f>Table2[[#This Row],[Total Revenue]]*0.3</f>
        <v>1607325.9</v>
      </c>
      <c r="J961" s="6">
        <f t="shared" si="29"/>
        <v>0.3</v>
      </c>
      <c r="K961" t="str">
        <f>VLOOKUP(Table2[[#This Row],[ProductID]],Products!$A$1:C965,2)</f>
        <v>Printer</v>
      </c>
      <c r="L961" t="str">
        <f>VLOOKUP(D961,Products!$A$1:C965,3)</f>
        <v>Accessories</v>
      </c>
      <c r="M961" t="str">
        <f>VLOOKUP(Table2[[#This Row],[AgentID]],Sales_Agents!$A$1:C964,2)</f>
        <v>Blessing</v>
      </c>
      <c r="N961" t="str">
        <f>VLOOKUP(Table2[[#This Row],[AgentID]],Sales_Agents!$A$1:C964,3)</f>
        <v>East</v>
      </c>
    </row>
    <row r="962" spans="1:14" x14ac:dyDescent="0.25">
      <c r="A962">
        <v>961</v>
      </c>
      <c r="B962" s="1">
        <v>45621</v>
      </c>
      <c r="C962" s="8" t="str">
        <f>TEXT(Table2[[#This Row],[OrderDate]],"mmm")</f>
        <v>Nov</v>
      </c>
      <c r="D962">
        <v>5</v>
      </c>
      <c r="E962">
        <v>1</v>
      </c>
      <c r="F962">
        <v>6</v>
      </c>
      <c r="G962" s="3">
        <v>128283</v>
      </c>
      <c r="H962" s="3">
        <f t="shared" ref="H962:H1025" si="30">G962*F962</f>
        <v>769698</v>
      </c>
      <c r="I962" s="5">
        <f>Table2[[#This Row],[Total Revenue]]*0.3</f>
        <v>230909.4</v>
      </c>
      <c r="J962" s="6">
        <f t="shared" ref="J962:J1025" si="31">I962/H962</f>
        <v>0.3</v>
      </c>
      <c r="K962" t="str">
        <f>VLOOKUP(Table2[[#This Row],[ProductID]],Products!$A$1:C966,2)</f>
        <v>Monitor</v>
      </c>
      <c r="L962" t="str">
        <f>VLOOKUP(D962,Products!$A$1:C966,3)</f>
        <v>Accessories</v>
      </c>
      <c r="M962" t="str">
        <f>VLOOKUP(Table2[[#This Row],[AgentID]],Sales_Agents!$A$1:C965,2)</f>
        <v>Akin</v>
      </c>
      <c r="N962" t="str">
        <f>VLOOKUP(Table2[[#This Row],[AgentID]],Sales_Agents!$A$1:C965,3)</f>
        <v>West</v>
      </c>
    </row>
    <row r="963" spans="1:14" x14ac:dyDescent="0.25">
      <c r="A963">
        <v>962</v>
      </c>
      <c r="B963" s="1">
        <v>45499</v>
      </c>
      <c r="C963" s="8" t="str">
        <f>TEXT(Table2[[#This Row],[OrderDate]],"mmm")</f>
        <v>Jul</v>
      </c>
      <c r="D963">
        <v>3</v>
      </c>
      <c r="E963">
        <v>1</v>
      </c>
      <c r="F963">
        <v>1</v>
      </c>
      <c r="G963" s="3">
        <v>180002</v>
      </c>
      <c r="H963" s="3">
        <f t="shared" si="30"/>
        <v>180002</v>
      </c>
      <c r="I963" s="5">
        <f>Table2[[#This Row],[Total Revenue]]*0.3</f>
        <v>54000.6</v>
      </c>
      <c r="J963" s="6">
        <f t="shared" si="31"/>
        <v>0.3</v>
      </c>
      <c r="K963" t="str">
        <f>VLOOKUP(Table2[[#This Row],[ProductID]],Products!$A$1:C967,2)</f>
        <v>Tablet</v>
      </c>
      <c r="L963" t="str">
        <f>VLOOKUP(D963,Products!$A$1:C967,3)</f>
        <v>Electronics</v>
      </c>
      <c r="M963" t="str">
        <f>VLOOKUP(Table2[[#This Row],[AgentID]],Sales_Agents!$A$1:C966,2)</f>
        <v>Akin</v>
      </c>
      <c r="N963" t="str">
        <f>VLOOKUP(Table2[[#This Row],[AgentID]],Sales_Agents!$A$1:C966,3)</f>
        <v>West</v>
      </c>
    </row>
    <row r="964" spans="1:14" x14ac:dyDescent="0.25">
      <c r="A964">
        <v>963</v>
      </c>
      <c r="B964" s="1">
        <v>45312</v>
      </c>
      <c r="C964" s="8" t="str">
        <f>TEXT(Table2[[#This Row],[OrderDate]],"mmm")</f>
        <v>Jan</v>
      </c>
      <c r="D964">
        <v>4</v>
      </c>
      <c r="E964">
        <v>2</v>
      </c>
      <c r="F964">
        <v>5</v>
      </c>
      <c r="G964" s="3">
        <v>162420</v>
      </c>
      <c r="H964" s="3">
        <f t="shared" si="30"/>
        <v>812100</v>
      </c>
      <c r="I964" s="5">
        <f>Table2[[#This Row],[Total Revenue]]*0.3</f>
        <v>243630</v>
      </c>
      <c r="J964" s="6">
        <f t="shared" si="31"/>
        <v>0.3</v>
      </c>
      <c r="K964" t="str">
        <f>VLOOKUP(Table2[[#This Row],[ProductID]],Products!$A$1:C968,2)</f>
        <v>Printer</v>
      </c>
      <c r="L964" t="str">
        <f>VLOOKUP(D964,Products!$A$1:C968,3)</f>
        <v>Accessories</v>
      </c>
      <c r="M964" t="str">
        <f>VLOOKUP(Table2[[#This Row],[AgentID]],Sales_Agents!$A$1:C967,2)</f>
        <v>Blessing</v>
      </c>
      <c r="N964" t="str">
        <f>VLOOKUP(Table2[[#This Row],[AgentID]],Sales_Agents!$A$1:C967,3)</f>
        <v>East</v>
      </c>
    </row>
    <row r="965" spans="1:14" x14ac:dyDescent="0.25">
      <c r="A965">
        <v>964</v>
      </c>
      <c r="B965" s="1">
        <v>45447</v>
      </c>
      <c r="C965" s="8" t="str">
        <f>TEXT(Table2[[#This Row],[OrderDate]],"mmm")</f>
        <v>Jun</v>
      </c>
      <c r="D965">
        <v>4</v>
      </c>
      <c r="E965">
        <v>3</v>
      </c>
      <c r="F965">
        <v>18</v>
      </c>
      <c r="G965" s="3">
        <v>144196</v>
      </c>
      <c r="H965" s="3">
        <f t="shared" si="30"/>
        <v>2595528</v>
      </c>
      <c r="I965" s="5">
        <f>Table2[[#This Row],[Total Revenue]]*0.3</f>
        <v>778658.4</v>
      </c>
      <c r="J965" s="6">
        <f t="shared" si="31"/>
        <v>0.3</v>
      </c>
      <c r="K965" t="str">
        <f>VLOOKUP(Table2[[#This Row],[ProductID]],Products!$A$1:C969,2)</f>
        <v>Printer</v>
      </c>
      <c r="L965" t="str">
        <f>VLOOKUP(D965,Products!$A$1:C969,3)</f>
        <v>Accessories</v>
      </c>
      <c r="M965" t="str">
        <f>VLOOKUP(Table2[[#This Row],[AgentID]],Sales_Agents!$A$1:C968,2)</f>
        <v>Chinedu</v>
      </c>
      <c r="N965" t="str">
        <f>VLOOKUP(Table2[[#This Row],[AgentID]],Sales_Agents!$A$1:C968,3)</f>
        <v>South</v>
      </c>
    </row>
    <row r="966" spans="1:14" x14ac:dyDescent="0.25">
      <c r="A966">
        <v>965</v>
      </c>
      <c r="B966" s="1">
        <v>45634</v>
      </c>
      <c r="C966" s="8" t="str">
        <f>TEXT(Table2[[#This Row],[OrderDate]],"mmm")</f>
        <v>Dec</v>
      </c>
      <c r="D966">
        <v>2</v>
      </c>
      <c r="E966">
        <v>3</v>
      </c>
      <c r="F966">
        <v>18</v>
      </c>
      <c r="G966" s="3">
        <v>302623</v>
      </c>
      <c r="H966" s="3">
        <f t="shared" si="30"/>
        <v>5447214</v>
      </c>
      <c r="I966" s="5">
        <f>Table2[[#This Row],[Total Revenue]]*0.3</f>
        <v>1634164.2</v>
      </c>
      <c r="J966" s="6">
        <f t="shared" si="31"/>
        <v>0.3</v>
      </c>
      <c r="K966" t="str">
        <f>VLOOKUP(Table2[[#This Row],[ProductID]],Products!$A$1:C970,2)</f>
        <v>Phone</v>
      </c>
      <c r="L966" t="str">
        <f>VLOOKUP(D966,Products!$A$1:C970,3)</f>
        <v>Electronics</v>
      </c>
      <c r="M966" t="str">
        <f>VLOOKUP(Table2[[#This Row],[AgentID]],Sales_Agents!$A$1:C969,2)</f>
        <v>Chinedu</v>
      </c>
      <c r="N966" t="str">
        <f>VLOOKUP(Table2[[#This Row],[AgentID]],Sales_Agents!$A$1:C969,3)</f>
        <v>South</v>
      </c>
    </row>
    <row r="967" spans="1:14" x14ac:dyDescent="0.25">
      <c r="A967">
        <v>966</v>
      </c>
      <c r="B967" s="1">
        <v>45519</v>
      </c>
      <c r="C967" s="8" t="str">
        <f>TEXT(Table2[[#This Row],[OrderDate]],"mmm")</f>
        <v>Aug</v>
      </c>
      <c r="D967">
        <v>1</v>
      </c>
      <c r="E967">
        <v>3</v>
      </c>
      <c r="F967">
        <v>10</v>
      </c>
      <c r="G967" s="3">
        <v>141614</v>
      </c>
      <c r="H967" s="3">
        <f t="shared" si="30"/>
        <v>1416140</v>
      </c>
      <c r="I967" s="5">
        <f>Table2[[#This Row],[Total Revenue]]*0.3</f>
        <v>424842</v>
      </c>
      <c r="J967" s="6">
        <f t="shared" si="31"/>
        <v>0.3</v>
      </c>
      <c r="K967" t="str">
        <f>VLOOKUP(Table2[[#This Row],[ProductID]],Products!$A$1:C971,2)</f>
        <v>Laptop</v>
      </c>
      <c r="L967" t="str">
        <f>VLOOKUP(D967,Products!$A$1:C971,3)</f>
        <v>Electronics</v>
      </c>
      <c r="M967" t="str">
        <f>VLOOKUP(Table2[[#This Row],[AgentID]],Sales_Agents!$A$1:C970,2)</f>
        <v>Chinedu</v>
      </c>
      <c r="N967" t="str">
        <f>VLOOKUP(Table2[[#This Row],[AgentID]],Sales_Agents!$A$1:C970,3)</f>
        <v>South</v>
      </c>
    </row>
    <row r="968" spans="1:14" x14ac:dyDescent="0.25">
      <c r="A968">
        <v>967</v>
      </c>
      <c r="B968" s="1">
        <v>45369</v>
      </c>
      <c r="C968" s="8" t="str">
        <f>TEXT(Table2[[#This Row],[OrderDate]],"mmm")</f>
        <v>Mar</v>
      </c>
      <c r="D968">
        <v>4</v>
      </c>
      <c r="E968">
        <v>3</v>
      </c>
      <c r="F968">
        <v>12</v>
      </c>
      <c r="G968" s="3">
        <v>259103</v>
      </c>
      <c r="H968" s="3">
        <f t="shared" si="30"/>
        <v>3109236</v>
      </c>
      <c r="I968" s="5">
        <f>Table2[[#This Row],[Total Revenue]]*0.3</f>
        <v>932770.79999999993</v>
      </c>
      <c r="J968" s="6">
        <f t="shared" si="31"/>
        <v>0.3</v>
      </c>
      <c r="K968" t="str">
        <f>VLOOKUP(Table2[[#This Row],[ProductID]],Products!$A$1:C972,2)</f>
        <v>Printer</v>
      </c>
      <c r="L968" t="str">
        <f>VLOOKUP(D968,Products!$A$1:C972,3)</f>
        <v>Accessories</v>
      </c>
      <c r="M968" t="str">
        <f>VLOOKUP(Table2[[#This Row],[AgentID]],Sales_Agents!$A$1:C971,2)</f>
        <v>Chinedu</v>
      </c>
      <c r="N968" t="str">
        <f>VLOOKUP(Table2[[#This Row],[AgentID]],Sales_Agents!$A$1:C971,3)</f>
        <v>South</v>
      </c>
    </row>
    <row r="969" spans="1:14" x14ac:dyDescent="0.25">
      <c r="A969">
        <v>968</v>
      </c>
      <c r="B969" s="1">
        <v>45447</v>
      </c>
      <c r="C969" s="8" t="str">
        <f>TEXT(Table2[[#This Row],[OrderDate]],"mmm")</f>
        <v>Jun</v>
      </c>
      <c r="D969">
        <v>2</v>
      </c>
      <c r="E969">
        <v>3</v>
      </c>
      <c r="F969">
        <v>2</v>
      </c>
      <c r="G969" s="3">
        <v>187376</v>
      </c>
      <c r="H969" s="3">
        <f t="shared" si="30"/>
        <v>374752</v>
      </c>
      <c r="I969" s="5">
        <f>Table2[[#This Row],[Total Revenue]]*0.3</f>
        <v>112425.59999999999</v>
      </c>
      <c r="J969" s="6">
        <f t="shared" si="31"/>
        <v>0.3</v>
      </c>
      <c r="K969" t="str">
        <f>VLOOKUP(Table2[[#This Row],[ProductID]],Products!$A$1:C973,2)</f>
        <v>Phone</v>
      </c>
      <c r="L969" t="str">
        <f>VLOOKUP(D969,Products!$A$1:C973,3)</f>
        <v>Electronics</v>
      </c>
      <c r="M969" t="str">
        <f>VLOOKUP(Table2[[#This Row],[AgentID]],Sales_Agents!$A$1:C972,2)</f>
        <v>Chinedu</v>
      </c>
      <c r="N969" t="str">
        <f>VLOOKUP(Table2[[#This Row],[AgentID]],Sales_Agents!$A$1:C972,3)</f>
        <v>South</v>
      </c>
    </row>
    <row r="970" spans="1:14" x14ac:dyDescent="0.25">
      <c r="A970">
        <v>969</v>
      </c>
      <c r="B970" s="1">
        <v>45351</v>
      </c>
      <c r="C970" s="8" t="str">
        <f>TEXT(Table2[[#This Row],[OrderDate]],"mmm")</f>
        <v>Feb</v>
      </c>
      <c r="D970">
        <v>4</v>
      </c>
      <c r="E970">
        <v>4</v>
      </c>
      <c r="F970">
        <v>16</v>
      </c>
      <c r="G970" s="3">
        <v>100085</v>
      </c>
      <c r="H970" s="3">
        <f t="shared" si="30"/>
        <v>1601360</v>
      </c>
      <c r="I970" s="5">
        <f>Table2[[#This Row],[Total Revenue]]*0.3</f>
        <v>480408</v>
      </c>
      <c r="J970" s="6">
        <f t="shared" si="31"/>
        <v>0.3</v>
      </c>
      <c r="K970" t="str">
        <f>VLOOKUP(Table2[[#This Row],[ProductID]],Products!$A$1:C974,2)</f>
        <v>Printer</v>
      </c>
      <c r="L970" t="str">
        <f>VLOOKUP(D970,Products!$A$1:C974,3)</f>
        <v>Accessories</v>
      </c>
      <c r="M970" t="str">
        <f>VLOOKUP(Table2[[#This Row],[AgentID]],Sales_Agents!$A$1:C973,2)</f>
        <v>Zainab</v>
      </c>
      <c r="N970" t="str">
        <f>VLOOKUP(Table2[[#This Row],[AgentID]],Sales_Agents!$A$1:C973,3)</f>
        <v>North</v>
      </c>
    </row>
    <row r="971" spans="1:14" x14ac:dyDescent="0.25">
      <c r="A971">
        <v>970</v>
      </c>
      <c r="B971" s="1">
        <v>45592</v>
      </c>
      <c r="C971" s="8" t="str">
        <f>TEXT(Table2[[#This Row],[OrderDate]],"mmm")</f>
        <v>Oct</v>
      </c>
      <c r="D971">
        <v>4</v>
      </c>
      <c r="E971">
        <v>1</v>
      </c>
      <c r="F971">
        <v>4</v>
      </c>
      <c r="G971" s="3">
        <v>278858</v>
      </c>
      <c r="H971" s="3">
        <f t="shared" si="30"/>
        <v>1115432</v>
      </c>
      <c r="I971" s="5">
        <f>Table2[[#This Row],[Total Revenue]]*0.3</f>
        <v>334629.59999999998</v>
      </c>
      <c r="J971" s="6">
        <f t="shared" si="31"/>
        <v>0.3</v>
      </c>
      <c r="K971" t="str">
        <f>VLOOKUP(Table2[[#This Row],[ProductID]],Products!$A$1:C975,2)</f>
        <v>Printer</v>
      </c>
      <c r="L971" t="str">
        <f>VLOOKUP(D971,Products!$A$1:C975,3)</f>
        <v>Accessories</v>
      </c>
      <c r="M971" t="str">
        <f>VLOOKUP(Table2[[#This Row],[AgentID]],Sales_Agents!$A$1:C974,2)</f>
        <v>Akin</v>
      </c>
      <c r="N971" t="str">
        <f>VLOOKUP(Table2[[#This Row],[AgentID]],Sales_Agents!$A$1:C974,3)</f>
        <v>West</v>
      </c>
    </row>
    <row r="972" spans="1:14" x14ac:dyDescent="0.25">
      <c r="A972">
        <v>971</v>
      </c>
      <c r="B972" s="1">
        <v>45327</v>
      </c>
      <c r="C972" s="8" t="str">
        <f>TEXT(Table2[[#This Row],[OrderDate]],"mmm")</f>
        <v>Feb</v>
      </c>
      <c r="D972">
        <v>2</v>
      </c>
      <c r="E972">
        <v>1</v>
      </c>
      <c r="F972">
        <v>8</v>
      </c>
      <c r="G972" s="3">
        <v>76364</v>
      </c>
      <c r="H972" s="3">
        <f t="shared" si="30"/>
        <v>610912</v>
      </c>
      <c r="I972" s="5">
        <f>Table2[[#This Row],[Total Revenue]]*0.3</f>
        <v>183273.60000000001</v>
      </c>
      <c r="J972" s="6">
        <f t="shared" si="31"/>
        <v>0.3</v>
      </c>
      <c r="K972" t="str">
        <f>VLOOKUP(Table2[[#This Row],[ProductID]],Products!$A$1:C976,2)</f>
        <v>Phone</v>
      </c>
      <c r="L972" t="str">
        <f>VLOOKUP(D972,Products!$A$1:C976,3)</f>
        <v>Electronics</v>
      </c>
      <c r="M972" t="str">
        <f>VLOOKUP(Table2[[#This Row],[AgentID]],Sales_Agents!$A$1:C975,2)</f>
        <v>Akin</v>
      </c>
      <c r="N972" t="str">
        <f>VLOOKUP(Table2[[#This Row],[AgentID]],Sales_Agents!$A$1:C975,3)</f>
        <v>West</v>
      </c>
    </row>
    <row r="973" spans="1:14" x14ac:dyDescent="0.25">
      <c r="A973">
        <v>972</v>
      </c>
      <c r="B973" s="1">
        <v>45572</v>
      </c>
      <c r="C973" s="8" t="str">
        <f>TEXT(Table2[[#This Row],[OrderDate]],"mmm")</f>
        <v>Oct</v>
      </c>
      <c r="D973">
        <v>5</v>
      </c>
      <c r="E973">
        <v>1</v>
      </c>
      <c r="F973">
        <v>2</v>
      </c>
      <c r="G973" s="3">
        <v>341041</v>
      </c>
      <c r="H973" s="3">
        <f t="shared" si="30"/>
        <v>682082</v>
      </c>
      <c r="I973" s="5">
        <f>Table2[[#This Row],[Total Revenue]]*0.3</f>
        <v>204624.6</v>
      </c>
      <c r="J973" s="6">
        <f t="shared" si="31"/>
        <v>0.3</v>
      </c>
      <c r="K973" t="str">
        <f>VLOOKUP(Table2[[#This Row],[ProductID]],Products!$A$1:C977,2)</f>
        <v>Monitor</v>
      </c>
      <c r="L973" t="str">
        <f>VLOOKUP(D973,Products!$A$1:C977,3)</f>
        <v>Accessories</v>
      </c>
      <c r="M973" t="str">
        <f>VLOOKUP(Table2[[#This Row],[AgentID]],Sales_Agents!$A$1:C976,2)</f>
        <v>Akin</v>
      </c>
      <c r="N973" t="str">
        <f>VLOOKUP(Table2[[#This Row],[AgentID]],Sales_Agents!$A$1:C976,3)</f>
        <v>West</v>
      </c>
    </row>
    <row r="974" spans="1:14" x14ac:dyDescent="0.25">
      <c r="A974">
        <v>973</v>
      </c>
      <c r="B974" s="1">
        <v>45586</v>
      </c>
      <c r="C974" s="8" t="str">
        <f>TEXT(Table2[[#This Row],[OrderDate]],"mmm")</f>
        <v>Oct</v>
      </c>
      <c r="D974">
        <v>3</v>
      </c>
      <c r="E974">
        <v>1</v>
      </c>
      <c r="F974">
        <v>17</v>
      </c>
      <c r="G974" s="3">
        <v>376484</v>
      </c>
      <c r="H974" s="3">
        <f t="shared" si="30"/>
        <v>6400228</v>
      </c>
      <c r="I974" s="5">
        <f>Table2[[#This Row],[Total Revenue]]*0.3</f>
        <v>1920068.4</v>
      </c>
      <c r="J974" s="6">
        <f t="shared" si="31"/>
        <v>0.3</v>
      </c>
      <c r="K974" t="str">
        <f>VLOOKUP(Table2[[#This Row],[ProductID]],Products!$A$1:C978,2)</f>
        <v>Tablet</v>
      </c>
      <c r="L974" t="str">
        <f>VLOOKUP(D974,Products!$A$1:C978,3)</f>
        <v>Electronics</v>
      </c>
      <c r="M974" t="str">
        <f>VLOOKUP(Table2[[#This Row],[AgentID]],Sales_Agents!$A$1:C977,2)</f>
        <v>Akin</v>
      </c>
      <c r="N974" t="str">
        <f>VLOOKUP(Table2[[#This Row],[AgentID]],Sales_Agents!$A$1:C977,3)</f>
        <v>West</v>
      </c>
    </row>
    <row r="975" spans="1:14" x14ac:dyDescent="0.25">
      <c r="A975">
        <v>974</v>
      </c>
      <c r="B975" s="1">
        <v>45467</v>
      </c>
      <c r="C975" s="8" t="str">
        <f>TEXT(Table2[[#This Row],[OrderDate]],"mmm")</f>
        <v>Jun</v>
      </c>
      <c r="D975">
        <v>2</v>
      </c>
      <c r="E975">
        <v>1</v>
      </c>
      <c r="F975">
        <v>16</v>
      </c>
      <c r="G975" s="3">
        <v>286321</v>
      </c>
      <c r="H975" s="3">
        <f t="shared" si="30"/>
        <v>4581136</v>
      </c>
      <c r="I975" s="5">
        <f>Table2[[#This Row],[Total Revenue]]*0.3</f>
        <v>1374340.8</v>
      </c>
      <c r="J975" s="6">
        <f t="shared" si="31"/>
        <v>0.3</v>
      </c>
      <c r="K975" t="str">
        <f>VLOOKUP(Table2[[#This Row],[ProductID]],Products!$A$1:C979,2)</f>
        <v>Phone</v>
      </c>
      <c r="L975" t="str">
        <f>VLOOKUP(D975,Products!$A$1:C979,3)</f>
        <v>Electronics</v>
      </c>
      <c r="M975" t="str">
        <f>VLOOKUP(Table2[[#This Row],[AgentID]],Sales_Agents!$A$1:C978,2)</f>
        <v>Akin</v>
      </c>
      <c r="N975" t="str">
        <f>VLOOKUP(Table2[[#This Row],[AgentID]],Sales_Agents!$A$1:C978,3)</f>
        <v>West</v>
      </c>
    </row>
    <row r="976" spans="1:14" x14ac:dyDescent="0.25">
      <c r="A976">
        <v>975</v>
      </c>
      <c r="B976" s="1">
        <v>45460</v>
      </c>
      <c r="C976" s="8" t="str">
        <f>TEXT(Table2[[#This Row],[OrderDate]],"mmm")</f>
        <v>Jun</v>
      </c>
      <c r="D976">
        <v>3</v>
      </c>
      <c r="E976">
        <v>2</v>
      </c>
      <c r="F976">
        <v>14</v>
      </c>
      <c r="G976" s="3">
        <v>271304</v>
      </c>
      <c r="H976" s="3">
        <f t="shared" si="30"/>
        <v>3798256</v>
      </c>
      <c r="I976" s="5">
        <f>Table2[[#This Row],[Total Revenue]]*0.3</f>
        <v>1139476.8</v>
      </c>
      <c r="J976" s="6">
        <f t="shared" si="31"/>
        <v>0.3</v>
      </c>
      <c r="K976" t="str">
        <f>VLOOKUP(Table2[[#This Row],[ProductID]],Products!$A$1:C980,2)</f>
        <v>Tablet</v>
      </c>
      <c r="L976" t="str">
        <f>VLOOKUP(D976,Products!$A$1:C980,3)</f>
        <v>Electronics</v>
      </c>
      <c r="M976" t="str">
        <f>VLOOKUP(Table2[[#This Row],[AgentID]],Sales_Agents!$A$1:C979,2)</f>
        <v>Blessing</v>
      </c>
      <c r="N976" t="str">
        <f>VLOOKUP(Table2[[#This Row],[AgentID]],Sales_Agents!$A$1:C979,3)</f>
        <v>East</v>
      </c>
    </row>
    <row r="977" spans="1:14" x14ac:dyDescent="0.25">
      <c r="A977">
        <v>976</v>
      </c>
      <c r="B977" s="1">
        <v>45335</v>
      </c>
      <c r="C977" s="8" t="str">
        <f>TEXT(Table2[[#This Row],[OrderDate]],"mmm")</f>
        <v>Feb</v>
      </c>
      <c r="D977">
        <v>4</v>
      </c>
      <c r="E977">
        <v>3</v>
      </c>
      <c r="F977">
        <v>11</v>
      </c>
      <c r="G977" s="3">
        <v>309637</v>
      </c>
      <c r="H977" s="3">
        <f t="shared" si="30"/>
        <v>3406007</v>
      </c>
      <c r="I977" s="5">
        <f>Table2[[#This Row],[Total Revenue]]*0.3</f>
        <v>1021802.1</v>
      </c>
      <c r="J977" s="6">
        <f t="shared" si="31"/>
        <v>0.3</v>
      </c>
      <c r="K977" t="str">
        <f>VLOOKUP(Table2[[#This Row],[ProductID]],Products!$A$1:C981,2)</f>
        <v>Printer</v>
      </c>
      <c r="L977" t="str">
        <f>VLOOKUP(D977,Products!$A$1:C981,3)</f>
        <v>Accessories</v>
      </c>
      <c r="M977" t="str">
        <f>VLOOKUP(Table2[[#This Row],[AgentID]],Sales_Agents!$A$1:C980,2)</f>
        <v>Chinedu</v>
      </c>
      <c r="N977" t="str">
        <f>VLOOKUP(Table2[[#This Row],[AgentID]],Sales_Agents!$A$1:C980,3)</f>
        <v>South</v>
      </c>
    </row>
    <row r="978" spans="1:14" x14ac:dyDescent="0.25">
      <c r="A978">
        <v>977</v>
      </c>
      <c r="B978" s="1">
        <v>45332</v>
      </c>
      <c r="C978" s="8" t="str">
        <f>TEXT(Table2[[#This Row],[OrderDate]],"mmm")</f>
        <v>Feb</v>
      </c>
      <c r="D978">
        <v>3</v>
      </c>
      <c r="E978">
        <v>3</v>
      </c>
      <c r="F978">
        <v>7</v>
      </c>
      <c r="G978" s="3">
        <v>273353</v>
      </c>
      <c r="H978" s="3">
        <f t="shared" si="30"/>
        <v>1913471</v>
      </c>
      <c r="I978" s="5">
        <f>Table2[[#This Row],[Total Revenue]]*0.3</f>
        <v>574041.29999999993</v>
      </c>
      <c r="J978" s="6">
        <f t="shared" si="31"/>
        <v>0.3</v>
      </c>
      <c r="K978" t="str">
        <f>VLOOKUP(Table2[[#This Row],[ProductID]],Products!$A$1:C982,2)</f>
        <v>Tablet</v>
      </c>
      <c r="L978" t="str">
        <f>VLOOKUP(D978,Products!$A$1:C982,3)</f>
        <v>Electronics</v>
      </c>
      <c r="M978" t="str">
        <f>VLOOKUP(Table2[[#This Row],[AgentID]],Sales_Agents!$A$1:C981,2)</f>
        <v>Chinedu</v>
      </c>
      <c r="N978" t="str">
        <f>VLOOKUP(Table2[[#This Row],[AgentID]],Sales_Agents!$A$1:C981,3)</f>
        <v>South</v>
      </c>
    </row>
    <row r="979" spans="1:14" x14ac:dyDescent="0.25">
      <c r="A979">
        <v>978</v>
      </c>
      <c r="B979" s="1">
        <v>45614</v>
      </c>
      <c r="C979" s="8" t="str">
        <f>TEXT(Table2[[#This Row],[OrderDate]],"mmm")</f>
        <v>Nov</v>
      </c>
      <c r="D979">
        <v>3</v>
      </c>
      <c r="E979">
        <v>1</v>
      </c>
      <c r="F979">
        <v>16</v>
      </c>
      <c r="G979" s="3">
        <v>347205</v>
      </c>
      <c r="H979" s="3">
        <f t="shared" si="30"/>
        <v>5555280</v>
      </c>
      <c r="I979" s="5">
        <f>Table2[[#This Row],[Total Revenue]]*0.3</f>
        <v>1666584</v>
      </c>
      <c r="J979" s="6">
        <f t="shared" si="31"/>
        <v>0.3</v>
      </c>
      <c r="K979" t="str">
        <f>VLOOKUP(Table2[[#This Row],[ProductID]],Products!$A$1:C983,2)</f>
        <v>Tablet</v>
      </c>
      <c r="L979" t="str">
        <f>VLOOKUP(D979,Products!$A$1:C983,3)</f>
        <v>Electronics</v>
      </c>
      <c r="M979" t="str">
        <f>VLOOKUP(Table2[[#This Row],[AgentID]],Sales_Agents!$A$1:C982,2)</f>
        <v>Akin</v>
      </c>
      <c r="N979" t="str">
        <f>VLOOKUP(Table2[[#This Row],[AgentID]],Sales_Agents!$A$1:C982,3)</f>
        <v>West</v>
      </c>
    </row>
    <row r="980" spans="1:14" x14ac:dyDescent="0.25">
      <c r="A980">
        <v>979</v>
      </c>
      <c r="B980" s="1">
        <v>45622</v>
      </c>
      <c r="C980" s="8" t="str">
        <f>TEXT(Table2[[#This Row],[OrderDate]],"mmm")</f>
        <v>Nov</v>
      </c>
      <c r="D980">
        <v>3</v>
      </c>
      <c r="E980">
        <v>1</v>
      </c>
      <c r="F980">
        <v>2</v>
      </c>
      <c r="G980" s="3">
        <v>207953</v>
      </c>
      <c r="H980" s="3">
        <f t="shared" si="30"/>
        <v>415906</v>
      </c>
      <c r="I980" s="5">
        <f>Table2[[#This Row],[Total Revenue]]*0.3</f>
        <v>124771.79999999999</v>
      </c>
      <c r="J980" s="6">
        <f t="shared" si="31"/>
        <v>0.3</v>
      </c>
      <c r="K980" t="str">
        <f>VLOOKUP(Table2[[#This Row],[ProductID]],Products!$A$1:C984,2)</f>
        <v>Tablet</v>
      </c>
      <c r="L980" t="str">
        <f>VLOOKUP(D980,Products!$A$1:C984,3)</f>
        <v>Electronics</v>
      </c>
      <c r="M980" t="str">
        <f>VLOOKUP(Table2[[#This Row],[AgentID]],Sales_Agents!$A$1:C983,2)</f>
        <v>Akin</v>
      </c>
      <c r="N980" t="str">
        <f>VLOOKUP(Table2[[#This Row],[AgentID]],Sales_Agents!$A$1:C983,3)</f>
        <v>West</v>
      </c>
    </row>
    <row r="981" spans="1:14" x14ac:dyDescent="0.25">
      <c r="A981">
        <v>980</v>
      </c>
      <c r="B981" s="1">
        <v>45393</v>
      </c>
      <c r="C981" s="8" t="str">
        <f>TEXT(Table2[[#This Row],[OrderDate]],"mmm")</f>
        <v>Apr</v>
      </c>
      <c r="D981">
        <v>4</v>
      </c>
      <c r="E981">
        <v>3</v>
      </c>
      <c r="F981">
        <v>2</v>
      </c>
      <c r="G981" s="3">
        <v>183440</v>
      </c>
      <c r="H981" s="3">
        <f t="shared" si="30"/>
        <v>366880</v>
      </c>
      <c r="I981" s="5">
        <f>Table2[[#This Row],[Total Revenue]]*0.3</f>
        <v>110064</v>
      </c>
      <c r="J981" s="6">
        <f t="shared" si="31"/>
        <v>0.3</v>
      </c>
      <c r="K981" t="str">
        <f>VLOOKUP(Table2[[#This Row],[ProductID]],Products!$A$1:C985,2)</f>
        <v>Printer</v>
      </c>
      <c r="L981" t="str">
        <f>VLOOKUP(D981,Products!$A$1:C985,3)</f>
        <v>Accessories</v>
      </c>
      <c r="M981" t="str">
        <f>VLOOKUP(Table2[[#This Row],[AgentID]],Sales_Agents!$A$1:C984,2)</f>
        <v>Chinedu</v>
      </c>
      <c r="N981" t="str">
        <f>VLOOKUP(Table2[[#This Row],[AgentID]],Sales_Agents!$A$1:C984,3)</f>
        <v>South</v>
      </c>
    </row>
    <row r="982" spans="1:14" x14ac:dyDescent="0.25">
      <c r="A982">
        <v>981</v>
      </c>
      <c r="B982" s="1">
        <v>45629</v>
      </c>
      <c r="C982" s="8" t="str">
        <f>TEXT(Table2[[#This Row],[OrderDate]],"mmm")</f>
        <v>Dec</v>
      </c>
      <c r="D982">
        <v>3</v>
      </c>
      <c r="E982">
        <v>4</v>
      </c>
      <c r="F982">
        <v>2</v>
      </c>
      <c r="G982" s="3">
        <v>272290</v>
      </c>
      <c r="H982" s="3">
        <f t="shared" si="30"/>
        <v>544580</v>
      </c>
      <c r="I982" s="5">
        <f>Table2[[#This Row],[Total Revenue]]*0.3</f>
        <v>163374</v>
      </c>
      <c r="J982" s="6">
        <f t="shared" si="31"/>
        <v>0.3</v>
      </c>
      <c r="K982" t="str">
        <f>VLOOKUP(Table2[[#This Row],[ProductID]],Products!$A$1:C986,2)</f>
        <v>Tablet</v>
      </c>
      <c r="L982" t="str">
        <f>VLOOKUP(D982,Products!$A$1:C986,3)</f>
        <v>Electronics</v>
      </c>
      <c r="M982" t="str">
        <f>VLOOKUP(Table2[[#This Row],[AgentID]],Sales_Agents!$A$1:C985,2)</f>
        <v>Zainab</v>
      </c>
      <c r="N982" t="str">
        <f>VLOOKUP(Table2[[#This Row],[AgentID]],Sales_Agents!$A$1:C985,3)</f>
        <v>North</v>
      </c>
    </row>
    <row r="983" spans="1:14" x14ac:dyDescent="0.25">
      <c r="A983">
        <v>982</v>
      </c>
      <c r="B983" s="1">
        <v>45423</v>
      </c>
      <c r="C983" s="8" t="str">
        <f>TEXT(Table2[[#This Row],[OrderDate]],"mmm")</f>
        <v>May</v>
      </c>
      <c r="D983">
        <v>4</v>
      </c>
      <c r="E983">
        <v>1</v>
      </c>
      <c r="F983">
        <v>9</v>
      </c>
      <c r="G983" s="3">
        <v>336693</v>
      </c>
      <c r="H983" s="3">
        <f t="shared" si="30"/>
        <v>3030237</v>
      </c>
      <c r="I983" s="5">
        <f>Table2[[#This Row],[Total Revenue]]*0.3</f>
        <v>909071.1</v>
      </c>
      <c r="J983" s="6">
        <f t="shared" si="31"/>
        <v>0.3</v>
      </c>
      <c r="K983" t="str">
        <f>VLOOKUP(Table2[[#This Row],[ProductID]],Products!$A$1:C987,2)</f>
        <v>Printer</v>
      </c>
      <c r="L983" t="str">
        <f>VLOOKUP(D983,Products!$A$1:C987,3)</f>
        <v>Accessories</v>
      </c>
      <c r="M983" t="str">
        <f>VLOOKUP(Table2[[#This Row],[AgentID]],Sales_Agents!$A$1:C986,2)</f>
        <v>Akin</v>
      </c>
      <c r="N983" t="str">
        <f>VLOOKUP(Table2[[#This Row],[AgentID]],Sales_Agents!$A$1:C986,3)</f>
        <v>West</v>
      </c>
    </row>
    <row r="984" spans="1:14" x14ac:dyDescent="0.25">
      <c r="A984">
        <v>983</v>
      </c>
      <c r="B984" s="1">
        <v>45549</v>
      </c>
      <c r="C984" s="8" t="str">
        <f>TEXT(Table2[[#This Row],[OrderDate]],"mmm")</f>
        <v>Sept</v>
      </c>
      <c r="D984">
        <v>1</v>
      </c>
      <c r="E984">
        <v>2</v>
      </c>
      <c r="F984">
        <v>10</v>
      </c>
      <c r="G984" s="3">
        <v>290458</v>
      </c>
      <c r="H984" s="3">
        <f t="shared" si="30"/>
        <v>2904580</v>
      </c>
      <c r="I984" s="5">
        <f>Table2[[#This Row],[Total Revenue]]*0.3</f>
        <v>871374</v>
      </c>
      <c r="J984" s="6">
        <f t="shared" si="31"/>
        <v>0.3</v>
      </c>
      <c r="K984" t="str">
        <f>VLOOKUP(Table2[[#This Row],[ProductID]],Products!$A$1:C988,2)</f>
        <v>Laptop</v>
      </c>
      <c r="L984" t="str">
        <f>VLOOKUP(D984,Products!$A$1:C988,3)</f>
        <v>Electronics</v>
      </c>
      <c r="M984" t="str">
        <f>VLOOKUP(Table2[[#This Row],[AgentID]],Sales_Agents!$A$1:C987,2)</f>
        <v>Blessing</v>
      </c>
      <c r="N984" t="str">
        <f>VLOOKUP(Table2[[#This Row],[AgentID]],Sales_Agents!$A$1:C987,3)</f>
        <v>East</v>
      </c>
    </row>
    <row r="985" spans="1:14" x14ac:dyDescent="0.25">
      <c r="A985">
        <v>984</v>
      </c>
      <c r="B985" s="1">
        <v>45434</v>
      </c>
      <c r="C985" s="8" t="str">
        <f>TEXT(Table2[[#This Row],[OrderDate]],"mmm")</f>
        <v>May</v>
      </c>
      <c r="D985">
        <v>5</v>
      </c>
      <c r="E985">
        <v>4</v>
      </c>
      <c r="F985">
        <v>19</v>
      </c>
      <c r="G985" s="3">
        <v>316154</v>
      </c>
      <c r="H985" s="3">
        <f t="shared" si="30"/>
        <v>6006926</v>
      </c>
      <c r="I985" s="5">
        <f>Table2[[#This Row],[Total Revenue]]*0.3</f>
        <v>1802077.8</v>
      </c>
      <c r="J985" s="6">
        <f t="shared" si="31"/>
        <v>0.3</v>
      </c>
      <c r="K985" t="str">
        <f>VLOOKUP(Table2[[#This Row],[ProductID]],Products!$A$1:C989,2)</f>
        <v>Monitor</v>
      </c>
      <c r="L985" t="str">
        <f>VLOOKUP(D985,Products!$A$1:C989,3)</f>
        <v>Accessories</v>
      </c>
      <c r="M985" t="str">
        <f>VLOOKUP(Table2[[#This Row],[AgentID]],Sales_Agents!$A$1:C988,2)</f>
        <v>Zainab</v>
      </c>
      <c r="N985" t="str">
        <f>VLOOKUP(Table2[[#This Row],[AgentID]],Sales_Agents!$A$1:C988,3)</f>
        <v>North</v>
      </c>
    </row>
    <row r="986" spans="1:14" x14ac:dyDescent="0.25">
      <c r="A986">
        <v>985</v>
      </c>
      <c r="B986" s="1">
        <v>45573</v>
      </c>
      <c r="C986" s="8" t="str">
        <f>TEXT(Table2[[#This Row],[OrderDate]],"mmm")</f>
        <v>Oct</v>
      </c>
      <c r="D986">
        <v>3</v>
      </c>
      <c r="E986">
        <v>4</v>
      </c>
      <c r="F986">
        <v>2</v>
      </c>
      <c r="G986" s="3">
        <v>371042</v>
      </c>
      <c r="H986" s="3">
        <f t="shared" si="30"/>
        <v>742084</v>
      </c>
      <c r="I986" s="5">
        <f>Table2[[#This Row],[Total Revenue]]*0.3</f>
        <v>222625.19999999998</v>
      </c>
      <c r="J986" s="6">
        <f t="shared" si="31"/>
        <v>0.3</v>
      </c>
      <c r="K986" t="str">
        <f>VLOOKUP(Table2[[#This Row],[ProductID]],Products!$A$1:C990,2)</f>
        <v>Tablet</v>
      </c>
      <c r="L986" t="str">
        <f>VLOOKUP(D986,Products!$A$1:C990,3)</f>
        <v>Electronics</v>
      </c>
      <c r="M986" t="str">
        <f>VLOOKUP(Table2[[#This Row],[AgentID]],Sales_Agents!$A$1:C989,2)</f>
        <v>Zainab</v>
      </c>
      <c r="N986" t="str">
        <f>VLOOKUP(Table2[[#This Row],[AgentID]],Sales_Agents!$A$1:C989,3)</f>
        <v>North</v>
      </c>
    </row>
    <row r="987" spans="1:14" x14ac:dyDescent="0.25">
      <c r="A987">
        <v>986</v>
      </c>
      <c r="B987" s="1">
        <v>45621</v>
      </c>
      <c r="C987" s="8" t="str">
        <f>TEXT(Table2[[#This Row],[OrderDate]],"mmm")</f>
        <v>Nov</v>
      </c>
      <c r="D987">
        <v>3</v>
      </c>
      <c r="E987">
        <v>3</v>
      </c>
      <c r="F987">
        <v>4</v>
      </c>
      <c r="G987" s="3">
        <v>137010</v>
      </c>
      <c r="H987" s="3">
        <f t="shared" si="30"/>
        <v>548040</v>
      </c>
      <c r="I987" s="5">
        <f>Table2[[#This Row],[Total Revenue]]*0.3</f>
        <v>164412</v>
      </c>
      <c r="J987" s="6">
        <f t="shared" si="31"/>
        <v>0.3</v>
      </c>
      <c r="K987" t="str">
        <f>VLOOKUP(Table2[[#This Row],[ProductID]],Products!$A$1:C991,2)</f>
        <v>Tablet</v>
      </c>
      <c r="L987" t="str">
        <f>VLOOKUP(D987,Products!$A$1:C991,3)</f>
        <v>Electronics</v>
      </c>
      <c r="M987" t="str">
        <f>VLOOKUP(Table2[[#This Row],[AgentID]],Sales_Agents!$A$1:C990,2)</f>
        <v>Chinedu</v>
      </c>
      <c r="N987" t="str">
        <f>VLOOKUP(Table2[[#This Row],[AgentID]],Sales_Agents!$A$1:C990,3)</f>
        <v>South</v>
      </c>
    </row>
    <row r="988" spans="1:14" x14ac:dyDescent="0.25">
      <c r="A988">
        <v>987</v>
      </c>
      <c r="B988" s="1">
        <v>45452</v>
      </c>
      <c r="C988" s="8" t="str">
        <f>TEXT(Table2[[#This Row],[OrderDate]],"mmm")</f>
        <v>Jun</v>
      </c>
      <c r="D988">
        <v>2</v>
      </c>
      <c r="E988">
        <v>4</v>
      </c>
      <c r="F988">
        <v>2</v>
      </c>
      <c r="G988" s="3">
        <v>192512</v>
      </c>
      <c r="H988" s="3">
        <f t="shared" si="30"/>
        <v>385024</v>
      </c>
      <c r="I988" s="5">
        <f>Table2[[#This Row],[Total Revenue]]*0.3</f>
        <v>115507.2</v>
      </c>
      <c r="J988" s="6">
        <f t="shared" si="31"/>
        <v>0.3</v>
      </c>
      <c r="K988" t="str">
        <f>VLOOKUP(Table2[[#This Row],[ProductID]],Products!$A$1:C992,2)</f>
        <v>Phone</v>
      </c>
      <c r="L988" t="str">
        <f>VLOOKUP(D988,Products!$A$1:C992,3)</f>
        <v>Electronics</v>
      </c>
      <c r="M988" t="str">
        <f>VLOOKUP(Table2[[#This Row],[AgentID]],Sales_Agents!$A$1:C991,2)</f>
        <v>Zainab</v>
      </c>
      <c r="N988" t="str">
        <f>VLOOKUP(Table2[[#This Row],[AgentID]],Sales_Agents!$A$1:C991,3)</f>
        <v>North</v>
      </c>
    </row>
    <row r="989" spans="1:14" x14ac:dyDescent="0.25">
      <c r="A989">
        <v>988</v>
      </c>
      <c r="B989" s="1">
        <v>45541</v>
      </c>
      <c r="C989" s="8" t="str">
        <f>TEXT(Table2[[#This Row],[OrderDate]],"mmm")</f>
        <v>Sept</v>
      </c>
      <c r="D989">
        <v>5</v>
      </c>
      <c r="E989">
        <v>2</v>
      </c>
      <c r="F989">
        <v>5</v>
      </c>
      <c r="G989" s="3">
        <v>350329</v>
      </c>
      <c r="H989" s="3">
        <f t="shared" si="30"/>
        <v>1751645</v>
      </c>
      <c r="I989" s="5">
        <f>Table2[[#This Row],[Total Revenue]]*0.3</f>
        <v>525493.5</v>
      </c>
      <c r="J989" s="6">
        <f t="shared" si="31"/>
        <v>0.3</v>
      </c>
      <c r="K989" t="str">
        <f>VLOOKUP(Table2[[#This Row],[ProductID]],Products!$A$1:C993,2)</f>
        <v>Monitor</v>
      </c>
      <c r="L989" t="str">
        <f>VLOOKUP(D989,Products!$A$1:C993,3)</f>
        <v>Accessories</v>
      </c>
      <c r="M989" t="str">
        <f>VLOOKUP(Table2[[#This Row],[AgentID]],Sales_Agents!$A$1:C992,2)</f>
        <v>Blessing</v>
      </c>
      <c r="N989" t="str">
        <f>VLOOKUP(Table2[[#This Row],[AgentID]],Sales_Agents!$A$1:C992,3)</f>
        <v>East</v>
      </c>
    </row>
    <row r="990" spans="1:14" x14ac:dyDescent="0.25">
      <c r="A990">
        <v>989</v>
      </c>
      <c r="B990" s="1">
        <v>45524</v>
      </c>
      <c r="C990" s="8" t="str">
        <f>TEXT(Table2[[#This Row],[OrderDate]],"mmm")</f>
        <v>Aug</v>
      </c>
      <c r="D990">
        <v>4</v>
      </c>
      <c r="E990">
        <v>3</v>
      </c>
      <c r="F990">
        <v>9</v>
      </c>
      <c r="G990" s="3">
        <v>59094</v>
      </c>
      <c r="H990" s="3">
        <f t="shared" si="30"/>
        <v>531846</v>
      </c>
      <c r="I990" s="5">
        <f>Table2[[#This Row],[Total Revenue]]*0.3</f>
        <v>159553.79999999999</v>
      </c>
      <c r="J990" s="6">
        <f t="shared" si="31"/>
        <v>0.3</v>
      </c>
      <c r="K990" t="str">
        <f>VLOOKUP(Table2[[#This Row],[ProductID]],Products!$A$1:C994,2)</f>
        <v>Printer</v>
      </c>
      <c r="L990" t="str">
        <f>VLOOKUP(D990,Products!$A$1:C994,3)</f>
        <v>Accessories</v>
      </c>
      <c r="M990" t="str">
        <f>VLOOKUP(Table2[[#This Row],[AgentID]],Sales_Agents!$A$1:C993,2)</f>
        <v>Chinedu</v>
      </c>
      <c r="N990" t="str">
        <f>VLOOKUP(Table2[[#This Row],[AgentID]],Sales_Agents!$A$1:C993,3)</f>
        <v>South</v>
      </c>
    </row>
    <row r="991" spans="1:14" x14ac:dyDescent="0.25">
      <c r="A991">
        <v>990</v>
      </c>
      <c r="B991" s="1">
        <v>45341</v>
      </c>
      <c r="C991" s="8" t="str">
        <f>TEXT(Table2[[#This Row],[OrderDate]],"mmm")</f>
        <v>Feb</v>
      </c>
      <c r="D991">
        <v>1</v>
      </c>
      <c r="E991">
        <v>4</v>
      </c>
      <c r="F991">
        <v>6</v>
      </c>
      <c r="G991" s="3">
        <v>387573</v>
      </c>
      <c r="H991" s="3">
        <f t="shared" si="30"/>
        <v>2325438</v>
      </c>
      <c r="I991" s="5">
        <f>Table2[[#This Row],[Total Revenue]]*0.3</f>
        <v>697631.4</v>
      </c>
      <c r="J991" s="6">
        <f t="shared" si="31"/>
        <v>0.3</v>
      </c>
      <c r="K991" t="str">
        <f>VLOOKUP(Table2[[#This Row],[ProductID]],Products!$A$1:C995,2)</f>
        <v>Laptop</v>
      </c>
      <c r="L991" t="str">
        <f>VLOOKUP(D991,Products!$A$1:C995,3)</f>
        <v>Electronics</v>
      </c>
      <c r="M991" t="str">
        <f>VLOOKUP(Table2[[#This Row],[AgentID]],Sales_Agents!$A$1:C994,2)</f>
        <v>Zainab</v>
      </c>
      <c r="N991" t="str">
        <f>VLOOKUP(Table2[[#This Row],[AgentID]],Sales_Agents!$A$1:C994,3)</f>
        <v>North</v>
      </c>
    </row>
    <row r="992" spans="1:14" x14ac:dyDescent="0.25">
      <c r="A992">
        <v>991</v>
      </c>
      <c r="B992" s="1">
        <v>45406</v>
      </c>
      <c r="C992" s="8" t="str">
        <f>TEXT(Table2[[#This Row],[OrderDate]],"mmm")</f>
        <v>Apr</v>
      </c>
      <c r="D992">
        <v>2</v>
      </c>
      <c r="E992">
        <v>1</v>
      </c>
      <c r="F992">
        <v>12</v>
      </c>
      <c r="G992" s="3">
        <v>191905</v>
      </c>
      <c r="H992" s="3">
        <f t="shared" si="30"/>
        <v>2302860</v>
      </c>
      <c r="I992" s="5">
        <f>Table2[[#This Row],[Total Revenue]]*0.3</f>
        <v>690858</v>
      </c>
      <c r="J992" s="6">
        <f t="shared" si="31"/>
        <v>0.3</v>
      </c>
      <c r="K992" t="str">
        <f>VLOOKUP(Table2[[#This Row],[ProductID]],Products!$A$1:C996,2)</f>
        <v>Phone</v>
      </c>
      <c r="L992" t="str">
        <f>VLOOKUP(D992,Products!$A$1:C996,3)</f>
        <v>Electronics</v>
      </c>
      <c r="M992" t="str">
        <f>VLOOKUP(Table2[[#This Row],[AgentID]],Sales_Agents!$A$1:C995,2)</f>
        <v>Akin</v>
      </c>
      <c r="N992" t="str">
        <f>VLOOKUP(Table2[[#This Row],[AgentID]],Sales_Agents!$A$1:C995,3)</f>
        <v>West</v>
      </c>
    </row>
    <row r="993" spans="1:14" x14ac:dyDescent="0.25">
      <c r="A993">
        <v>992</v>
      </c>
      <c r="B993" s="1">
        <v>45337</v>
      </c>
      <c r="C993" s="8" t="str">
        <f>TEXT(Table2[[#This Row],[OrderDate]],"mmm")</f>
        <v>Feb</v>
      </c>
      <c r="D993">
        <v>3</v>
      </c>
      <c r="E993">
        <v>3</v>
      </c>
      <c r="F993">
        <v>14</v>
      </c>
      <c r="G993" s="3">
        <v>164197</v>
      </c>
      <c r="H993" s="3">
        <f t="shared" si="30"/>
        <v>2298758</v>
      </c>
      <c r="I993" s="5">
        <f>Table2[[#This Row],[Total Revenue]]*0.3</f>
        <v>689627.4</v>
      </c>
      <c r="J993" s="6">
        <f t="shared" si="31"/>
        <v>0.3</v>
      </c>
      <c r="K993" t="str">
        <f>VLOOKUP(Table2[[#This Row],[ProductID]],Products!$A$1:C997,2)</f>
        <v>Tablet</v>
      </c>
      <c r="L993" t="str">
        <f>VLOOKUP(D993,Products!$A$1:C997,3)</f>
        <v>Electronics</v>
      </c>
      <c r="M993" t="str">
        <f>VLOOKUP(Table2[[#This Row],[AgentID]],Sales_Agents!$A$1:C996,2)</f>
        <v>Chinedu</v>
      </c>
      <c r="N993" t="str">
        <f>VLOOKUP(Table2[[#This Row],[AgentID]],Sales_Agents!$A$1:C996,3)</f>
        <v>South</v>
      </c>
    </row>
    <row r="994" spans="1:14" x14ac:dyDescent="0.25">
      <c r="A994">
        <v>993</v>
      </c>
      <c r="B994" s="1">
        <v>45493</v>
      </c>
      <c r="C994" s="8" t="str">
        <f>TEXT(Table2[[#This Row],[OrderDate]],"mmm")</f>
        <v>Jul</v>
      </c>
      <c r="D994">
        <v>5</v>
      </c>
      <c r="E994">
        <v>2</v>
      </c>
      <c r="F994">
        <v>12</v>
      </c>
      <c r="G994" s="3">
        <v>238710</v>
      </c>
      <c r="H994" s="3">
        <f t="shared" si="30"/>
        <v>2864520</v>
      </c>
      <c r="I994" s="5">
        <f>Table2[[#This Row],[Total Revenue]]*0.3</f>
        <v>859356</v>
      </c>
      <c r="J994" s="6">
        <f t="shared" si="31"/>
        <v>0.3</v>
      </c>
      <c r="K994" t="str">
        <f>VLOOKUP(Table2[[#This Row],[ProductID]],Products!$A$1:C998,2)</f>
        <v>Monitor</v>
      </c>
      <c r="L994" t="str">
        <f>VLOOKUP(D994,Products!$A$1:C998,3)</f>
        <v>Accessories</v>
      </c>
      <c r="M994" t="str">
        <f>VLOOKUP(Table2[[#This Row],[AgentID]],Sales_Agents!$A$1:C997,2)</f>
        <v>Blessing</v>
      </c>
      <c r="N994" t="str">
        <f>VLOOKUP(Table2[[#This Row],[AgentID]],Sales_Agents!$A$1:C997,3)</f>
        <v>East</v>
      </c>
    </row>
    <row r="995" spans="1:14" x14ac:dyDescent="0.25">
      <c r="A995">
        <v>994</v>
      </c>
      <c r="B995" s="1">
        <v>45432</v>
      </c>
      <c r="C995" s="8" t="str">
        <f>TEXT(Table2[[#This Row],[OrderDate]],"mmm")</f>
        <v>May</v>
      </c>
      <c r="D995">
        <v>3</v>
      </c>
      <c r="E995">
        <v>2</v>
      </c>
      <c r="F995">
        <v>19</v>
      </c>
      <c r="G995" s="3">
        <v>61684</v>
      </c>
      <c r="H995" s="3">
        <f t="shared" si="30"/>
        <v>1171996</v>
      </c>
      <c r="I995" s="5">
        <f>Table2[[#This Row],[Total Revenue]]*0.3</f>
        <v>351598.8</v>
      </c>
      <c r="J995" s="6">
        <f t="shared" si="31"/>
        <v>0.3</v>
      </c>
      <c r="K995" t="str">
        <f>VLOOKUP(Table2[[#This Row],[ProductID]],Products!$A$1:C999,2)</f>
        <v>Tablet</v>
      </c>
      <c r="L995" t="str">
        <f>VLOOKUP(D995,Products!$A$1:C999,3)</f>
        <v>Electronics</v>
      </c>
      <c r="M995" t="str">
        <f>VLOOKUP(Table2[[#This Row],[AgentID]],Sales_Agents!$A$1:C998,2)</f>
        <v>Blessing</v>
      </c>
      <c r="N995" t="str">
        <f>VLOOKUP(Table2[[#This Row],[AgentID]],Sales_Agents!$A$1:C998,3)</f>
        <v>East</v>
      </c>
    </row>
    <row r="996" spans="1:14" x14ac:dyDescent="0.25">
      <c r="A996">
        <v>995</v>
      </c>
      <c r="B996" s="1">
        <v>45485</v>
      </c>
      <c r="C996" s="8" t="str">
        <f>TEXT(Table2[[#This Row],[OrderDate]],"mmm")</f>
        <v>Jul</v>
      </c>
      <c r="D996">
        <v>3</v>
      </c>
      <c r="E996">
        <v>2</v>
      </c>
      <c r="F996">
        <v>20</v>
      </c>
      <c r="G996" s="3">
        <v>195352</v>
      </c>
      <c r="H996" s="3">
        <f t="shared" si="30"/>
        <v>3907040</v>
      </c>
      <c r="I996" s="5">
        <f>Table2[[#This Row],[Total Revenue]]*0.3</f>
        <v>1172112</v>
      </c>
      <c r="J996" s="6">
        <f t="shared" si="31"/>
        <v>0.3</v>
      </c>
      <c r="K996" t="str">
        <f>VLOOKUP(Table2[[#This Row],[ProductID]],Products!$A$1:C1000,2)</f>
        <v>Tablet</v>
      </c>
      <c r="L996" t="str">
        <f>VLOOKUP(D996,Products!$A$1:C1000,3)</f>
        <v>Electronics</v>
      </c>
      <c r="M996" t="str">
        <f>VLOOKUP(Table2[[#This Row],[AgentID]],Sales_Agents!$A$1:C999,2)</f>
        <v>Blessing</v>
      </c>
      <c r="N996" t="str">
        <f>VLOOKUP(Table2[[#This Row],[AgentID]],Sales_Agents!$A$1:C999,3)</f>
        <v>East</v>
      </c>
    </row>
    <row r="997" spans="1:14" x14ac:dyDescent="0.25">
      <c r="A997">
        <v>996</v>
      </c>
      <c r="B997" s="1">
        <v>45528</v>
      </c>
      <c r="C997" s="8" t="str">
        <f>TEXT(Table2[[#This Row],[OrderDate]],"mmm")</f>
        <v>Aug</v>
      </c>
      <c r="D997">
        <v>3</v>
      </c>
      <c r="E997">
        <v>4</v>
      </c>
      <c r="F997">
        <v>8</v>
      </c>
      <c r="G997" s="3">
        <v>201184</v>
      </c>
      <c r="H997" s="3">
        <f t="shared" si="30"/>
        <v>1609472</v>
      </c>
      <c r="I997" s="5">
        <f>Table2[[#This Row],[Total Revenue]]*0.3</f>
        <v>482841.59999999998</v>
      </c>
      <c r="J997" s="6">
        <f t="shared" si="31"/>
        <v>0.3</v>
      </c>
      <c r="K997" t="str">
        <f>VLOOKUP(Table2[[#This Row],[ProductID]],Products!$A$1:C1001,2)</f>
        <v>Tablet</v>
      </c>
      <c r="L997" t="str">
        <f>VLOOKUP(D997,Products!$A$1:C1001,3)</f>
        <v>Electronics</v>
      </c>
      <c r="M997" t="str">
        <f>VLOOKUP(Table2[[#This Row],[AgentID]],Sales_Agents!$A$1:C1000,2)</f>
        <v>Zainab</v>
      </c>
      <c r="N997" t="str">
        <f>VLOOKUP(Table2[[#This Row],[AgentID]],Sales_Agents!$A$1:C1000,3)</f>
        <v>North</v>
      </c>
    </row>
    <row r="998" spans="1:14" x14ac:dyDescent="0.25">
      <c r="A998">
        <v>997</v>
      </c>
      <c r="B998" s="1">
        <v>45424</v>
      </c>
      <c r="C998" s="8" t="str">
        <f>TEXT(Table2[[#This Row],[OrderDate]],"mmm")</f>
        <v>May</v>
      </c>
      <c r="D998">
        <v>1</v>
      </c>
      <c r="E998">
        <v>3</v>
      </c>
      <c r="F998">
        <v>20</v>
      </c>
      <c r="G998" s="3">
        <v>180020</v>
      </c>
      <c r="H998" s="3">
        <f t="shared" si="30"/>
        <v>3600400</v>
      </c>
      <c r="I998" s="5">
        <f>Table2[[#This Row],[Total Revenue]]*0.3</f>
        <v>1080120</v>
      </c>
      <c r="J998" s="6">
        <f t="shared" si="31"/>
        <v>0.3</v>
      </c>
      <c r="K998" t="str">
        <f>VLOOKUP(Table2[[#This Row],[ProductID]],Products!$A$1:C1002,2)</f>
        <v>Laptop</v>
      </c>
      <c r="L998" t="str">
        <f>VLOOKUP(D998,Products!$A$1:C1002,3)</f>
        <v>Electronics</v>
      </c>
      <c r="M998" t="str">
        <f>VLOOKUP(Table2[[#This Row],[AgentID]],Sales_Agents!$A$1:C1001,2)</f>
        <v>Chinedu</v>
      </c>
      <c r="N998" t="str">
        <f>VLOOKUP(Table2[[#This Row],[AgentID]],Sales_Agents!$A$1:C1001,3)</f>
        <v>South</v>
      </c>
    </row>
    <row r="999" spans="1:14" x14ac:dyDescent="0.25">
      <c r="A999">
        <v>998</v>
      </c>
      <c r="B999" s="1">
        <v>45481</v>
      </c>
      <c r="C999" s="8" t="str">
        <f>TEXT(Table2[[#This Row],[OrderDate]],"mmm")</f>
        <v>Jul</v>
      </c>
      <c r="D999">
        <v>4</v>
      </c>
      <c r="E999">
        <v>1</v>
      </c>
      <c r="F999">
        <v>18</v>
      </c>
      <c r="G999" s="3">
        <v>238166</v>
      </c>
      <c r="H999" s="3">
        <f t="shared" si="30"/>
        <v>4286988</v>
      </c>
      <c r="I999" s="5">
        <f>Table2[[#This Row],[Total Revenue]]*0.3</f>
        <v>1286096.3999999999</v>
      </c>
      <c r="J999" s="6">
        <f t="shared" si="31"/>
        <v>0.3</v>
      </c>
      <c r="K999" t="str">
        <f>VLOOKUP(Table2[[#This Row],[ProductID]],Products!$A$1:C1003,2)</f>
        <v>Printer</v>
      </c>
      <c r="L999" t="str">
        <f>VLOOKUP(D999,Products!$A$1:C1003,3)</f>
        <v>Accessories</v>
      </c>
      <c r="M999" t="str">
        <f>VLOOKUP(Table2[[#This Row],[AgentID]],Sales_Agents!$A$1:C1002,2)</f>
        <v>Akin</v>
      </c>
      <c r="N999" t="str">
        <f>VLOOKUP(Table2[[#This Row],[AgentID]],Sales_Agents!$A$1:C1002,3)</f>
        <v>West</v>
      </c>
    </row>
    <row r="1000" spans="1:14" x14ac:dyDescent="0.25">
      <c r="A1000">
        <v>999</v>
      </c>
      <c r="B1000" s="1">
        <v>45543</v>
      </c>
      <c r="C1000" s="8" t="str">
        <f>TEXT(Table2[[#This Row],[OrderDate]],"mmm")</f>
        <v>Sept</v>
      </c>
      <c r="D1000">
        <v>2</v>
      </c>
      <c r="E1000">
        <v>4</v>
      </c>
      <c r="F1000">
        <v>4</v>
      </c>
      <c r="G1000" s="3">
        <v>387393</v>
      </c>
      <c r="H1000" s="3">
        <f t="shared" si="30"/>
        <v>1549572</v>
      </c>
      <c r="I1000" s="5">
        <f>Table2[[#This Row],[Total Revenue]]*0.3</f>
        <v>464871.6</v>
      </c>
      <c r="J1000" s="6">
        <f t="shared" si="31"/>
        <v>0.3</v>
      </c>
      <c r="K1000" t="str">
        <f>VLOOKUP(Table2[[#This Row],[ProductID]],Products!$A$1:C1004,2)</f>
        <v>Phone</v>
      </c>
      <c r="L1000" t="str">
        <f>VLOOKUP(D1000,Products!$A$1:C1004,3)</f>
        <v>Electronics</v>
      </c>
      <c r="M1000" t="str">
        <f>VLOOKUP(Table2[[#This Row],[AgentID]],Sales_Agents!$A$1:C1003,2)</f>
        <v>Zainab</v>
      </c>
      <c r="N1000" t="str">
        <f>VLOOKUP(Table2[[#This Row],[AgentID]],Sales_Agents!$A$1:C1003,3)</f>
        <v>North</v>
      </c>
    </row>
    <row r="1001" spans="1:14" x14ac:dyDescent="0.25">
      <c r="A1001">
        <v>1000</v>
      </c>
      <c r="B1001" s="1">
        <v>45474</v>
      </c>
      <c r="C1001" s="8" t="str">
        <f>TEXT(Table2[[#This Row],[OrderDate]],"mmm")</f>
        <v>Jul</v>
      </c>
      <c r="D1001">
        <v>1</v>
      </c>
      <c r="E1001">
        <v>3</v>
      </c>
      <c r="F1001">
        <v>1</v>
      </c>
      <c r="G1001" s="3">
        <v>184071</v>
      </c>
      <c r="H1001" s="3">
        <f t="shared" si="30"/>
        <v>184071</v>
      </c>
      <c r="I1001" s="5">
        <f>Table2[[#This Row],[Total Revenue]]*0.3</f>
        <v>55221.299999999996</v>
      </c>
      <c r="J1001" s="6">
        <f t="shared" si="31"/>
        <v>0.3</v>
      </c>
      <c r="K1001" t="str">
        <f>VLOOKUP(Table2[[#This Row],[ProductID]],Products!$A$1:C1005,2)</f>
        <v>Laptop</v>
      </c>
      <c r="L1001" t="str">
        <f>VLOOKUP(D1001,Products!$A$1:C1005,3)</f>
        <v>Electronics</v>
      </c>
      <c r="M1001" t="str">
        <f>VLOOKUP(Table2[[#This Row],[AgentID]],Sales_Agents!$A$1:C1004,2)</f>
        <v>Chinedu</v>
      </c>
      <c r="N1001" t="str">
        <f>VLOOKUP(Table2[[#This Row],[AgentID]],Sales_Agents!$A$1:C1004,3)</f>
        <v>South</v>
      </c>
    </row>
    <row r="1002" spans="1:14" x14ac:dyDescent="0.25">
      <c r="A1002">
        <v>1001</v>
      </c>
      <c r="B1002" s="1">
        <v>45430</v>
      </c>
      <c r="C1002" s="8" t="str">
        <f>TEXT(Table2[[#This Row],[OrderDate]],"mmm")</f>
        <v>May</v>
      </c>
      <c r="D1002">
        <v>5</v>
      </c>
      <c r="E1002">
        <v>3</v>
      </c>
      <c r="F1002">
        <v>11</v>
      </c>
      <c r="G1002" s="3">
        <v>145071</v>
      </c>
      <c r="H1002" s="3">
        <f t="shared" si="30"/>
        <v>1595781</v>
      </c>
      <c r="I1002" s="5">
        <f>Table2[[#This Row],[Total Revenue]]*0.3</f>
        <v>478734.3</v>
      </c>
      <c r="J1002" s="6">
        <f t="shared" si="31"/>
        <v>0.3</v>
      </c>
      <c r="K1002" t="str">
        <f>VLOOKUP(Table2[[#This Row],[ProductID]],Products!$A$1:C1006,2)</f>
        <v>Monitor</v>
      </c>
      <c r="L1002" t="str">
        <f>VLOOKUP(D1002,Products!$A$1:C1006,3)</f>
        <v>Accessories</v>
      </c>
      <c r="M1002" t="str">
        <f>VLOOKUP(Table2[[#This Row],[AgentID]],Sales_Agents!$A$1:C1005,2)</f>
        <v>Chinedu</v>
      </c>
      <c r="N1002" t="str">
        <f>VLOOKUP(Table2[[#This Row],[AgentID]],Sales_Agents!$A$1:C1005,3)</f>
        <v>South</v>
      </c>
    </row>
    <row r="1003" spans="1:14" x14ac:dyDescent="0.25">
      <c r="A1003">
        <v>1002</v>
      </c>
      <c r="B1003" s="1">
        <v>45493</v>
      </c>
      <c r="C1003" s="8" t="str">
        <f>TEXT(Table2[[#This Row],[OrderDate]],"mmm")</f>
        <v>Jul</v>
      </c>
      <c r="D1003">
        <v>2</v>
      </c>
      <c r="E1003">
        <v>4</v>
      </c>
      <c r="F1003">
        <v>1</v>
      </c>
      <c r="G1003" s="3">
        <v>193286</v>
      </c>
      <c r="H1003" s="3">
        <f t="shared" si="30"/>
        <v>193286</v>
      </c>
      <c r="I1003" s="5">
        <f>Table2[[#This Row],[Total Revenue]]*0.3</f>
        <v>57985.799999999996</v>
      </c>
      <c r="J1003" s="6">
        <f t="shared" si="31"/>
        <v>0.3</v>
      </c>
      <c r="K1003" t="str">
        <f>VLOOKUP(Table2[[#This Row],[ProductID]],Products!$A$1:C1007,2)</f>
        <v>Phone</v>
      </c>
      <c r="L1003" t="str">
        <f>VLOOKUP(D1003,Products!$A$1:C1007,3)</f>
        <v>Electronics</v>
      </c>
      <c r="M1003" t="str">
        <f>VLOOKUP(Table2[[#This Row],[AgentID]],Sales_Agents!$A$1:C1006,2)</f>
        <v>Zainab</v>
      </c>
      <c r="N1003" t="str">
        <f>VLOOKUP(Table2[[#This Row],[AgentID]],Sales_Agents!$A$1:C1006,3)</f>
        <v>North</v>
      </c>
    </row>
    <row r="1004" spans="1:14" x14ac:dyDescent="0.25">
      <c r="A1004">
        <v>1003</v>
      </c>
      <c r="B1004" s="1">
        <v>45593</v>
      </c>
      <c r="C1004" s="8" t="str">
        <f>TEXT(Table2[[#This Row],[OrderDate]],"mmm")</f>
        <v>Oct</v>
      </c>
      <c r="D1004">
        <v>3</v>
      </c>
      <c r="E1004">
        <v>2</v>
      </c>
      <c r="F1004">
        <v>6</v>
      </c>
      <c r="G1004" s="3">
        <v>281684</v>
      </c>
      <c r="H1004" s="3">
        <f t="shared" si="30"/>
        <v>1690104</v>
      </c>
      <c r="I1004" s="5">
        <f>Table2[[#This Row],[Total Revenue]]*0.3</f>
        <v>507031.19999999995</v>
      </c>
      <c r="J1004" s="6">
        <f t="shared" si="31"/>
        <v>0.3</v>
      </c>
      <c r="K1004" t="str">
        <f>VLOOKUP(Table2[[#This Row],[ProductID]],Products!$A$1:C1008,2)</f>
        <v>Tablet</v>
      </c>
      <c r="L1004" t="str">
        <f>VLOOKUP(D1004,Products!$A$1:C1008,3)</f>
        <v>Electronics</v>
      </c>
      <c r="M1004" t="str">
        <f>VLOOKUP(Table2[[#This Row],[AgentID]],Sales_Agents!$A$1:C1007,2)</f>
        <v>Blessing</v>
      </c>
      <c r="N1004" t="str">
        <f>VLOOKUP(Table2[[#This Row],[AgentID]],Sales_Agents!$A$1:C1007,3)</f>
        <v>East</v>
      </c>
    </row>
    <row r="1005" spans="1:14" x14ac:dyDescent="0.25">
      <c r="A1005">
        <v>1004</v>
      </c>
      <c r="B1005" s="1">
        <v>45645</v>
      </c>
      <c r="C1005" s="8" t="str">
        <f>TEXT(Table2[[#This Row],[OrderDate]],"mmm")</f>
        <v>Dec</v>
      </c>
      <c r="D1005">
        <v>3</v>
      </c>
      <c r="E1005">
        <v>4</v>
      </c>
      <c r="F1005">
        <v>12</v>
      </c>
      <c r="G1005" s="3">
        <v>159009</v>
      </c>
      <c r="H1005" s="3">
        <f t="shared" si="30"/>
        <v>1908108</v>
      </c>
      <c r="I1005" s="5">
        <f>Table2[[#This Row],[Total Revenue]]*0.3</f>
        <v>572432.4</v>
      </c>
      <c r="J1005" s="6">
        <f t="shared" si="31"/>
        <v>0.3</v>
      </c>
      <c r="K1005" t="str">
        <f>VLOOKUP(Table2[[#This Row],[ProductID]],Products!$A$1:C1009,2)</f>
        <v>Tablet</v>
      </c>
      <c r="L1005" t="str">
        <f>VLOOKUP(D1005,Products!$A$1:C1009,3)</f>
        <v>Electronics</v>
      </c>
      <c r="M1005" t="str">
        <f>VLOOKUP(Table2[[#This Row],[AgentID]],Sales_Agents!$A$1:C1008,2)</f>
        <v>Zainab</v>
      </c>
      <c r="N1005" t="str">
        <f>VLOOKUP(Table2[[#This Row],[AgentID]],Sales_Agents!$A$1:C1008,3)</f>
        <v>North</v>
      </c>
    </row>
    <row r="1006" spans="1:14" x14ac:dyDescent="0.25">
      <c r="A1006">
        <v>1005</v>
      </c>
      <c r="B1006" s="1">
        <v>45503</v>
      </c>
      <c r="C1006" s="8" t="str">
        <f>TEXT(Table2[[#This Row],[OrderDate]],"mmm")</f>
        <v>Jul</v>
      </c>
      <c r="D1006">
        <v>4</v>
      </c>
      <c r="E1006">
        <v>2</v>
      </c>
      <c r="F1006">
        <v>4</v>
      </c>
      <c r="G1006" s="3">
        <v>323424</v>
      </c>
      <c r="H1006" s="3">
        <f t="shared" si="30"/>
        <v>1293696</v>
      </c>
      <c r="I1006" s="5">
        <f>Table2[[#This Row],[Total Revenue]]*0.3</f>
        <v>388108.79999999999</v>
      </c>
      <c r="J1006" s="6">
        <f t="shared" si="31"/>
        <v>0.3</v>
      </c>
      <c r="K1006" t="str">
        <f>VLOOKUP(Table2[[#This Row],[ProductID]],Products!$A$1:C1010,2)</f>
        <v>Printer</v>
      </c>
      <c r="L1006" t="str">
        <f>VLOOKUP(D1006,Products!$A$1:C1010,3)</f>
        <v>Accessories</v>
      </c>
      <c r="M1006" t="str">
        <f>VLOOKUP(Table2[[#This Row],[AgentID]],Sales_Agents!$A$1:C1009,2)</f>
        <v>Blessing</v>
      </c>
      <c r="N1006" t="str">
        <f>VLOOKUP(Table2[[#This Row],[AgentID]],Sales_Agents!$A$1:C1009,3)</f>
        <v>East</v>
      </c>
    </row>
    <row r="1007" spans="1:14" x14ac:dyDescent="0.25">
      <c r="A1007">
        <v>1006</v>
      </c>
      <c r="B1007" s="1">
        <v>45581</v>
      </c>
      <c r="C1007" s="8" t="str">
        <f>TEXT(Table2[[#This Row],[OrderDate]],"mmm")</f>
        <v>Oct</v>
      </c>
      <c r="D1007">
        <v>5</v>
      </c>
      <c r="E1007">
        <v>4</v>
      </c>
      <c r="F1007">
        <v>7</v>
      </c>
      <c r="G1007" s="3">
        <v>68575</v>
      </c>
      <c r="H1007" s="3">
        <f t="shared" si="30"/>
        <v>480025</v>
      </c>
      <c r="I1007" s="5">
        <f>Table2[[#This Row],[Total Revenue]]*0.3</f>
        <v>144007.5</v>
      </c>
      <c r="J1007" s="6">
        <f t="shared" si="31"/>
        <v>0.3</v>
      </c>
      <c r="K1007" t="str">
        <f>VLOOKUP(Table2[[#This Row],[ProductID]],Products!$A$1:C1011,2)</f>
        <v>Monitor</v>
      </c>
      <c r="L1007" t="str">
        <f>VLOOKUP(D1007,Products!$A$1:C1011,3)</f>
        <v>Accessories</v>
      </c>
      <c r="M1007" t="str">
        <f>VLOOKUP(Table2[[#This Row],[AgentID]],Sales_Agents!$A$1:C1010,2)</f>
        <v>Zainab</v>
      </c>
      <c r="N1007" t="str">
        <f>VLOOKUP(Table2[[#This Row],[AgentID]],Sales_Agents!$A$1:C1010,3)</f>
        <v>North</v>
      </c>
    </row>
    <row r="1008" spans="1:14" x14ac:dyDescent="0.25">
      <c r="A1008">
        <v>1007</v>
      </c>
      <c r="B1008" s="1">
        <v>45491</v>
      </c>
      <c r="C1008" s="8" t="str">
        <f>TEXT(Table2[[#This Row],[OrderDate]],"mmm")</f>
        <v>Jul</v>
      </c>
      <c r="D1008">
        <v>3</v>
      </c>
      <c r="E1008">
        <v>4</v>
      </c>
      <c r="F1008">
        <v>16</v>
      </c>
      <c r="G1008" s="3">
        <v>384553</v>
      </c>
      <c r="H1008" s="3">
        <f t="shared" si="30"/>
        <v>6152848</v>
      </c>
      <c r="I1008" s="5">
        <f>Table2[[#This Row],[Total Revenue]]*0.3</f>
        <v>1845854.4</v>
      </c>
      <c r="J1008" s="6">
        <f t="shared" si="31"/>
        <v>0.3</v>
      </c>
      <c r="K1008" t="str">
        <f>VLOOKUP(Table2[[#This Row],[ProductID]],Products!$A$1:C1012,2)</f>
        <v>Tablet</v>
      </c>
      <c r="L1008" t="str">
        <f>VLOOKUP(D1008,Products!$A$1:C1012,3)</f>
        <v>Electronics</v>
      </c>
      <c r="M1008" t="str">
        <f>VLOOKUP(Table2[[#This Row],[AgentID]],Sales_Agents!$A$1:C1011,2)</f>
        <v>Zainab</v>
      </c>
      <c r="N1008" t="str">
        <f>VLOOKUP(Table2[[#This Row],[AgentID]],Sales_Agents!$A$1:C1011,3)</f>
        <v>North</v>
      </c>
    </row>
    <row r="1009" spans="1:14" x14ac:dyDescent="0.25">
      <c r="A1009">
        <v>1008</v>
      </c>
      <c r="B1009" s="1">
        <v>45399</v>
      </c>
      <c r="C1009" s="8" t="str">
        <f>TEXT(Table2[[#This Row],[OrderDate]],"mmm")</f>
        <v>Apr</v>
      </c>
      <c r="D1009">
        <v>5</v>
      </c>
      <c r="E1009">
        <v>3</v>
      </c>
      <c r="F1009">
        <v>19</v>
      </c>
      <c r="G1009" s="3">
        <v>107685</v>
      </c>
      <c r="H1009" s="3">
        <f t="shared" si="30"/>
        <v>2046015</v>
      </c>
      <c r="I1009" s="5">
        <f>Table2[[#This Row],[Total Revenue]]*0.3</f>
        <v>613804.5</v>
      </c>
      <c r="J1009" s="6">
        <f t="shared" si="31"/>
        <v>0.3</v>
      </c>
      <c r="K1009" t="str">
        <f>VLOOKUP(Table2[[#This Row],[ProductID]],Products!$A$1:C1013,2)</f>
        <v>Monitor</v>
      </c>
      <c r="L1009" t="str">
        <f>VLOOKUP(D1009,Products!$A$1:C1013,3)</f>
        <v>Accessories</v>
      </c>
      <c r="M1009" t="str">
        <f>VLOOKUP(Table2[[#This Row],[AgentID]],Sales_Agents!$A$1:C1012,2)</f>
        <v>Chinedu</v>
      </c>
      <c r="N1009" t="str">
        <f>VLOOKUP(Table2[[#This Row],[AgentID]],Sales_Agents!$A$1:C1012,3)</f>
        <v>South</v>
      </c>
    </row>
    <row r="1010" spans="1:14" x14ac:dyDescent="0.25">
      <c r="A1010">
        <v>1009</v>
      </c>
      <c r="B1010" s="1">
        <v>45371</v>
      </c>
      <c r="C1010" s="8" t="str">
        <f>TEXT(Table2[[#This Row],[OrderDate]],"mmm")</f>
        <v>Mar</v>
      </c>
      <c r="D1010">
        <v>4</v>
      </c>
      <c r="E1010">
        <v>4</v>
      </c>
      <c r="F1010">
        <v>18</v>
      </c>
      <c r="G1010" s="3">
        <v>358306</v>
      </c>
      <c r="H1010" s="3">
        <f t="shared" si="30"/>
        <v>6449508</v>
      </c>
      <c r="I1010" s="5">
        <f>Table2[[#This Row],[Total Revenue]]*0.3</f>
        <v>1934852.4</v>
      </c>
      <c r="J1010" s="6">
        <f t="shared" si="31"/>
        <v>0.3</v>
      </c>
      <c r="K1010" t="str">
        <f>VLOOKUP(Table2[[#This Row],[ProductID]],Products!$A$1:C1014,2)</f>
        <v>Printer</v>
      </c>
      <c r="L1010" t="str">
        <f>VLOOKUP(D1010,Products!$A$1:C1014,3)</f>
        <v>Accessories</v>
      </c>
      <c r="M1010" t="str">
        <f>VLOOKUP(Table2[[#This Row],[AgentID]],Sales_Agents!$A$1:C1013,2)</f>
        <v>Zainab</v>
      </c>
      <c r="N1010" t="str">
        <f>VLOOKUP(Table2[[#This Row],[AgentID]],Sales_Agents!$A$1:C1013,3)</f>
        <v>North</v>
      </c>
    </row>
    <row r="1011" spans="1:14" x14ac:dyDescent="0.25">
      <c r="A1011">
        <v>1010</v>
      </c>
      <c r="B1011" s="1">
        <v>45449</v>
      </c>
      <c r="C1011" s="8" t="str">
        <f>TEXT(Table2[[#This Row],[OrderDate]],"mmm")</f>
        <v>Jun</v>
      </c>
      <c r="D1011">
        <v>2</v>
      </c>
      <c r="E1011">
        <v>3</v>
      </c>
      <c r="F1011">
        <v>1</v>
      </c>
      <c r="G1011" s="3">
        <v>398959</v>
      </c>
      <c r="H1011" s="3">
        <f t="shared" si="30"/>
        <v>398959</v>
      </c>
      <c r="I1011" s="5">
        <f>Table2[[#This Row],[Total Revenue]]*0.3</f>
        <v>119687.7</v>
      </c>
      <c r="J1011" s="6">
        <f t="shared" si="31"/>
        <v>0.3</v>
      </c>
      <c r="K1011" t="str">
        <f>VLOOKUP(Table2[[#This Row],[ProductID]],Products!$A$1:C1015,2)</f>
        <v>Phone</v>
      </c>
      <c r="L1011" t="str">
        <f>VLOOKUP(D1011,Products!$A$1:C1015,3)</f>
        <v>Electronics</v>
      </c>
      <c r="M1011" t="str">
        <f>VLOOKUP(Table2[[#This Row],[AgentID]],Sales_Agents!$A$1:C1014,2)</f>
        <v>Chinedu</v>
      </c>
      <c r="N1011" t="str">
        <f>VLOOKUP(Table2[[#This Row],[AgentID]],Sales_Agents!$A$1:C1014,3)</f>
        <v>South</v>
      </c>
    </row>
    <row r="1012" spans="1:14" x14ac:dyDescent="0.25">
      <c r="A1012">
        <v>1011</v>
      </c>
      <c r="B1012" s="1">
        <v>45533</v>
      </c>
      <c r="C1012" s="8" t="str">
        <f>TEXT(Table2[[#This Row],[OrderDate]],"mmm")</f>
        <v>Aug</v>
      </c>
      <c r="D1012">
        <v>4</v>
      </c>
      <c r="E1012">
        <v>2</v>
      </c>
      <c r="F1012">
        <v>17</v>
      </c>
      <c r="G1012" s="3">
        <v>343612</v>
      </c>
      <c r="H1012" s="3">
        <f t="shared" si="30"/>
        <v>5841404</v>
      </c>
      <c r="I1012" s="5">
        <f>Table2[[#This Row],[Total Revenue]]*0.3</f>
        <v>1752421.2</v>
      </c>
      <c r="J1012" s="6">
        <f t="shared" si="31"/>
        <v>0.3</v>
      </c>
      <c r="K1012" t="str">
        <f>VLOOKUP(Table2[[#This Row],[ProductID]],Products!$A$1:C1016,2)</f>
        <v>Printer</v>
      </c>
      <c r="L1012" t="str">
        <f>VLOOKUP(D1012,Products!$A$1:C1016,3)</f>
        <v>Accessories</v>
      </c>
      <c r="M1012" t="str">
        <f>VLOOKUP(Table2[[#This Row],[AgentID]],Sales_Agents!$A$1:C1015,2)</f>
        <v>Blessing</v>
      </c>
      <c r="N1012" t="str">
        <f>VLOOKUP(Table2[[#This Row],[AgentID]],Sales_Agents!$A$1:C1015,3)</f>
        <v>East</v>
      </c>
    </row>
    <row r="1013" spans="1:14" x14ac:dyDescent="0.25">
      <c r="A1013">
        <v>1012</v>
      </c>
      <c r="B1013" s="1">
        <v>45650</v>
      </c>
      <c r="C1013" s="8" t="str">
        <f>TEXT(Table2[[#This Row],[OrderDate]],"mmm")</f>
        <v>Dec</v>
      </c>
      <c r="D1013">
        <v>1</v>
      </c>
      <c r="E1013">
        <v>3</v>
      </c>
      <c r="F1013">
        <v>12</v>
      </c>
      <c r="G1013" s="3">
        <v>75194</v>
      </c>
      <c r="H1013" s="3">
        <f t="shared" si="30"/>
        <v>902328</v>
      </c>
      <c r="I1013" s="5">
        <f>Table2[[#This Row],[Total Revenue]]*0.3</f>
        <v>270698.39999999997</v>
      </c>
      <c r="J1013" s="6">
        <f t="shared" si="31"/>
        <v>0.3</v>
      </c>
      <c r="K1013" t="str">
        <f>VLOOKUP(Table2[[#This Row],[ProductID]],Products!$A$1:C1017,2)</f>
        <v>Laptop</v>
      </c>
      <c r="L1013" t="str">
        <f>VLOOKUP(D1013,Products!$A$1:C1017,3)</f>
        <v>Electronics</v>
      </c>
      <c r="M1013" t="str">
        <f>VLOOKUP(Table2[[#This Row],[AgentID]],Sales_Agents!$A$1:C1016,2)</f>
        <v>Chinedu</v>
      </c>
      <c r="N1013" t="str">
        <f>VLOOKUP(Table2[[#This Row],[AgentID]],Sales_Agents!$A$1:C1016,3)</f>
        <v>South</v>
      </c>
    </row>
    <row r="1014" spans="1:14" x14ac:dyDescent="0.25">
      <c r="A1014">
        <v>1013</v>
      </c>
      <c r="B1014" s="1">
        <v>45315</v>
      </c>
      <c r="C1014" s="8" t="str">
        <f>TEXT(Table2[[#This Row],[OrderDate]],"mmm")</f>
        <v>Jan</v>
      </c>
      <c r="D1014">
        <v>1</v>
      </c>
      <c r="E1014">
        <v>1</v>
      </c>
      <c r="F1014">
        <v>16</v>
      </c>
      <c r="G1014" s="3">
        <v>56255</v>
      </c>
      <c r="H1014" s="3">
        <f t="shared" si="30"/>
        <v>900080</v>
      </c>
      <c r="I1014" s="5">
        <f>Table2[[#This Row],[Total Revenue]]*0.3</f>
        <v>270024</v>
      </c>
      <c r="J1014" s="6">
        <f t="shared" si="31"/>
        <v>0.3</v>
      </c>
      <c r="K1014" t="str">
        <f>VLOOKUP(Table2[[#This Row],[ProductID]],Products!$A$1:C1018,2)</f>
        <v>Laptop</v>
      </c>
      <c r="L1014" t="str">
        <f>VLOOKUP(D1014,Products!$A$1:C1018,3)</f>
        <v>Electronics</v>
      </c>
      <c r="M1014" t="str">
        <f>VLOOKUP(Table2[[#This Row],[AgentID]],Sales_Agents!$A$1:C1017,2)</f>
        <v>Akin</v>
      </c>
      <c r="N1014" t="str">
        <f>VLOOKUP(Table2[[#This Row],[AgentID]],Sales_Agents!$A$1:C1017,3)</f>
        <v>West</v>
      </c>
    </row>
    <row r="1015" spans="1:14" x14ac:dyDescent="0.25">
      <c r="A1015">
        <v>1014</v>
      </c>
      <c r="B1015" s="1">
        <v>45437</v>
      </c>
      <c r="C1015" s="8" t="str">
        <f>TEXT(Table2[[#This Row],[OrderDate]],"mmm")</f>
        <v>May</v>
      </c>
      <c r="D1015">
        <v>2</v>
      </c>
      <c r="E1015">
        <v>2</v>
      </c>
      <c r="F1015">
        <v>20</v>
      </c>
      <c r="G1015" s="3">
        <v>391689</v>
      </c>
      <c r="H1015" s="3">
        <f t="shared" si="30"/>
        <v>7833780</v>
      </c>
      <c r="I1015" s="5">
        <f>Table2[[#This Row],[Total Revenue]]*0.3</f>
        <v>2350134</v>
      </c>
      <c r="J1015" s="6">
        <f t="shared" si="31"/>
        <v>0.3</v>
      </c>
      <c r="K1015" t="str">
        <f>VLOOKUP(Table2[[#This Row],[ProductID]],Products!$A$1:C1019,2)</f>
        <v>Phone</v>
      </c>
      <c r="L1015" t="str">
        <f>VLOOKUP(D1015,Products!$A$1:C1019,3)</f>
        <v>Electronics</v>
      </c>
      <c r="M1015" t="str">
        <f>VLOOKUP(Table2[[#This Row],[AgentID]],Sales_Agents!$A$1:C1018,2)</f>
        <v>Blessing</v>
      </c>
      <c r="N1015" t="str">
        <f>VLOOKUP(Table2[[#This Row],[AgentID]],Sales_Agents!$A$1:C1018,3)</f>
        <v>East</v>
      </c>
    </row>
    <row r="1016" spans="1:14" x14ac:dyDescent="0.25">
      <c r="A1016">
        <v>1015</v>
      </c>
      <c r="B1016" s="1">
        <v>45437</v>
      </c>
      <c r="C1016" s="8" t="str">
        <f>TEXT(Table2[[#This Row],[OrderDate]],"mmm")</f>
        <v>May</v>
      </c>
      <c r="D1016">
        <v>3</v>
      </c>
      <c r="E1016">
        <v>3</v>
      </c>
      <c r="F1016">
        <v>17</v>
      </c>
      <c r="G1016" s="3">
        <v>60199</v>
      </c>
      <c r="H1016" s="3">
        <f t="shared" si="30"/>
        <v>1023383</v>
      </c>
      <c r="I1016" s="5">
        <f>Table2[[#This Row],[Total Revenue]]*0.3</f>
        <v>307014.89999999997</v>
      </c>
      <c r="J1016" s="6">
        <f t="shared" si="31"/>
        <v>0.3</v>
      </c>
      <c r="K1016" t="str">
        <f>VLOOKUP(Table2[[#This Row],[ProductID]],Products!$A$1:C1020,2)</f>
        <v>Tablet</v>
      </c>
      <c r="L1016" t="str">
        <f>VLOOKUP(D1016,Products!$A$1:C1020,3)</f>
        <v>Electronics</v>
      </c>
      <c r="M1016" t="str">
        <f>VLOOKUP(Table2[[#This Row],[AgentID]],Sales_Agents!$A$1:C1019,2)</f>
        <v>Chinedu</v>
      </c>
      <c r="N1016" t="str">
        <f>VLOOKUP(Table2[[#This Row],[AgentID]],Sales_Agents!$A$1:C1019,3)</f>
        <v>South</v>
      </c>
    </row>
    <row r="1017" spans="1:14" x14ac:dyDescent="0.25">
      <c r="A1017">
        <v>1016</v>
      </c>
      <c r="B1017" s="1">
        <v>45384</v>
      </c>
      <c r="C1017" s="8" t="str">
        <f>TEXT(Table2[[#This Row],[OrderDate]],"mmm")</f>
        <v>Apr</v>
      </c>
      <c r="D1017">
        <v>4</v>
      </c>
      <c r="E1017">
        <v>1</v>
      </c>
      <c r="F1017">
        <v>9</v>
      </c>
      <c r="G1017" s="3">
        <v>203748</v>
      </c>
      <c r="H1017" s="3">
        <f t="shared" si="30"/>
        <v>1833732</v>
      </c>
      <c r="I1017" s="5">
        <f>Table2[[#This Row],[Total Revenue]]*0.3</f>
        <v>550119.6</v>
      </c>
      <c r="J1017" s="6">
        <f t="shared" si="31"/>
        <v>0.3</v>
      </c>
      <c r="K1017" t="str">
        <f>VLOOKUP(Table2[[#This Row],[ProductID]],Products!$A$1:C1021,2)</f>
        <v>Printer</v>
      </c>
      <c r="L1017" t="str">
        <f>VLOOKUP(D1017,Products!$A$1:C1021,3)</f>
        <v>Accessories</v>
      </c>
      <c r="M1017" t="str">
        <f>VLOOKUP(Table2[[#This Row],[AgentID]],Sales_Agents!$A$1:C1020,2)</f>
        <v>Akin</v>
      </c>
      <c r="N1017" t="str">
        <f>VLOOKUP(Table2[[#This Row],[AgentID]],Sales_Agents!$A$1:C1020,3)</f>
        <v>West</v>
      </c>
    </row>
    <row r="1018" spans="1:14" x14ac:dyDescent="0.25">
      <c r="A1018">
        <v>1017</v>
      </c>
      <c r="B1018" s="1">
        <v>45394</v>
      </c>
      <c r="C1018" s="8" t="str">
        <f>TEXT(Table2[[#This Row],[OrderDate]],"mmm")</f>
        <v>Apr</v>
      </c>
      <c r="D1018">
        <v>3</v>
      </c>
      <c r="E1018">
        <v>4</v>
      </c>
      <c r="F1018">
        <v>17</v>
      </c>
      <c r="G1018" s="3">
        <v>328818</v>
      </c>
      <c r="H1018" s="3">
        <f t="shared" si="30"/>
        <v>5589906</v>
      </c>
      <c r="I1018" s="5">
        <f>Table2[[#This Row],[Total Revenue]]*0.3</f>
        <v>1676971.8</v>
      </c>
      <c r="J1018" s="6">
        <f t="shared" si="31"/>
        <v>0.3</v>
      </c>
      <c r="K1018" t="str">
        <f>VLOOKUP(Table2[[#This Row],[ProductID]],Products!$A$1:C1022,2)</f>
        <v>Tablet</v>
      </c>
      <c r="L1018" t="str">
        <f>VLOOKUP(D1018,Products!$A$1:C1022,3)</f>
        <v>Electronics</v>
      </c>
      <c r="M1018" t="str">
        <f>VLOOKUP(Table2[[#This Row],[AgentID]],Sales_Agents!$A$1:C1021,2)</f>
        <v>Zainab</v>
      </c>
      <c r="N1018" t="str">
        <f>VLOOKUP(Table2[[#This Row],[AgentID]],Sales_Agents!$A$1:C1021,3)</f>
        <v>North</v>
      </c>
    </row>
    <row r="1019" spans="1:14" x14ac:dyDescent="0.25">
      <c r="A1019">
        <v>1018</v>
      </c>
      <c r="B1019" s="1">
        <v>45527</v>
      </c>
      <c r="C1019" s="8" t="str">
        <f>TEXT(Table2[[#This Row],[OrderDate]],"mmm")</f>
        <v>Aug</v>
      </c>
      <c r="D1019">
        <v>2</v>
      </c>
      <c r="E1019">
        <v>2</v>
      </c>
      <c r="F1019">
        <v>3</v>
      </c>
      <c r="G1019" s="3">
        <v>319229</v>
      </c>
      <c r="H1019" s="3">
        <f t="shared" si="30"/>
        <v>957687</v>
      </c>
      <c r="I1019" s="5">
        <f>Table2[[#This Row],[Total Revenue]]*0.3</f>
        <v>287306.09999999998</v>
      </c>
      <c r="J1019" s="6">
        <f t="shared" si="31"/>
        <v>0.3</v>
      </c>
      <c r="K1019" t="str">
        <f>VLOOKUP(Table2[[#This Row],[ProductID]],Products!$A$1:C1023,2)</f>
        <v>Phone</v>
      </c>
      <c r="L1019" t="str">
        <f>VLOOKUP(D1019,Products!$A$1:C1023,3)</f>
        <v>Electronics</v>
      </c>
      <c r="M1019" t="str">
        <f>VLOOKUP(Table2[[#This Row],[AgentID]],Sales_Agents!$A$1:C1022,2)</f>
        <v>Blessing</v>
      </c>
      <c r="N1019" t="str">
        <f>VLOOKUP(Table2[[#This Row],[AgentID]],Sales_Agents!$A$1:C1022,3)</f>
        <v>East</v>
      </c>
    </row>
    <row r="1020" spans="1:14" x14ac:dyDescent="0.25">
      <c r="A1020">
        <v>1019</v>
      </c>
      <c r="B1020" s="1">
        <v>45429</v>
      </c>
      <c r="C1020" s="8" t="str">
        <f>TEXT(Table2[[#This Row],[OrderDate]],"mmm")</f>
        <v>May</v>
      </c>
      <c r="D1020">
        <v>3</v>
      </c>
      <c r="E1020">
        <v>2</v>
      </c>
      <c r="F1020">
        <v>20</v>
      </c>
      <c r="G1020" s="3">
        <v>285231</v>
      </c>
      <c r="H1020" s="3">
        <f t="shared" si="30"/>
        <v>5704620</v>
      </c>
      <c r="I1020" s="5">
        <f>Table2[[#This Row],[Total Revenue]]*0.3</f>
        <v>1711386</v>
      </c>
      <c r="J1020" s="6">
        <f t="shared" si="31"/>
        <v>0.3</v>
      </c>
      <c r="K1020" t="str">
        <f>VLOOKUP(Table2[[#This Row],[ProductID]],Products!$A$1:C1024,2)</f>
        <v>Tablet</v>
      </c>
      <c r="L1020" t="str">
        <f>VLOOKUP(D1020,Products!$A$1:C1024,3)</f>
        <v>Electronics</v>
      </c>
      <c r="M1020" t="str">
        <f>VLOOKUP(Table2[[#This Row],[AgentID]],Sales_Agents!$A$1:C1023,2)</f>
        <v>Blessing</v>
      </c>
      <c r="N1020" t="str">
        <f>VLOOKUP(Table2[[#This Row],[AgentID]],Sales_Agents!$A$1:C1023,3)</f>
        <v>East</v>
      </c>
    </row>
    <row r="1021" spans="1:14" x14ac:dyDescent="0.25">
      <c r="A1021">
        <v>1020</v>
      </c>
      <c r="B1021" s="1">
        <v>45651</v>
      </c>
      <c r="C1021" s="8" t="str">
        <f>TEXT(Table2[[#This Row],[OrderDate]],"mmm")</f>
        <v>Dec</v>
      </c>
      <c r="D1021">
        <v>2</v>
      </c>
      <c r="E1021">
        <v>3</v>
      </c>
      <c r="F1021">
        <v>7</v>
      </c>
      <c r="G1021" s="3">
        <v>147389</v>
      </c>
      <c r="H1021" s="3">
        <f t="shared" si="30"/>
        <v>1031723</v>
      </c>
      <c r="I1021" s="5">
        <f>Table2[[#This Row],[Total Revenue]]*0.3</f>
        <v>309516.89999999997</v>
      </c>
      <c r="J1021" s="6">
        <f t="shared" si="31"/>
        <v>0.3</v>
      </c>
      <c r="K1021" t="str">
        <f>VLOOKUP(Table2[[#This Row],[ProductID]],Products!$A$1:C1025,2)</f>
        <v>Phone</v>
      </c>
      <c r="L1021" t="str">
        <f>VLOOKUP(D1021,Products!$A$1:C1025,3)</f>
        <v>Electronics</v>
      </c>
      <c r="M1021" t="str">
        <f>VLOOKUP(Table2[[#This Row],[AgentID]],Sales_Agents!$A$1:C1024,2)</f>
        <v>Chinedu</v>
      </c>
      <c r="N1021" t="str">
        <f>VLOOKUP(Table2[[#This Row],[AgentID]],Sales_Agents!$A$1:C1024,3)</f>
        <v>South</v>
      </c>
    </row>
    <row r="1022" spans="1:14" x14ac:dyDescent="0.25">
      <c r="A1022">
        <v>1021</v>
      </c>
      <c r="B1022" s="1">
        <v>45301</v>
      </c>
      <c r="C1022" s="8" t="str">
        <f>TEXT(Table2[[#This Row],[OrderDate]],"mmm")</f>
        <v>Jan</v>
      </c>
      <c r="D1022">
        <v>2</v>
      </c>
      <c r="E1022">
        <v>3</v>
      </c>
      <c r="F1022">
        <v>16</v>
      </c>
      <c r="G1022" s="3">
        <v>184646</v>
      </c>
      <c r="H1022" s="3">
        <f t="shared" si="30"/>
        <v>2954336</v>
      </c>
      <c r="I1022" s="5">
        <f>Table2[[#This Row],[Total Revenue]]*0.3</f>
        <v>886300.79999999993</v>
      </c>
      <c r="J1022" s="6">
        <f t="shared" si="31"/>
        <v>0.3</v>
      </c>
      <c r="K1022" t="str">
        <f>VLOOKUP(Table2[[#This Row],[ProductID]],Products!$A$1:C1026,2)</f>
        <v>Phone</v>
      </c>
      <c r="L1022" t="str">
        <f>VLOOKUP(D1022,Products!$A$1:C1026,3)</f>
        <v>Electronics</v>
      </c>
      <c r="M1022" t="str">
        <f>VLOOKUP(Table2[[#This Row],[AgentID]],Sales_Agents!$A$1:C1025,2)</f>
        <v>Chinedu</v>
      </c>
      <c r="N1022" t="str">
        <f>VLOOKUP(Table2[[#This Row],[AgentID]],Sales_Agents!$A$1:C1025,3)</f>
        <v>South</v>
      </c>
    </row>
    <row r="1023" spans="1:14" x14ac:dyDescent="0.25">
      <c r="A1023">
        <v>1022</v>
      </c>
      <c r="B1023" s="1">
        <v>45510</v>
      </c>
      <c r="C1023" s="8" t="str">
        <f>TEXT(Table2[[#This Row],[OrderDate]],"mmm")</f>
        <v>Aug</v>
      </c>
      <c r="D1023">
        <v>3</v>
      </c>
      <c r="E1023">
        <v>1</v>
      </c>
      <c r="F1023">
        <v>7</v>
      </c>
      <c r="G1023" s="3">
        <v>152626</v>
      </c>
      <c r="H1023" s="3">
        <f t="shared" si="30"/>
        <v>1068382</v>
      </c>
      <c r="I1023" s="5">
        <f>Table2[[#This Row],[Total Revenue]]*0.3</f>
        <v>320514.59999999998</v>
      </c>
      <c r="J1023" s="6">
        <f t="shared" si="31"/>
        <v>0.3</v>
      </c>
      <c r="K1023" t="str">
        <f>VLOOKUP(Table2[[#This Row],[ProductID]],Products!$A$1:C1027,2)</f>
        <v>Tablet</v>
      </c>
      <c r="L1023" t="str">
        <f>VLOOKUP(D1023,Products!$A$1:C1027,3)</f>
        <v>Electronics</v>
      </c>
      <c r="M1023" t="str">
        <f>VLOOKUP(Table2[[#This Row],[AgentID]],Sales_Agents!$A$1:C1026,2)</f>
        <v>Akin</v>
      </c>
      <c r="N1023" t="str">
        <f>VLOOKUP(Table2[[#This Row],[AgentID]],Sales_Agents!$A$1:C1026,3)</f>
        <v>West</v>
      </c>
    </row>
    <row r="1024" spans="1:14" x14ac:dyDescent="0.25">
      <c r="A1024">
        <v>1023</v>
      </c>
      <c r="B1024" s="1">
        <v>45604</v>
      </c>
      <c r="C1024" s="8" t="str">
        <f>TEXT(Table2[[#This Row],[OrderDate]],"mmm")</f>
        <v>Nov</v>
      </c>
      <c r="D1024">
        <v>4</v>
      </c>
      <c r="E1024">
        <v>4</v>
      </c>
      <c r="F1024">
        <v>15</v>
      </c>
      <c r="G1024" s="3">
        <v>221437</v>
      </c>
      <c r="H1024" s="3">
        <f t="shared" si="30"/>
        <v>3321555</v>
      </c>
      <c r="I1024" s="5">
        <f>Table2[[#This Row],[Total Revenue]]*0.3</f>
        <v>996466.5</v>
      </c>
      <c r="J1024" s="6">
        <f t="shared" si="31"/>
        <v>0.3</v>
      </c>
      <c r="K1024" t="str">
        <f>VLOOKUP(Table2[[#This Row],[ProductID]],Products!$A$1:C1028,2)</f>
        <v>Printer</v>
      </c>
      <c r="L1024" t="str">
        <f>VLOOKUP(D1024,Products!$A$1:C1028,3)</f>
        <v>Accessories</v>
      </c>
      <c r="M1024" t="str">
        <f>VLOOKUP(Table2[[#This Row],[AgentID]],Sales_Agents!$A$1:C1027,2)</f>
        <v>Zainab</v>
      </c>
      <c r="N1024" t="str">
        <f>VLOOKUP(Table2[[#This Row],[AgentID]],Sales_Agents!$A$1:C1027,3)</f>
        <v>North</v>
      </c>
    </row>
    <row r="1025" spans="1:14" x14ac:dyDescent="0.25">
      <c r="A1025">
        <v>1024</v>
      </c>
      <c r="B1025" s="1">
        <v>45505</v>
      </c>
      <c r="C1025" s="8" t="str">
        <f>TEXT(Table2[[#This Row],[OrderDate]],"mmm")</f>
        <v>Aug</v>
      </c>
      <c r="D1025">
        <v>2</v>
      </c>
      <c r="E1025">
        <v>1</v>
      </c>
      <c r="F1025">
        <v>17</v>
      </c>
      <c r="G1025" s="3">
        <v>354687</v>
      </c>
      <c r="H1025" s="3">
        <f t="shared" si="30"/>
        <v>6029679</v>
      </c>
      <c r="I1025" s="5">
        <f>Table2[[#This Row],[Total Revenue]]*0.3</f>
        <v>1808903.7</v>
      </c>
      <c r="J1025" s="6">
        <f t="shared" si="31"/>
        <v>0.3</v>
      </c>
      <c r="K1025" t="str">
        <f>VLOOKUP(Table2[[#This Row],[ProductID]],Products!$A$1:C1029,2)</f>
        <v>Phone</v>
      </c>
      <c r="L1025" t="str">
        <f>VLOOKUP(D1025,Products!$A$1:C1029,3)</f>
        <v>Electronics</v>
      </c>
      <c r="M1025" t="str">
        <f>VLOOKUP(Table2[[#This Row],[AgentID]],Sales_Agents!$A$1:C1028,2)</f>
        <v>Akin</v>
      </c>
      <c r="N1025" t="str">
        <f>VLOOKUP(Table2[[#This Row],[AgentID]],Sales_Agents!$A$1:C1028,3)</f>
        <v>West</v>
      </c>
    </row>
    <row r="1026" spans="1:14" x14ac:dyDescent="0.25">
      <c r="A1026">
        <v>1025</v>
      </c>
      <c r="B1026" s="1">
        <v>45560</v>
      </c>
      <c r="C1026" s="8" t="str">
        <f>TEXT(Table2[[#This Row],[OrderDate]],"mmm")</f>
        <v>Sept</v>
      </c>
      <c r="D1026">
        <v>4</v>
      </c>
      <c r="E1026">
        <v>2</v>
      </c>
      <c r="F1026">
        <v>15</v>
      </c>
      <c r="G1026" s="3">
        <v>250872</v>
      </c>
      <c r="H1026" s="3">
        <f t="shared" ref="H1026:H1089" si="32">G1026*F1026</f>
        <v>3763080</v>
      </c>
      <c r="I1026" s="5">
        <f>Table2[[#This Row],[Total Revenue]]*0.3</f>
        <v>1128924</v>
      </c>
      <c r="J1026" s="6">
        <f t="shared" ref="J1026:J1089" si="33">I1026/H1026</f>
        <v>0.3</v>
      </c>
      <c r="K1026" t="str">
        <f>VLOOKUP(Table2[[#This Row],[ProductID]],Products!$A$1:C1030,2)</f>
        <v>Printer</v>
      </c>
      <c r="L1026" t="str">
        <f>VLOOKUP(D1026,Products!$A$1:C1030,3)</f>
        <v>Accessories</v>
      </c>
      <c r="M1026" t="str">
        <f>VLOOKUP(Table2[[#This Row],[AgentID]],Sales_Agents!$A$1:C1029,2)</f>
        <v>Blessing</v>
      </c>
      <c r="N1026" t="str">
        <f>VLOOKUP(Table2[[#This Row],[AgentID]],Sales_Agents!$A$1:C1029,3)</f>
        <v>East</v>
      </c>
    </row>
    <row r="1027" spans="1:14" x14ac:dyDescent="0.25">
      <c r="A1027">
        <v>1026</v>
      </c>
      <c r="B1027" s="1">
        <v>45557</v>
      </c>
      <c r="C1027" s="8" t="str">
        <f>TEXT(Table2[[#This Row],[OrderDate]],"mmm")</f>
        <v>Sept</v>
      </c>
      <c r="D1027">
        <v>3</v>
      </c>
      <c r="E1027">
        <v>2</v>
      </c>
      <c r="F1027">
        <v>17</v>
      </c>
      <c r="G1027" s="3">
        <v>251910</v>
      </c>
      <c r="H1027" s="3">
        <f t="shared" si="32"/>
        <v>4282470</v>
      </c>
      <c r="I1027" s="5">
        <f>Table2[[#This Row],[Total Revenue]]*0.3</f>
        <v>1284741</v>
      </c>
      <c r="J1027" s="6">
        <f t="shared" si="33"/>
        <v>0.3</v>
      </c>
      <c r="K1027" t="str">
        <f>VLOOKUP(Table2[[#This Row],[ProductID]],Products!$A$1:C1031,2)</f>
        <v>Tablet</v>
      </c>
      <c r="L1027" t="str">
        <f>VLOOKUP(D1027,Products!$A$1:C1031,3)</f>
        <v>Electronics</v>
      </c>
      <c r="M1027" t="str">
        <f>VLOOKUP(Table2[[#This Row],[AgentID]],Sales_Agents!$A$1:C1030,2)</f>
        <v>Blessing</v>
      </c>
      <c r="N1027" t="str">
        <f>VLOOKUP(Table2[[#This Row],[AgentID]],Sales_Agents!$A$1:C1030,3)</f>
        <v>East</v>
      </c>
    </row>
    <row r="1028" spans="1:14" x14ac:dyDescent="0.25">
      <c r="A1028">
        <v>1027</v>
      </c>
      <c r="B1028" s="1">
        <v>45443</v>
      </c>
      <c r="C1028" s="8" t="str">
        <f>TEXT(Table2[[#This Row],[OrderDate]],"mmm")</f>
        <v>May</v>
      </c>
      <c r="D1028">
        <v>5</v>
      </c>
      <c r="E1028">
        <v>4</v>
      </c>
      <c r="F1028">
        <v>19</v>
      </c>
      <c r="G1028" s="3">
        <v>129094</v>
      </c>
      <c r="H1028" s="3">
        <f t="shared" si="32"/>
        <v>2452786</v>
      </c>
      <c r="I1028" s="5">
        <f>Table2[[#This Row],[Total Revenue]]*0.3</f>
        <v>735835.79999999993</v>
      </c>
      <c r="J1028" s="6">
        <f t="shared" si="33"/>
        <v>0.3</v>
      </c>
      <c r="K1028" t="str">
        <f>VLOOKUP(Table2[[#This Row],[ProductID]],Products!$A$1:C1032,2)</f>
        <v>Monitor</v>
      </c>
      <c r="L1028" t="str">
        <f>VLOOKUP(D1028,Products!$A$1:C1032,3)</f>
        <v>Accessories</v>
      </c>
      <c r="M1028" t="str">
        <f>VLOOKUP(Table2[[#This Row],[AgentID]],Sales_Agents!$A$1:C1031,2)</f>
        <v>Zainab</v>
      </c>
      <c r="N1028" t="str">
        <f>VLOOKUP(Table2[[#This Row],[AgentID]],Sales_Agents!$A$1:C1031,3)</f>
        <v>North</v>
      </c>
    </row>
    <row r="1029" spans="1:14" x14ac:dyDescent="0.25">
      <c r="A1029">
        <v>1028</v>
      </c>
      <c r="B1029" s="1">
        <v>45633</v>
      </c>
      <c r="C1029" s="8" t="str">
        <f>TEXT(Table2[[#This Row],[OrderDate]],"mmm")</f>
        <v>Dec</v>
      </c>
      <c r="D1029">
        <v>3</v>
      </c>
      <c r="E1029">
        <v>2</v>
      </c>
      <c r="F1029">
        <v>15</v>
      </c>
      <c r="G1029" s="3">
        <v>108187</v>
      </c>
      <c r="H1029" s="3">
        <f t="shared" si="32"/>
        <v>1622805</v>
      </c>
      <c r="I1029" s="5">
        <f>Table2[[#This Row],[Total Revenue]]*0.3</f>
        <v>486841.5</v>
      </c>
      <c r="J1029" s="6">
        <f t="shared" si="33"/>
        <v>0.3</v>
      </c>
      <c r="K1029" t="str">
        <f>VLOOKUP(Table2[[#This Row],[ProductID]],Products!$A$1:C1033,2)</f>
        <v>Tablet</v>
      </c>
      <c r="L1029" t="str">
        <f>VLOOKUP(D1029,Products!$A$1:C1033,3)</f>
        <v>Electronics</v>
      </c>
      <c r="M1029" t="str">
        <f>VLOOKUP(Table2[[#This Row],[AgentID]],Sales_Agents!$A$1:C1032,2)</f>
        <v>Blessing</v>
      </c>
      <c r="N1029" t="str">
        <f>VLOOKUP(Table2[[#This Row],[AgentID]],Sales_Agents!$A$1:C1032,3)</f>
        <v>East</v>
      </c>
    </row>
    <row r="1030" spans="1:14" x14ac:dyDescent="0.25">
      <c r="A1030">
        <v>1029</v>
      </c>
      <c r="B1030" s="1">
        <v>45399</v>
      </c>
      <c r="C1030" s="8" t="str">
        <f>TEXT(Table2[[#This Row],[OrderDate]],"mmm")</f>
        <v>Apr</v>
      </c>
      <c r="D1030">
        <v>3</v>
      </c>
      <c r="E1030">
        <v>2</v>
      </c>
      <c r="F1030">
        <v>10</v>
      </c>
      <c r="G1030" s="3">
        <v>307282</v>
      </c>
      <c r="H1030" s="3">
        <f t="shared" si="32"/>
        <v>3072820</v>
      </c>
      <c r="I1030" s="5">
        <f>Table2[[#This Row],[Total Revenue]]*0.3</f>
        <v>921846</v>
      </c>
      <c r="J1030" s="6">
        <f t="shared" si="33"/>
        <v>0.3</v>
      </c>
      <c r="K1030" t="str">
        <f>VLOOKUP(Table2[[#This Row],[ProductID]],Products!$A$1:C1034,2)</f>
        <v>Tablet</v>
      </c>
      <c r="L1030" t="str">
        <f>VLOOKUP(D1030,Products!$A$1:C1034,3)</f>
        <v>Electronics</v>
      </c>
      <c r="M1030" t="str">
        <f>VLOOKUP(Table2[[#This Row],[AgentID]],Sales_Agents!$A$1:C1033,2)</f>
        <v>Blessing</v>
      </c>
      <c r="N1030" t="str">
        <f>VLOOKUP(Table2[[#This Row],[AgentID]],Sales_Agents!$A$1:C1033,3)</f>
        <v>East</v>
      </c>
    </row>
    <row r="1031" spans="1:14" x14ac:dyDescent="0.25">
      <c r="A1031">
        <v>1030</v>
      </c>
      <c r="B1031" s="1">
        <v>45344</v>
      </c>
      <c r="C1031" s="8" t="str">
        <f>TEXT(Table2[[#This Row],[OrderDate]],"mmm")</f>
        <v>Feb</v>
      </c>
      <c r="D1031">
        <v>2</v>
      </c>
      <c r="E1031">
        <v>2</v>
      </c>
      <c r="F1031">
        <v>5</v>
      </c>
      <c r="G1031" s="3">
        <v>373580</v>
      </c>
      <c r="H1031" s="3">
        <f t="shared" si="32"/>
        <v>1867900</v>
      </c>
      <c r="I1031" s="5">
        <f>Table2[[#This Row],[Total Revenue]]*0.3</f>
        <v>560370</v>
      </c>
      <c r="J1031" s="6">
        <f t="shared" si="33"/>
        <v>0.3</v>
      </c>
      <c r="K1031" t="str">
        <f>VLOOKUP(Table2[[#This Row],[ProductID]],Products!$A$1:C1035,2)</f>
        <v>Phone</v>
      </c>
      <c r="L1031" t="str">
        <f>VLOOKUP(D1031,Products!$A$1:C1035,3)</f>
        <v>Electronics</v>
      </c>
      <c r="M1031" t="str">
        <f>VLOOKUP(Table2[[#This Row],[AgentID]],Sales_Agents!$A$1:C1034,2)</f>
        <v>Blessing</v>
      </c>
      <c r="N1031" t="str">
        <f>VLOOKUP(Table2[[#This Row],[AgentID]],Sales_Agents!$A$1:C1034,3)</f>
        <v>East</v>
      </c>
    </row>
    <row r="1032" spans="1:14" x14ac:dyDescent="0.25">
      <c r="A1032">
        <v>1031</v>
      </c>
      <c r="B1032" s="1">
        <v>45314</v>
      </c>
      <c r="C1032" s="8" t="str">
        <f>TEXT(Table2[[#This Row],[OrderDate]],"mmm")</f>
        <v>Jan</v>
      </c>
      <c r="D1032">
        <v>1</v>
      </c>
      <c r="E1032">
        <v>2</v>
      </c>
      <c r="F1032">
        <v>14</v>
      </c>
      <c r="G1032" s="3">
        <v>212396</v>
      </c>
      <c r="H1032" s="3">
        <f t="shared" si="32"/>
        <v>2973544</v>
      </c>
      <c r="I1032" s="5">
        <f>Table2[[#This Row],[Total Revenue]]*0.3</f>
        <v>892063.2</v>
      </c>
      <c r="J1032" s="6">
        <f t="shared" si="33"/>
        <v>0.3</v>
      </c>
      <c r="K1032" t="str">
        <f>VLOOKUP(Table2[[#This Row],[ProductID]],Products!$A$1:C1036,2)</f>
        <v>Laptop</v>
      </c>
      <c r="L1032" t="str">
        <f>VLOOKUP(D1032,Products!$A$1:C1036,3)</f>
        <v>Electronics</v>
      </c>
      <c r="M1032" t="str">
        <f>VLOOKUP(Table2[[#This Row],[AgentID]],Sales_Agents!$A$1:C1035,2)</f>
        <v>Blessing</v>
      </c>
      <c r="N1032" t="str">
        <f>VLOOKUP(Table2[[#This Row],[AgentID]],Sales_Agents!$A$1:C1035,3)</f>
        <v>East</v>
      </c>
    </row>
    <row r="1033" spans="1:14" x14ac:dyDescent="0.25">
      <c r="A1033">
        <v>1032</v>
      </c>
      <c r="B1033" s="1">
        <v>45600</v>
      </c>
      <c r="C1033" s="8" t="str">
        <f>TEXT(Table2[[#This Row],[OrderDate]],"mmm")</f>
        <v>Nov</v>
      </c>
      <c r="D1033">
        <v>5</v>
      </c>
      <c r="E1033">
        <v>1</v>
      </c>
      <c r="F1033">
        <v>8</v>
      </c>
      <c r="G1033" s="3">
        <v>210377</v>
      </c>
      <c r="H1033" s="3">
        <f t="shared" si="32"/>
        <v>1683016</v>
      </c>
      <c r="I1033" s="5">
        <f>Table2[[#This Row],[Total Revenue]]*0.3</f>
        <v>504904.8</v>
      </c>
      <c r="J1033" s="6">
        <f t="shared" si="33"/>
        <v>0.3</v>
      </c>
      <c r="K1033" t="str">
        <f>VLOOKUP(Table2[[#This Row],[ProductID]],Products!$A$1:C1037,2)</f>
        <v>Monitor</v>
      </c>
      <c r="L1033" t="str">
        <f>VLOOKUP(D1033,Products!$A$1:C1037,3)</f>
        <v>Accessories</v>
      </c>
      <c r="M1033" t="str">
        <f>VLOOKUP(Table2[[#This Row],[AgentID]],Sales_Agents!$A$1:C1036,2)</f>
        <v>Akin</v>
      </c>
      <c r="N1033" t="str">
        <f>VLOOKUP(Table2[[#This Row],[AgentID]],Sales_Agents!$A$1:C1036,3)</f>
        <v>West</v>
      </c>
    </row>
    <row r="1034" spans="1:14" x14ac:dyDescent="0.25">
      <c r="A1034">
        <v>1033</v>
      </c>
      <c r="B1034" s="1">
        <v>45595</v>
      </c>
      <c r="C1034" s="8" t="str">
        <f>TEXT(Table2[[#This Row],[OrderDate]],"mmm")</f>
        <v>Oct</v>
      </c>
      <c r="D1034">
        <v>5</v>
      </c>
      <c r="E1034">
        <v>2</v>
      </c>
      <c r="F1034">
        <v>13</v>
      </c>
      <c r="G1034" s="3">
        <v>363011</v>
      </c>
      <c r="H1034" s="3">
        <f t="shared" si="32"/>
        <v>4719143</v>
      </c>
      <c r="I1034" s="5">
        <f>Table2[[#This Row],[Total Revenue]]*0.3</f>
        <v>1415742.9</v>
      </c>
      <c r="J1034" s="6">
        <f t="shared" si="33"/>
        <v>0.3</v>
      </c>
      <c r="K1034" t="str">
        <f>VLOOKUP(Table2[[#This Row],[ProductID]],Products!$A$1:C1038,2)</f>
        <v>Monitor</v>
      </c>
      <c r="L1034" t="str">
        <f>VLOOKUP(D1034,Products!$A$1:C1038,3)</f>
        <v>Accessories</v>
      </c>
      <c r="M1034" t="str">
        <f>VLOOKUP(Table2[[#This Row],[AgentID]],Sales_Agents!$A$1:C1037,2)</f>
        <v>Blessing</v>
      </c>
      <c r="N1034" t="str">
        <f>VLOOKUP(Table2[[#This Row],[AgentID]],Sales_Agents!$A$1:C1037,3)</f>
        <v>East</v>
      </c>
    </row>
    <row r="1035" spans="1:14" x14ac:dyDescent="0.25">
      <c r="A1035">
        <v>1034</v>
      </c>
      <c r="B1035" s="1">
        <v>45471</v>
      </c>
      <c r="C1035" s="8" t="str">
        <f>TEXT(Table2[[#This Row],[OrderDate]],"mmm")</f>
        <v>Jun</v>
      </c>
      <c r="D1035">
        <v>3</v>
      </c>
      <c r="E1035">
        <v>3</v>
      </c>
      <c r="F1035">
        <v>10</v>
      </c>
      <c r="G1035" s="3">
        <v>169577</v>
      </c>
      <c r="H1035" s="3">
        <f t="shared" si="32"/>
        <v>1695770</v>
      </c>
      <c r="I1035" s="5">
        <f>Table2[[#This Row],[Total Revenue]]*0.3</f>
        <v>508731</v>
      </c>
      <c r="J1035" s="6">
        <f t="shared" si="33"/>
        <v>0.3</v>
      </c>
      <c r="K1035" t="str">
        <f>VLOOKUP(Table2[[#This Row],[ProductID]],Products!$A$1:C1039,2)</f>
        <v>Tablet</v>
      </c>
      <c r="L1035" t="str">
        <f>VLOOKUP(D1035,Products!$A$1:C1039,3)</f>
        <v>Electronics</v>
      </c>
      <c r="M1035" t="str">
        <f>VLOOKUP(Table2[[#This Row],[AgentID]],Sales_Agents!$A$1:C1038,2)</f>
        <v>Chinedu</v>
      </c>
      <c r="N1035" t="str">
        <f>VLOOKUP(Table2[[#This Row],[AgentID]],Sales_Agents!$A$1:C1038,3)</f>
        <v>South</v>
      </c>
    </row>
    <row r="1036" spans="1:14" x14ac:dyDescent="0.25">
      <c r="A1036">
        <v>1035</v>
      </c>
      <c r="B1036" s="1">
        <v>45410</v>
      </c>
      <c r="C1036" s="8" t="str">
        <f>TEXT(Table2[[#This Row],[OrderDate]],"mmm")</f>
        <v>Apr</v>
      </c>
      <c r="D1036">
        <v>4</v>
      </c>
      <c r="E1036">
        <v>4</v>
      </c>
      <c r="F1036">
        <v>15</v>
      </c>
      <c r="G1036" s="3">
        <v>384502</v>
      </c>
      <c r="H1036" s="3">
        <f t="shared" si="32"/>
        <v>5767530</v>
      </c>
      <c r="I1036" s="5">
        <f>Table2[[#This Row],[Total Revenue]]*0.3</f>
        <v>1730259</v>
      </c>
      <c r="J1036" s="6">
        <f t="shared" si="33"/>
        <v>0.3</v>
      </c>
      <c r="K1036" t="str">
        <f>VLOOKUP(Table2[[#This Row],[ProductID]],Products!$A$1:C1040,2)</f>
        <v>Printer</v>
      </c>
      <c r="L1036" t="str">
        <f>VLOOKUP(D1036,Products!$A$1:C1040,3)</f>
        <v>Accessories</v>
      </c>
      <c r="M1036" t="str">
        <f>VLOOKUP(Table2[[#This Row],[AgentID]],Sales_Agents!$A$1:C1039,2)</f>
        <v>Zainab</v>
      </c>
      <c r="N1036" t="str">
        <f>VLOOKUP(Table2[[#This Row],[AgentID]],Sales_Agents!$A$1:C1039,3)</f>
        <v>North</v>
      </c>
    </row>
    <row r="1037" spans="1:14" x14ac:dyDescent="0.25">
      <c r="A1037">
        <v>1036</v>
      </c>
      <c r="B1037" s="1">
        <v>45616</v>
      </c>
      <c r="C1037" s="8" t="str">
        <f>TEXT(Table2[[#This Row],[OrderDate]],"mmm")</f>
        <v>Nov</v>
      </c>
      <c r="D1037">
        <v>5</v>
      </c>
      <c r="E1037">
        <v>2</v>
      </c>
      <c r="F1037">
        <v>10</v>
      </c>
      <c r="G1037" s="3">
        <v>282756</v>
      </c>
      <c r="H1037" s="3">
        <f t="shared" si="32"/>
        <v>2827560</v>
      </c>
      <c r="I1037" s="5">
        <f>Table2[[#This Row],[Total Revenue]]*0.3</f>
        <v>848268</v>
      </c>
      <c r="J1037" s="6">
        <f t="shared" si="33"/>
        <v>0.3</v>
      </c>
      <c r="K1037" t="str">
        <f>VLOOKUP(Table2[[#This Row],[ProductID]],Products!$A$1:C1041,2)</f>
        <v>Monitor</v>
      </c>
      <c r="L1037" t="str">
        <f>VLOOKUP(D1037,Products!$A$1:C1041,3)</f>
        <v>Accessories</v>
      </c>
      <c r="M1037" t="str">
        <f>VLOOKUP(Table2[[#This Row],[AgentID]],Sales_Agents!$A$1:C1040,2)</f>
        <v>Blessing</v>
      </c>
      <c r="N1037" t="str">
        <f>VLOOKUP(Table2[[#This Row],[AgentID]],Sales_Agents!$A$1:C1040,3)</f>
        <v>East</v>
      </c>
    </row>
    <row r="1038" spans="1:14" x14ac:dyDescent="0.25">
      <c r="A1038">
        <v>1037</v>
      </c>
      <c r="B1038" s="1">
        <v>45545</v>
      </c>
      <c r="C1038" s="8" t="str">
        <f>TEXT(Table2[[#This Row],[OrderDate]],"mmm")</f>
        <v>Sept</v>
      </c>
      <c r="D1038">
        <v>4</v>
      </c>
      <c r="E1038">
        <v>2</v>
      </c>
      <c r="F1038">
        <v>15</v>
      </c>
      <c r="G1038" s="3">
        <v>336192</v>
      </c>
      <c r="H1038" s="3">
        <f t="shared" si="32"/>
        <v>5042880</v>
      </c>
      <c r="I1038" s="5">
        <f>Table2[[#This Row],[Total Revenue]]*0.3</f>
        <v>1512864</v>
      </c>
      <c r="J1038" s="6">
        <f t="shared" si="33"/>
        <v>0.3</v>
      </c>
      <c r="K1038" t="str">
        <f>VLOOKUP(Table2[[#This Row],[ProductID]],Products!$A$1:C1042,2)</f>
        <v>Printer</v>
      </c>
      <c r="L1038" t="str">
        <f>VLOOKUP(D1038,Products!$A$1:C1042,3)</f>
        <v>Accessories</v>
      </c>
      <c r="M1038" t="str">
        <f>VLOOKUP(Table2[[#This Row],[AgentID]],Sales_Agents!$A$1:C1041,2)</f>
        <v>Blessing</v>
      </c>
      <c r="N1038" t="str">
        <f>VLOOKUP(Table2[[#This Row],[AgentID]],Sales_Agents!$A$1:C1041,3)</f>
        <v>East</v>
      </c>
    </row>
    <row r="1039" spans="1:14" x14ac:dyDescent="0.25">
      <c r="A1039">
        <v>1038</v>
      </c>
      <c r="B1039" s="1">
        <v>45457</v>
      </c>
      <c r="C1039" s="8" t="str">
        <f>TEXT(Table2[[#This Row],[OrderDate]],"mmm")</f>
        <v>Jun</v>
      </c>
      <c r="D1039">
        <v>5</v>
      </c>
      <c r="E1039">
        <v>1</v>
      </c>
      <c r="F1039">
        <v>12</v>
      </c>
      <c r="G1039" s="3">
        <v>222858</v>
      </c>
      <c r="H1039" s="3">
        <f t="shared" si="32"/>
        <v>2674296</v>
      </c>
      <c r="I1039" s="5">
        <f>Table2[[#This Row],[Total Revenue]]*0.3</f>
        <v>802288.79999999993</v>
      </c>
      <c r="J1039" s="6">
        <f t="shared" si="33"/>
        <v>0.3</v>
      </c>
      <c r="K1039" t="str">
        <f>VLOOKUP(Table2[[#This Row],[ProductID]],Products!$A$1:C1043,2)</f>
        <v>Monitor</v>
      </c>
      <c r="L1039" t="str">
        <f>VLOOKUP(D1039,Products!$A$1:C1043,3)</f>
        <v>Accessories</v>
      </c>
      <c r="M1039" t="str">
        <f>VLOOKUP(Table2[[#This Row],[AgentID]],Sales_Agents!$A$1:C1042,2)</f>
        <v>Akin</v>
      </c>
      <c r="N1039" t="str">
        <f>VLOOKUP(Table2[[#This Row],[AgentID]],Sales_Agents!$A$1:C1042,3)</f>
        <v>West</v>
      </c>
    </row>
    <row r="1040" spans="1:14" x14ac:dyDescent="0.25">
      <c r="A1040">
        <v>1039</v>
      </c>
      <c r="B1040" s="1">
        <v>45598</v>
      </c>
      <c r="C1040" s="8" t="str">
        <f>TEXT(Table2[[#This Row],[OrderDate]],"mmm")</f>
        <v>Nov</v>
      </c>
      <c r="D1040">
        <v>1</v>
      </c>
      <c r="E1040">
        <v>1</v>
      </c>
      <c r="F1040">
        <v>19</v>
      </c>
      <c r="G1040" s="3">
        <v>234546</v>
      </c>
      <c r="H1040" s="3">
        <f t="shared" si="32"/>
        <v>4456374</v>
      </c>
      <c r="I1040" s="5">
        <f>Table2[[#This Row],[Total Revenue]]*0.3</f>
        <v>1336912.2</v>
      </c>
      <c r="J1040" s="6">
        <f t="shared" si="33"/>
        <v>0.3</v>
      </c>
      <c r="K1040" t="str">
        <f>VLOOKUP(Table2[[#This Row],[ProductID]],Products!$A$1:C1044,2)</f>
        <v>Laptop</v>
      </c>
      <c r="L1040" t="str">
        <f>VLOOKUP(D1040,Products!$A$1:C1044,3)</f>
        <v>Electronics</v>
      </c>
      <c r="M1040" t="str">
        <f>VLOOKUP(Table2[[#This Row],[AgentID]],Sales_Agents!$A$1:C1043,2)</f>
        <v>Akin</v>
      </c>
      <c r="N1040" t="str">
        <f>VLOOKUP(Table2[[#This Row],[AgentID]],Sales_Agents!$A$1:C1043,3)</f>
        <v>West</v>
      </c>
    </row>
    <row r="1041" spans="1:14" x14ac:dyDescent="0.25">
      <c r="A1041">
        <v>1040</v>
      </c>
      <c r="B1041" s="1">
        <v>45493</v>
      </c>
      <c r="C1041" s="8" t="str">
        <f>TEXT(Table2[[#This Row],[OrderDate]],"mmm")</f>
        <v>Jul</v>
      </c>
      <c r="D1041">
        <v>4</v>
      </c>
      <c r="E1041">
        <v>3</v>
      </c>
      <c r="F1041">
        <v>5</v>
      </c>
      <c r="G1041" s="3">
        <v>238215</v>
      </c>
      <c r="H1041" s="3">
        <f t="shared" si="32"/>
        <v>1191075</v>
      </c>
      <c r="I1041" s="5">
        <f>Table2[[#This Row],[Total Revenue]]*0.3</f>
        <v>357322.5</v>
      </c>
      <c r="J1041" s="6">
        <f t="shared" si="33"/>
        <v>0.3</v>
      </c>
      <c r="K1041" t="str">
        <f>VLOOKUP(Table2[[#This Row],[ProductID]],Products!$A$1:C1045,2)</f>
        <v>Printer</v>
      </c>
      <c r="L1041" t="str">
        <f>VLOOKUP(D1041,Products!$A$1:C1045,3)</f>
        <v>Accessories</v>
      </c>
      <c r="M1041" t="str">
        <f>VLOOKUP(Table2[[#This Row],[AgentID]],Sales_Agents!$A$1:C1044,2)</f>
        <v>Chinedu</v>
      </c>
      <c r="N1041" t="str">
        <f>VLOOKUP(Table2[[#This Row],[AgentID]],Sales_Agents!$A$1:C1044,3)</f>
        <v>South</v>
      </c>
    </row>
    <row r="1042" spans="1:14" x14ac:dyDescent="0.25">
      <c r="A1042">
        <v>1041</v>
      </c>
      <c r="B1042" s="1">
        <v>45607</v>
      </c>
      <c r="C1042" s="8" t="str">
        <f>TEXT(Table2[[#This Row],[OrderDate]],"mmm")</f>
        <v>Nov</v>
      </c>
      <c r="D1042">
        <v>3</v>
      </c>
      <c r="E1042">
        <v>2</v>
      </c>
      <c r="F1042">
        <v>20</v>
      </c>
      <c r="G1042" s="3">
        <v>144637</v>
      </c>
      <c r="H1042" s="3">
        <f t="shared" si="32"/>
        <v>2892740</v>
      </c>
      <c r="I1042" s="5">
        <f>Table2[[#This Row],[Total Revenue]]*0.3</f>
        <v>867822</v>
      </c>
      <c r="J1042" s="6">
        <f t="shared" si="33"/>
        <v>0.3</v>
      </c>
      <c r="K1042" t="str">
        <f>VLOOKUP(Table2[[#This Row],[ProductID]],Products!$A$1:C1046,2)</f>
        <v>Tablet</v>
      </c>
      <c r="L1042" t="str">
        <f>VLOOKUP(D1042,Products!$A$1:C1046,3)</f>
        <v>Electronics</v>
      </c>
      <c r="M1042" t="str">
        <f>VLOOKUP(Table2[[#This Row],[AgentID]],Sales_Agents!$A$1:C1045,2)</f>
        <v>Blessing</v>
      </c>
      <c r="N1042" t="str">
        <f>VLOOKUP(Table2[[#This Row],[AgentID]],Sales_Agents!$A$1:C1045,3)</f>
        <v>East</v>
      </c>
    </row>
    <row r="1043" spans="1:14" x14ac:dyDescent="0.25">
      <c r="A1043">
        <v>1042</v>
      </c>
      <c r="B1043" s="1">
        <v>45381</v>
      </c>
      <c r="C1043" s="8" t="str">
        <f>TEXT(Table2[[#This Row],[OrderDate]],"mmm")</f>
        <v>Mar</v>
      </c>
      <c r="D1043">
        <v>5</v>
      </c>
      <c r="E1043">
        <v>4</v>
      </c>
      <c r="F1043">
        <v>12</v>
      </c>
      <c r="G1043" s="3">
        <v>380062</v>
      </c>
      <c r="H1043" s="3">
        <f t="shared" si="32"/>
        <v>4560744</v>
      </c>
      <c r="I1043" s="5">
        <f>Table2[[#This Row],[Total Revenue]]*0.3</f>
        <v>1368223.2</v>
      </c>
      <c r="J1043" s="6">
        <f t="shared" si="33"/>
        <v>0.3</v>
      </c>
      <c r="K1043" t="str">
        <f>VLOOKUP(Table2[[#This Row],[ProductID]],Products!$A$1:C1047,2)</f>
        <v>Monitor</v>
      </c>
      <c r="L1043" t="str">
        <f>VLOOKUP(D1043,Products!$A$1:C1047,3)</f>
        <v>Accessories</v>
      </c>
      <c r="M1043" t="str">
        <f>VLOOKUP(Table2[[#This Row],[AgentID]],Sales_Agents!$A$1:C1046,2)</f>
        <v>Zainab</v>
      </c>
      <c r="N1043" t="str">
        <f>VLOOKUP(Table2[[#This Row],[AgentID]],Sales_Agents!$A$1:C1046,3)</f>
        <v>North</v>
      </c>
    </row>
    <row r="1044" spans="1:14" x14ac:dyDescent="0.25">
      <c r="A1044">
        <v>1043</v>
      </c>
      <c r="B1044" s="1">
        <v>45413</v>
      </c>
      <c r="C1044" s="8" t="str">
        <f>TEXT(Table2[[#This Row],[OrderDate]],"mmm")</f>
        <v>May</v>
      </c>
      <c r="D1044">
        <v>5</v>
      </c>
      <c r="E1044">
        <v>3</v>
      </c>
      <c r="F1044">
        <v>7</v>
      </c>
      <c r="G1044" s="3">
        <v>194153</v>
      </c>
      <c r="H1044" s="3">
        <f t="shared" si="32"/>
        <v>1359071</v>
      </c>
      <c r="I1044" s="5">
        <f>Table2[[#This Row],[Total Revenue]]*0.3</f>
        <v>407721.3</v>
      </c>
      <c r="J1044" s="6">
        <f t="shared" si="33"/>
        <v>0.3</v>
      </c>
      <c r="K1044" t="str">
        <f>VLOOKUP(Table2[[#This Row],[ProductID]],Products!$A$1:C1048,2)</f>
        <v>Monitor</v>
      </c>
      <c r="L1044" t="str">
        <f>VLOOKUP(D1044,Products!$A$1:C1048,3)</f>
        <v>Accessories</v>
      </c>
      <c r="M1044" t="str">
        <f>VLOOKUP(Table2[[#This Row],[AgentID]],Sales_Agents!$A$1:C1047,2)</f>
        <v>Chinedu</v>
      </c>
      <c r="N1044" t="str">
        <f>VLOOKUP(Table2[[#This Row],[AgentID]],Sales_Agents!$A$1:C1047,3)</f>
        <v>South</v>
      </c>
    </row>
    <row r="1045" spans="1:14" x14ac:dyDescent="0.25">
      <c r="A1045">
        <v>1044</v>
      </c>
      <c r="B1045" s="1">
        <v>45656</v>
      </c>
      <c r="C1045" s="8" t="str">
        <f>TEXT(Table2[[#This Row],[OrderDate]],"mmm")</f>
        <v>Dec</v>
      </c>
      <c r="D1045">
        <v>3</v>
      </c>
      <c r="E1045">
        <v>1</v>
      </c>
      <c r="F1045">
        <v>16</v>
      </c>
      <c r="G1045" s="3">
        <v>195604</v>
      </c>
      <c r="H1045" s="3">
        <f t="shared" si="32"/>
        <v>3129664</v>
      </c>
      <c r="I1045" s="5">
        <f>Table2[[#This Row],[Total Revenue]]*0.3</f>
        <v>938899.2</v>
      </c>
      <c r="J1045" s="6">
        <f t="shared" si="33"/>
        <v>0.3</v>
      </c>
      <c r="K1045" t="str">
        <f>VLOOKUP(Table2[[#This Row],[ProductID]],Products!$A$1:C1049,2)</f>
        <v>Tablet</v>
      </c>
      <c r="L1045" t="str">
        <f>VLOOKUP(D1045,Products!$A$1:C1049,3)</f>
        <v>Electronics</v>
      </c>
      <c r="M1045" t="str">
        <f>VLOOKUP(Table2[[#This Row],[AgentID]],Sales_Agents!$A$1:C1048,2)</f>
        <v>Akin</v>
      </c>
      <c r="N1045" t="str">
        <f>VLOOKUP(Table2[[#This Row],[AgentID]],Sales_Agents!$A$1:C1048,3)</f>
        <v>West</v>
      </c>
    </row>
    <row r="1046" spans="1:14" x14ac:dyDescent="0.25">
      <c r="A1046">
        <v>1045</v>
      </c>
      <c r="B1046" s="1">
        <v>45378</v>
      </c>
      <c r="C1046" s="8" t="str">
        <f>TEXT(Table2[[#This Row],[OrderDate]],"mmm")</f>
        <v>Mar</v>
      </c>
      <c r="D1046">
        <v>3</v>
      </c>
      <c r="E1046">
        <v>2</v>
      </c>
      <c r="F1046">
        <v>1</v>
      </c>
      <c r="G1046" s="3">
        <v>196829</v>
      </c>
      <c r="H1046" s="3">
        <f t="shared" si="32"/>
        <v>196829</v>
      </c>
      <c r="I1046" s="5">
        <f>Table2[[#This Row],[Total Revenue]]*0.3</f>
        <v>59048.7</v>
      </c>
      <c r="J1046" s="6">
        <f t="shared" si="33"/>
        <v>0.3</v>
      </c>
      <c r="K1046" t="str">
        <f>VLOOKUP(Table2[[#This Row],[ProductID]],Products!$A$1:C1050,2)</f>
        <v>Tablet</v>
      </c>
      <c r="L1046" t="str">
        <f>VLOOKUP(D1046,Products!$A$1:C1050,3)</f>
        <v>Electronics</v>
      </c>
      <c r="M1046" t="str">
        <f>VLOOKUP(Table2[[#This Row],[AgentID]],Sales_Agents!$A$1:C1049,2)</f>
        <v>Blessing</v>
      </c>
      <c r="N1046" t="str">
        <f>VLOOKUP(Table2[[#This Row],[AgentID]],Sales_Agents!$A$1:C1049,3)</f>
        <v>East</v>
      </c>
    </row>
    <row r="1047" spans="1:14" x14ac:dyDescent="0.25">
      <c r="A1047">
        <v>1046</v>
      </c>
      <c r="B1047" s="1">
        <v>45638</v>
      </c>
      <c r="C1047" s="8" t="str">
        <f>TEXT(Table2[[#This Row],[OrderDate]],"mmm")</f>
        <v>Dec</v>
      </c>
      <c r="D1047">
        <v>5</v>
      </c>
      <c r="E1047">
        <v>2</v>
      </c>
      <c r="F1047">
        <v>8</v>
      </c>
      <c r="G1047" s="3">
        <v>123650</v>
      </c>
      <c r="H1047" s="3">
        <f t="shared" si="32"/>
        <v>989200</v>
      </c>
      <c r="I1047" s="5">
        <f>Table2[[#This Row],[Total Revenue]]*0.3</f>
        <v>296760</v>
      </c>
      <c r="J1047" s="6">
        <f t="shared" si="33"/>
        <v>0.3</v>
      </c>
      <c r="K1047" t="str">
        <f>VLOOKUP(Table2[[#This Row],[ProductID]],Products!$A$1:C1051,2)</f>
        <v>Monitor</v>
      </c>
      <c r="L1047" t="str">
        <f>VLOOKUP(D1047,Products!$A$1:C1051,3)</f>
        <v>Accessories</v>
      </c>
      <c r="M1047" t="str">
        <f>VLOOKUP(Table2[[#This Row],[AgentID]],Sales_Agents!$A$1:C1050,2)</f>
        <v>Blessing</v>
      </c>
      <c r="N1047" t="str">
        <f>VLOOKUP(Table2[[#This Row],[AgentID]],Sales_Agents!$A$1:C1050,3)</f>
        <v>East</v>
      </c>
    </row>
    <row r="1048" spans="1:14" x14ac:dyDescent="0.25">
      <c r="A1048">
        <v>1047</v>
      </c>
      <c r="B1048" s="1">
        <v>45352</v>
      </c>
      <c r="C1048" s="8" t="str">
        <f>TEXT(Table2[[#This Row],[OrderDate]],"mmm")</f>
        <v>Mar</v>
      </c>
      <c r="D1048">
        <v>4</v>
      </c>
      <c r="E1048">
        <v>4</v>
      </c>
      <c r="F1048">
        <v>20</v>
      </c>
      <c r="G1048" s="3">
        <v>195723</v>
      </c>
      <c r="H1048" s="3">
        <f t="shared" si="32"/>
        <v>3914460</v>
      </c>
      <c r="I1048" s="5">
        <f>Table2[[#This Row],[Total Revenue]]*0.3</f>
        <v>1174338</v>
      </c>
      <c r="J1048" s="6">
        <f t="shared" si="33"/>
        <v>0.3</v>
      </c>
      <c r="K1048" t="str">
        <f>VLOOKUP(Table2[[#This Row],[ProductID]],Products!$A$1:C1052,2)</f>
        <v>Printer</v>
      </c>
      <c r="L1048" t="str">
        <f>VLOOKUP(D1048,Products!$A$1:C1052,3)</f>
        <v>Accessories</v>
      </c>
      <c r="M1048" t="str">
        <f>VLOOKUP(Table2[[#This Row],[AgentID]],Sales_Agents!$A$1:C1051,2)</f>
        <v>Zainab</v>
      </c>
      <c r="N1048" t="str">
        <f>VLOOKUP(Table2[[#This Row],[AgentID]],Sales_Agents!$A$1:C1051,3)</f>
        <v>North</v>
      </c>
    </row>
    <row r="1049" spans="1:14" x14ac:dyDescent="0.25">
      <c r="A1049">
        <v>1048</v>
      </c>
      <c r="B1049" s="1">
        <v>45509</v>
      </c>
      <c r="C1049" s="8" t="str">
        <f>TEXT(Table2[[#This Row],[OrderDate]],"mmm")</f>
        <v>Aug</v>
      </c>
      <c r="D1049">
        <v>1</v>
      </c>
      <c r="E1049">
        <v>3</v>
      </c>
      <c r="F1049">
        <v>6</v>
      </c>
      <c r="G1049" s="3">
        <v>248621</v>
      </c>
      <c r="H1049" s="3">
        <f t="shared" si="32"/>
        <v>1491726</v>
      </c>
      <c r="I1049" s="5">
        <f>Table2[[#This Row],[Total Revenue]]*0.3</f>
        <v>447517.8</v>
      </c>
      <c r="J1049" s="6">
        <f t="shared" si="33"/>
        <v>0.3</v>
      </c>
      <c r="K1049" t="str">
        <f>VLOOKUP(Table2[[#This Row],[ProductID]],Products!$A$1:C1053,2)</f>
        <v>Laptop</v>
      </c>
      <c r="L1049" t="str">
        <f>VLOOKUP(D1049,Products!$A$1:C1053,3)</f>
        <v>Electronics</v>
      </c>
      <c r="M1049" t="str">
        <f>VLOOKUP(Table2[[#This Row],[AgentID]],Sales_Agents!$A$1:C1052,2)</f>
        <v>Chinedu</v>
      </c>
      <c r="N1049" t="str">
        <f>VLOOKUP(Table2[[#This Row],[AgentID]],Sales_Agents!$A$1:C1052,3)</f>
        <v>South</v>
      </c>
    </row>
    <row r="1050" spans="1:14" x14ac:dyDescent="0.25">
      <c r="A1050">
        <v>1049</v>
      </c>
      <c r="B1050" s="1">
        <v>45365</v>
      </c>
      <c r="C1050" s="8" t="str">
        <f>TEXT(Table2[[#This Row],[OrderDate]],"mmm")</f>
        <v>Mar</v>
      </c>
      <c r="D1050">
        <v>4</v>
      </c>
      <c r="E1050">
        <v>1</v>
      </c>
      <c r="F1050">
        <v>15</v>
      </c>
      <c r="G1050" s="3">
        <v>258874</v>
      </c>
      <c r="H1050" s="3">
        <f t="shared" si="32"/>
        <v>3883110</v>
      </c>
      <c r="I1050" s="5">
        <f>Table2[[#This Row],[Total Revenue]]*0.3</f>
        <v>1164933</v>
      </c>
      <c r="J1050" s="6">
        <f t="shared" si="33"/>
        <v>0.3</v>
      </c>
      <c r="K1050" t="str">
        <f>VLOOKUP(Table2[[#This Row],[ProductID]],Products!$A$1:C1054,2)</f>
        <v>Printer</v>
      </c>
      <c r="L1050" t="str">
        <f>VLOOKUP(D1050,Products!$A$1:C1054,3)</f>
        <v>Accessories</v>
      </c>
      <c r="M1050" t="str">
        <f>VLOOKUP(Table2[[#This Row],[AgentID]],Sales_Agents!$A$1:C1053,2)</f>
        <v>Akin</v>
      </c>
      <c r="N1050" t="str">
        <f>VLOOKUP(Table2[[#This Row],[AgentID]],Sales_Agents!$A$1:C1053,3)</f>
        <v>West</v>
      </c>
    </row>
    <row r="1051" spans="1:14" x14ac:dyDescent="0.25">
      <c r="A1051">
        <v>1050</v>
      </c>
      <c r="B1051" s="1">
        <v>45650</v>
      </c>
      <c r="C1051" s="8" t="str">
        <f>TEXT(Table2[[#This Row],[OrderDate]],"mmm")</f>
        <v>Dec</v>
      </c>
      <c r="D1051">
        <v>4</v>
      </c>
      <c r="E1051">
        <v>1</v>
      </c>
      <c r="F1051">
        <v>4</v>
      </c>
      <c r="G1051" s="3">
        <v>65746</v>
      </c>
      <c r="H1051" s="3">
        <f t="shared" si="32"/>
        <v>262984</v>
      </c>
      <c r="I1051" s="5">
        <f>Table2[[#This Row],[Total Revenue]]*0.3</f>
        <v>78895.199999999997</v>
      </c>
      <c r="J1051" s="6">
        <f t="shared" si="33"/>
        <v>0.3</v>
      </c>
      <c r="K1051" t="str">
        <f>VLOOKUP(Table2[[#This Row],[ProductID]],Products!$A$1:C1055,2)</f>
        <v>Printer</v>
      </c>
      <c r="L1051" t="str">
        <f>VLOOKUP(D1051,Products!$A$1:C1055,3)</f>
        <v>Accessories</v>
      </c>
      <c r="M1051" t="str">
        <f>VLOOKUP(Table2[[#This Row],[AgentID]],Sales_Agents!$A$1:C1054,2)</f>
        <v>Akin</v>
      </c>
      <c r="N1051" t="str">
        <f>VLOOKUP(Table2[[#This Row],[AgentID]],Sales_Agents!$A$1:C1054,3)</f>
        <v>West</v>
      </c>
    </row>
    <row r="1052" spans="1:14" x14ac:dyDescent="0.25">
      <c r="A1052">
        <v>1051</v>
      </c>
      <c r="B1052" s="1">
        <v>45637</v>
      </c>
      <c r="C1052" s="8" t="str">
        <f>TEXT(Table2[[#This Row],[OrderDate]],"mmm")</f>
        <v>Dec</v>
      </c>
      <c r="D1052">
        <v>2</v>
      </c>
      <c r="E1052">
        <v>1</v>
      </c>
      <c r="F1052">
        <v>2</v>
      </c>
      <c r="G1052" s="3">
        <v>198141</v>
      </c>
      <c r="H1052" s="3">
        <f t="shared" si="32"/>
        <v>396282</v>
      </c>
      <c r="I1052" s="5">
        <f>Table2[[#This Row],[Total Revenue]]*0.3</f>
        <v>118884.59999999999</v>
      </c>
      <c r="J1052" s="6">
        <f t="shared" si="33"/>
        <v>0.3</v>
      </c>
      <c r="K1052" t="str">
        <f>VLOOKUP(Table2[[#This Row],[ProductID]],Products!$A$1:C1056,2)</f>
        <v>Phone</v>
      </c>
      <c r="L1052" t="str">
        <f>VLOOKUP(D1052,Products!$A$1:C1056,3)</f>
        <v>Electronics</v>
      </c>
      <c r="M1052" t="str">
        <f>VLOOKUP(Table2[[#This Row],[AgentID]],Sales_Agents!$A$1:C1055,2)</f>
        <v>Akin</v>
      </c>
      <c r="N1052" t="str">
        <f>VLOOKUP(Table2[[#This Row],[AgentID]],Sales_Agents!$A$1:C1055,3)</f>
        <v>West</v>
      </c>
    </row>
    <row r="1053" spans="1:14" x14ac:dyDescent="0.25">
      <c r="A1053">
        <v>1052</v>
      </c>
      <c r="B1053" s="1">
        <v>45510</v>
      </c>
      <c r="C1053" s="8" t="str">
        <f>TEXT(Table2[[#This Row],[OrderDate]],"mmm")</f>
        <v>Aug</v>
      </c>
      <c r="D1053">
        <v>3</v>
      </c>
      <c r="E1053">
        <v>2</v>
      </c>
      <c r="F1053">
        <v>9</v>
      </c>
      <c r="G1053" s="3">
        <v>53947</v>
      </c>
      <c r="H1053" s="3">
        <f t="shared" si="32"/>
        <v>485523</v>
      </c>
      <c r="I1053" s="5">
        <f>Table2[[#This Row],[Total Revenue]]*0.3</f>
        <v>145656.9</v>
      </c>
      <c r="J1053" s="6">
        <f t="shared" si="33"/>
        <v>0.3</v>
      </c>
      <c r="K1053" t="str">
        <f>VLOOKUP(Table2[[#This Row],[ProductID]],Products!$A$1:C1057,2)</f>
        <v>Tablet</v>
      </c>
      <c r="L1053" t="str">
        <f>VLOOKUP(D1053,Products!$A$1:C1057,3)</f>
        <v>Electronics</v>
      </c>
      <c r="M1053" t="str">
        <f>VLOOKUP(Table2[[#This Row],[AgentID]],Sales_Agents!$A$1:C1056,2)</f>
        <v>Blessing</v>
      </c>
      <c r="N1053" t="str">
        <f>VLOOKUP(Table2[[#This Row],[AgentID]],Sales_Agents!$A$1:C1056,3)</f>
        <v>East</v>
      </c>
    </row>
    <row r="1054" spans="1:14" x14ac:dyDescent="0.25">
      <c r="A1054">
        <v>1053</v>
      </c>
      <c r="B1054" s="1">
        <v>45298</v>
      </c>
      <c r="C1054" s="8" t="str">
        <f>TEXT(Table2[[#This Row],[OrderDate]],"mmm")</f>
        <v>Jan</v>
      </c>
      <c r="D1054">
        <v>4</v>
      </c>
      <c r="E1054">
        <v>1</v>
      </c>
      <c r="F1054">
        <v>17</v>
      </c>
      <c r="G1054" s="3">
        <v>363371</v>
      </c>
      <c r="H1054" s="3">
        <f t="shared" si="32"/>
        <v>6177307</v>
      </c>
      <c r="I1054" s="5">
        <f>Table2[[#This Row],[Total Revenue]]*0.3</f>
        <v>1853192.0999999999</v>
      </c>
      <c r="J1054" s="6">
        <f t="shared" si="33"/>
        <v>0.3</v>
      </c>
      <c r="K1054" t="str">
        <f>VLOOKUP(Table2[[#This Row],[ProductID]],Products!$A$1:C1058,2)</f>
        <v>Printer</v>
      </c>
      <c r="L1054" t="str">
        <f>VLOOKUP(D1054,Products!$A$1:C1058,3)</f>
        <v>Accessories</v>
      </c>
      <c r="M1054" t="str">
        <f>VLOOKUP(Table2[[#This Row],[AgentID]],Sales_Agents!$A$1:C1057,2)</f>
        <v>Akin</v>
      </c>
      <c r="N1054" t="str">
        <f>VLOOKUP(Table2[[#This Row],[AgentID]],Sales_Agents!$A$1:C1057,3)</f>
        <v>West</v>
      </c>
    </row>
    <row r="1055" spans="1:14" x14ac:dyDescent="0.25">
      <c r="A1055">
        <v>1054</v>
      </c>
      <c r="B1055" s="1">
        <v>45549</v>
      </c>
      <c r="C1055" s="8" t="str">
        <f>TEXT(Table2[[#This Row],[OrderDate]],"mmm")</f>
        <v>Sept</v>
      </c>
      <c r="D1055">
        <v>4</v>
      </c>
      <c r="E1055">
        <v>4</v>
      </c>
      <c r="F1055">
        <v>2</v>
      </c>
      <c r="G1055" s="3">
        <v>53560</v>
      </c>
      <c r="H1055" s="3">
        <f t="shared" si="32"/>
        <v>107120</v>
      </c>
      <c r="I1055" s="5">
        <f>Table2[[#This Row],[Total Revenue]]*0.3</f>
        <v>32136</v>
      </c>
      <c r="J1055" s="6">
        <f t="shared" si="33"/>
        <v>0.3</v>
      </c>
      <c r="K1055" t="str">
        <f>VLOOKUP(Table2[[#This Row],[ProductID]],Products!$A$1:C1059,2)</f>
        <v>Printer</v>
      </c>
      <c r="L1055" t="str">
        <f>VLOOKUP(D1055,Products!$A$1:C1059,3)</f>
        <v>Accessories</v>
      </c>
      <c r="M1055" t="str">
        <f>VLOOKUP(Table2[[#This Row],[AgentID]],Sales_Agents!$A$1:C1058,2)</f>
        <v>Zainab</v>
      </c>
      <c r="N1055" t="str">
        <f>VLOOKUP(Table2[[#This Row],[AgentID]],Sales_Agents!$A$1:C1058,3)</f>
        <v>North</v>
      </c>
    </row>
    <row r="1056" spans="1:14" x14ac:dyDescent="0.25">
      <c r="A1056">
        <v>1055</v>
      </c>
      <c r="B1056" s="1">
        <v>45617</v>
      </c>
      <c r="C1056" s="8" t="str">
        <f>TEXT(Table2[[#This Row],[OrderDate]],"mmm")</f>
        <v>Nov</v>
      </c>
      <c r="D1056">
        <v>1</v>
      </c>
      <c r="E1056">
        <v>2</v>
      </c>
      <c r="F1056">
        <v>19</v>
      </c>
      <c r="G1056" s="3">
        <v>298458</v>
      </c>
      <c r="H1056" s="3">
        <f t="shared" si="32"/>
        <v>5670702</v>
      </c>
      <c r="I1056" s="5">
        <f>Table2[[#This Row],[Total Revenue]]*0.3</f>
        <v>1701210.5999999999</v>
      </c>
      <c r="J1056" s="6">
        <f t="shared" si="33"/>
        <v>0.3</v>
      </c>
      <c r="K1056" t="str">
        <f>VLOOKUP(Table2[[#This Row],[ProductID]],Products!$A$1:C1060,2)</f>
        <v>Laptop</v>
      </c>
      <c r="L1056" t="str">
        <f>VLOOKUP(D1056,Products!$A$1:C1060,3)</f>
        <v>Electronics</v>
      </c>
      <c r="M1056" t="str">
        <f>VLOOKUP(Table2[[#This Row],[AgentID]],Sales_Agents!$A$1:C1059,2)</f>
        <v>Blessing</v>
      </c>
      <c r="N1056" t="str">
        <f>VLOOKUP(Table2[[#This Row],[AgentID]],Sales_Agents!$A$1:C1059,3)</f>
        <v>East</v>
      </c>
    </row>
    <row r="1057" spans="1:14" x14ac:dyDescent="0.25">
      <c r="A1057">
        <v>1056</v>
      </c>
      <c r="B1057" s="1">
        <v>45465</v>
      </c>
      <c r="C1057" s="8" t="str">
        <f>TEXT(Table2[[#This Row],[OrderDate]],"mmm")</f>
        <v>Jun</v>
      </c>
      <c r="D1057">
        <v>4</v>
      </c>
      <c r="E1057">
        <v>1</v>
      </c>
      <c r="F1057">
        <v>2</v>
      </c>
      <c r="G1057" s="3">
        <v>126246</v>
      </c>
      <c r="H1057" s="3">
        <f t="shared" si="32"/>
        <v>252492</v>
      </c>
      <c r="I1057" s="5">
        <f>Table2[[#This Row],[Total Revenue]]*0.3</f>
        <v>75747.599999999991</v>
      </c>
      <c r="J1057" s="6">
        <f t="shared" si="33"/>
        <v>0.3</v>
      </c>
      <c r="K1057" t="str">
        <f>VLOOKUP(Table2[[#This Row],[ProductID]],Products!$A$1:C1061,2)</f>
        <v>Printer</v>
      </c>
      <c r="L1057" t="str">
        <f>VLOOKUP(D1057,Products!$A$1:C1061,3)</f>
        <v>Accessories</v>
      </c>
      <c r="M1057" t="str">
        <f>VLOOKUP(Table2[[#This Row],[AgentID]],Sales_Agents!$A$1:C1060,2)</f>
        <v>Akin</v>
      </c>
      <c r="N1057" t="str">
        <f>VLOOKUP(Table2[[#This Row],[AgentID]],Sales_Agents!$A$1:C1060,3)</f>
        <v>West</v>
      </c>
    </row>
    <row r="1058" spans="1:14" x14ac:dyDescent="0.25">
      <c r="A1058">
        <v>1057</v>
      </c>
      <c r="B1058" s="1">
        <v>45487</v>
      </c>
      <c r="C1058" s="8" t="str">
        <f>TEXT(Table2[[#This Row],[OrderDate]],"mmm")</f>
        <v>Jul</v>
      </c>
      <c r="D1058">
        <v>1</v>
      </c>
      <c r="E1058">
        <v>2</v>
      </c>
      <c r="F1058">
        <v>4</v>
      </c>
      <c r="G1058" s="3">
        <v>138187</v>
      </c>
      <c r="H1058" s="3">
        <f t="shared" si="32"/>
        <v>552748</v>
      </c>
      <c r="I1058" s="5">
        <f>Table2[[#This Row],[Total Revenue]]*0.3</f>
        <v>165824.4</v>
      </c>
      <c r="J1058" s="6">
        <f t="shared" si="33"/>
        <v>0.3</v>
      </c>
      <c r="K1058" t="str">
        <f>VLOOKUP(Table2[[#This Row],[ProductID]],Products!$A$1:C1062,2)</f>
        <v>Laptop</v>
      </c>
      <c r="L1058" t="str">
        <f>VLOOKUP(D1058,Products!$A$1:C1062,3)</f>
        <v>Electronics</v>
      </c>
      <c r="M1058" t="str">
        <f>VLOOKUP(Table2[[#This Row],[AgentID]],Sales_Agents!$A$1:C1061,2)</f>
        <v>Blessing</v>
      </c>
      <c r="N1058" t="str">
        <f>VLOOKUP(Table2[[#This Row],[AgentID]],Sales_Agents!$A$1:C1061,3)</f>
        <v>East</v>
      </c>
    </row>
    <row r="1059" spans="1:14" x14ac:dyDescent="0.25">
      <c r="A1059">
        <v>1058</v>
      </c>
      <c r="B1059" s="1">
        <v>45405</v>
      </c>
      <c r="C1059" s="8" t="str">
        <f>TEXT(Table2[[#This Row],[OrderDate]],"mmm")</f>
        <v>Apr</v>
      </c>
      <c r="D1059">
        <v>1</v>
      </c>
      <c r="E1059">
        <v>2</v>
      </c>
      <c r="F1059">
        <v>8</v>
      </c>
      <c r="G1059" s="3">
        <v>301304</v>
      </c>
      <c r="H1059" s="3">
        <f t="shared" si="32"/>
        <v>2410432</v>
      </c>
      <c r="I1059" s="5">
        <f>Table2[[#This Row],[Total Revenue]]*0.3</f>
        <v>723129.6</v>
      </c>
      <c r="J1059" s="6">
        <f t="shared" si="33"/>
        <v>0.3</v>
      </c>
      <c r="K1059" t="str">
        <f>VLOOKUP(Table2[[#This Row],[ProductID]],Products!$A$1:C1063,2)</f>
        <v>Laptop</v>
      </c>
      <c r="L1059" t="str">
        <f>VLOOKUP(D1059,Products!$A$1:C1063,3)</f>
        <v>Electronics</v>
      </c>
      <c r="M1059" t="str">
        <f>VLOOKUP(Table2[[#This Row],[AgentID]],Sales_Agents!$A$1:C1062,2)</f>
        <v>Blessing</v>
      </c>
      <c r="N1059" t="str">
        <f>VLOOKUP(Table2[[#This Row],[AgentID]],Sales_Agents!$A$1:C1062,3)</f>
        <v>East</v>
      </c>
    </row>
    <row r="1060" spans="1:14" x14ac:dyDescent="0.25">
      <c r="A1060">
        <v>1059</v>
      </c>
      <c r="B1060" s="1">
        <v>45570</v>
      </c>
      <c r="C1060" s="8" t="str">
        <f>TEXT(Table2[[#This Row],[OrderDate]],"mmm")</f>
        <v>Oct</v>
      </c>
      <c r="D1060">
        <v>3</v>
      </c>
      <c r="E1060">
        <v>1</v>
      </c>
      <c r="F1060">
        <v>10</v>
      </c>
      <c r="G1060" s="3">
        <v>242232</v>
      </c>
      <c r="H1060" s="3">
        <f t="shared" si="32"/>
        <v>2422320</v>
      </c>
      <c r="I1060" s="5">
        <f>Table2[[#This Row],[Total Revenue]]*0.3</f>
        <v>726696</v>
      </c>
      <c r="J1060" s="6">
        <f t="shared" si="33"/>
        <v>0.3</v>
      </c>
      <c r="K1060" t="str">
        <f>VLOOKUP(Table2[[#This Row],[ProductID]],Products!$A$1:C1064,2)</f>
        <v>Tablet</v>
      </c>
      <c r="L1060" t="str">
        <f>VLOOKUP(D1060,Products!$A$1:C1064,3)</f>
        <v>Electronics</v>
      </c>
      <c r="M1060" t="str">
        <f>VLOOKUP(Table2[[#This Row],[AgentID]],Sales_Agents!$A$1:C1063,2)</f>
        <v>Akin</v>
      </c>
      <c r="N1060" t="str">
        <f>VLOOKUP(Table2[[#This Row],[AgentID]],Sales_Agents!$A$1:C1063,3)</f>
        <v>West</v>
      </c>
    </row>
    <row r="1061" spans="1:14" x14ac:dyDescent="0.25">
      <c r="A1061">
        <v>1060</v>
      </c>
      <c r="B1061" s="1">
        <v>45516</v>
      </c>
      <c r="C1061" s="8" t="str">
        <f>TEXT(Table2[[#This Row],[OrderDate]],"mmm")</f>
        <v>Aug</v>
      </c>
      <c r="D1061">
        <v>2</v>
      </c>
      <c r="E1061">
        <v>2</v>
      </c>
      <c r="F1061">
        <v>4</v>
      </c>
      <c r="G1061" s="3">
        <v>317103</v>
      </c>
      <c r="H1061" s="3">
        <f t="shared" si="32"/>
        <v>1268412</v>
      </c>
      <c r="I1061" s="5">
        <f>Table2[[#This Row],[Total Revenue]]*0.3</f>
        <v>380523.6</v>
      </c>
      <c r="J1061" s="6">
        <f t="shared" si="33"/>
        <v>0.3</v>
      </c>
      <c r="K1061" t="str">
        <f>VLOOKUP(Table2[[#This Row],[ProductID]],Products!$A$1:C1065,2)</f>
        <v>Phone</v>
      </c>
      <c r="L1061" t="str">
        <f>VLOOKUP(D1061,Products!$A$1:C1065,3)</f>
        <v>Electronics</v>
      </c>
      <c r="M1061" t="str">
        <f>VLOOKUP(Table2[[#This Row],[AgentID]],Sales_Agents!$A$1:C1064,2)</f>
        <v>Blessing</v>
      </c>
      <c r="N1061" t="str">
        <f>VLOOKUP(Table2[[#This Row],[AgentID]],Sales_Agents!$A$1:C1064,3)</f>
        <v>East</v>
      </c>
    </row>
    <row r="1062" spans="1:14" x14ac:dyDescent="0.25">
      <c r="A1062">
        <v>1061</v>
      </c>
      <c r="B1062" s="1">
        <v>45529</v>
      </c>
      <c r="C1062" s="8" t="str">
        <f>TEXT(Table2[[#This Row],[OrderDate]],"mmm")</f>
        <v>Aug</v>
      </c>
      <c r="D1062">
        <v>4</v>
      </c>
      <c r="E1062">
        <v>1</v>
      </c>
      <c r="F1062">
        <v>3</v>
      </c>
      <c r="G1062" s="3">
        <v>284842</v>
      </c>
      <c r="H1062" s="3">
        <f t="shared" si="32"/>
        <v>854526</v>
      </c>
      <c r="I1062" s="5">
        <f>Table2[[#This Row],[Total Revenue]]*0.3</f>
        <v>256357.8</v>
      </c>
      <c r="J1062" s="6">
        <f t="shared" si="33"/>
        <v>0.3</v>
      </c>
      <c r="K1062" t="str">
        <f>VLOOKUP(Table2[[#This Row],[ProductID]],Products!$A$1:C1066,2)</f>
        <v>Printer</v>
      </c>
      <c r="L1062" t="str">
        <f>VLOOKUP(D1062,Products!$A$1:C1066,3)</f>
        <v>Accessories</v>
      </c>
      <c r="M1062" t="str">
        <f>VLOOKUP(Table2[[#This Row],[AgentID]],Sales_Agents!$A$1:C1065,2)</f>
        <v>Akin</v>
      </c>
      <c r="N1062" t="str">
        <f>VLOOKUP(Table2[[#This Row],[AgentID]],Sales_Agents!$A$1:C1065,3)</f>
        <v>West</v>
      </c>
    </row>
    <row r="1063" spans="1:14" x14ac:dyDescent="0.25">
      <c r="A1063">
        <v>1062</v>
      </c>
      <c r="B1063" s="1">
        <v>45310</v>
      </c>
      <c r="C1063" s="8" t="str">
        <f>TEXT(Table2[[#This Row],[OrderDate]],"mmm")</f>
        <v>Jan</v>
      </c>
      <c r="D1063">
        <v>3</v>
      </c>
      <c r="E1063">
        <v>2</v>
      </c>
      <c r="F1063">
        <v>13</v>
      </c>
      <c r="G1063" s="3">
        <v>323914</v>
      </c>
      <c r="H1063" s="3">
        <f t="shared" si="32"/>
        <v>4210882</v>
      </c>
      <c r="I1063" s="5">
        <f>Table2[[#This Row],[Total Revenue]]*0.3</f>
        <v>1263264.5999999999</v>
      </c>
      <c r="J1063" s="6">
        <f t="shared" si="33"/>
        <v>0.3</v>
      </c>
      <c r="K1063" t="str">
        <f>VLOOKUP(Table2[[#This Row],[ProductID]],Products!$A$1:C1067,2)</f>
        <v>Tablet</v>
      </c>
      <c r="L1063" t="str">
        <f>VLOOKUP(D1063,Products!$A$1:C1067,3)</f>
        <v>Electronics</v>
      </c>
      <c r="M1063" t="str">
        <f>VLOOKUP(Table2[[#This Row],[AgentID]],Sales_Agents!$A$1:C1066,2)</f>
        <v>Blessing</v>
      </c>
      <c r="N1063" t="str">
        <f>VLOOKUP(Table2[[#This Row],[AgentID]],Sales_Agents!$A$1:C1066,3)</f>
        <v>East</v>
      </c>
    </row>
    <row r="1064" spans="1:14" x14ac:dyDescent="0.25">
      <c r="A1064">
        <v>1063</v>
      </c>
      <c r="B1064" s="1">
        <v>45318</v>
      </c>
      <c r="C1064" s="8" t="str">
        <f>TEXT(Table2[[#This Row],[OrderDate]],"mmm")</f>
        <v>Jan</v>
      </c>
      <c r="D1064">
        <v>2</v>
      </c>
      <c r="E1064">
        <v>2</v>
      </c>
      <c r="F1064">
        <v>18</v>
      </c>
      <c r="G1064" s="3">
        <v>110913</v>
      </c>
      <c r="H1064" s="3">
        <f t="shared" si="32"/>
        <v>1996434</v>
      </c>
      <c r="I1064" s="5">
        <f>Table2[[#This Row],[Total Revenue]]*0.3</f>
        <v>598930.19999999995</v>
      </c>
      <c r="J1064" s="6">
        <f t="shared" si="33"/>
        <v>0.3</v>
      </c>
      <c r="K1064" t="str">
        <f>VLOOKUP(Table2[[#This Row],[ProductID]],Products!$A$1:C1068,2)</f>
        <v>Phone</v>
      </c>
      <c r="L1064" t="str">
        <f>VLOOKUP(D1064,Products!$A$1:C1068,3)</f>
        <v>Electronics</v>
      </c>
      <c r="M1064" t="str">
        <f>VLOOKUP(Table2[[#This Row],[AgentID]],Sales_Agents!$A$1:C1067,2)</f>
        <v>Blessing</v>
      </c>
      <c r="N1064" t="str">
        <f>VLOOKUP(Table2[[#This Row],[AgentID]],Sales_Agents!$A$1:C1067,3)</f>
        <v>East</v>
      </c>
    </row>
    <row r="1065" spans="1:14" x14ac:dyDescent="0.25">
      <c r="A1065">
        <v>1064</v>
      </c>
      <c r="B1065" s="1">
        <v>45506</v>
      </c>
      <c r="C1065" s="8" t="str">
        <f>TEXT(Table2[[#This Row],[OrderDate]],"mmm")</f>
        <v>Aug</v>
      </c>
      <c r="D1065">
        <v>1</v>
      </c>
      <c r="E1065">
        <v>1</v>
      </c>
      <c r="F1065">
        <v>10</v>
      </c>
      <c r="G1065" s="3">
        <v>308981</v>
      </c>
      <c r="H1065" s="3">
        <f t="shared" si="32"/>
        <v>3089810</v>
      </c>
      <c r="I1065" s="5">
        <f>Table2[[#This Row],[Total Revenue]]*0.3</f>
        <v>926943</v>
      </c>
      <c r="J1065" s="6">
        <f t="shared" si="33"/>
        <v>0.3</v>
      </c>
      <c r="K1065" t="str">
        <f>VLOOKUP(Table2[[#This Row],[ProductID]],Products!$A$1:C1069,2)</f>
        <v>Laptop</v>
      </c>
      <c r="L1065" t="str">
        <f>VLOOKUP(D1065,Products!$A$1:C1069,3)</f>
        <v>Electronics</v>
      </c>
      <c r="M1065" t="str">
        <f>VLOOKUP(Table2[[#This Row],[AgentID]],Sales_Agents!$A$1:C1068,2)</f>
        <v>Akin</v>
      </c>
      <c r="N1065" t="str">
        <f>VLOOKUP(Table2[[#This Row],[AgentID]],Sales_Agents!$A$1:C1068,3)</f>
        <v>West</v>
      </c>
    </row>
    <row r="1066" spans="1:14" x14ac:dyDescent="0.25">
      <c r="A1066">
        <v>1065</v>
      </c>
      <c r="B1066" s="1">
        <v>45445</v>
      </c>
      <c r="C1066" s="8" t="str">
        <f>TEXT(Table2[[#This Row],[OrderDate]],"mmm")</f>
        <v>Jun</v>
      </c>
      <c r="D1066">
        <v>4</v>
      </c>
      <c r="E1066">
        <v>3</v>
      </c>
      <c r="F1066">
        <v>18</v>
      </c>
      <c r="G1066" s="3">
        <v>306657</v>
      </c>
      <c r="H1066" s="3">
        <f t="shared" si="32"/>
        <v>5519826</v>
      </c>
      <c r="I1066" s="5">
        <f>Table2[[#This Row],[Total Revenue]]*0.3</f>
        <v>1655947.8</v>
      </c>
      <c r="J1066" s="6">
        <f t="shared" si="33"/>
        <v>0.3</v>
      </c>
      <c r="K1066" t="str">
        <f>VLOOKUP(Table2[[#This Row],[ProductID]],Products!$A$1:C1070,2)</f>
        <v>Printer</v>
      </c>
      <c r="L1066" t="str">
        <f>VLOOKUP(D1066,Products!$A$1:C1070,3)</f>
        <v>Accessories</v>
      </c>
      <c r="M1066" t="str">
        <f>VLOOKUP(Table2[[#This Row],[AgentID]],Sales_Agents!$A$1:C1069,2)</f>
        <v>Chinedu</v>
      </c>
      <c r="N1066" t="str">
        <f>VLOOKUP(Table2[[#This Row],[AgentID]],Sales_Agents!$A$1:C1069,3)</f>
        <v>South</v>
      </c>
    </row>
    <row r="1067" spans="1:14" x14ac:dyDescent="0.25">
      <c r="A1067">
        <v>1066</v>
      </c>
      <c r="B1067" s="1">
        <v>45375</v>
      </c>
      <c r="C1067" s="8" t="str">
        <f>TEXT(Table2[[#This Row],[OrderDate]],"mmm")</f>
        <v>Mar</v>
      </c>
      <c r="D1067">
        <v>3</v>
      </c>
      <c r="E1067">
        <v>3</v>
      </c>
      <c r="F1067">
        <v>4</v>
      </c>
      <c r="G1067" s="3">
        <v>334111</v>
      </c>
      <c r="H1067" s="3">
        <f t="shared" si="32"/>
        <v>1336444</v>
      </c>
      <c r="I1067" s="5">
        <f>Table2[[#This Row],[Total Revenue]]*0.3</f>
        <v>400933.2</v>
      </c>
      <c r="J1067" s="6">
        <f t="shared" si="33"/>
        <v>0.3</v>
      </c>
      <c r="K1067" t="str">
        <f>VLOOKUP(Table2[[#This Row],[ProductID]],Products!$A$1:C1071,2)</f>
        <v>Tablet</v>
      </c>
      <c r="L1067" t="str">
        <f>VLOOKUP(D1067,Products!$A$1:C1071,3)</f>
        <v>Electronics</v>
      </c>
      <c r="M1067" t="str">
        <f>VLOOKUP(Table2[[#This Row],[AgentID]],Sales_Agents!$A$1:C1070,2)</f>
        <v>Chinedu</v>
      </c>
      <c r="N1067" t="str">
        <f>VLOOKUP(Table2[[#This Row],[AgentID]],Sales_Agents!$A$1:C1070,3)</f>
        <v>South</v>
      </c>
    </row>
    <row r="1068" spans="1:14" x14ac:dyDescent="0.25">
      <c r="A1068">
        <v>1067</v>
      </c>
      <c r="B1068" s="1">
        <v>45453</v>
      </c>
      <c r="C1068" s="8" t="str">
        <f>TEXT(Table2[[#This Row],[OrderDate]],"mmm")</f>
        <v>Jun</v>
      </c>
      <c r="D1068">
        <v>5</v>
      </c>
      <c r="E1068">
        <v>4</v>
      </c>
      <c r="F1068">
        <v>12</v>
      </c>
      <c r="G1068" s="3">
        <v>396396</v>
      </c>
      <c r="H1068" s="3">
        <f t="shared" si="32"/>
        <v>4756752</v>
      </c>
      <c r="I1068" s="5">
        <f>Table2[[#This Row],[Total Revenue]]*0.3</f>
        <v>1427025.5999999999</v>
      </c>
      <c r="J1068" s="6">
        <f t="shared" si="33"/>
        <v>0.3</v>
      </c>
      <c r="K1068" t="str">
        <f>VLOOKUP(Table2[[#This Row],[ProductID]],Products!$A$1:C1072,2)</f>
        <v>Monitor</v>
      </c>
      <c r="L1068" t="str">
        <f>VLOOKUP(D1068,Products!$A$1:C1072,3)</f>
        <v>Accessories</v>
      </c>
      <c r="M1068" t="str">
        <f>VLOOKUP(Table2[[#This Row],[AgentID]],Sales_Agents!$A$1:C1071,2)</f>
        <v>Zainab</v>
      </c>
      <c r="N1068" t="str">
        <f>VLOOKUP(Table2[[#This Row],[AgentID]],Sales_Agents!$A$1:C1071,3)</f>
        <v>North</v>
      </c>
    </row>
    <row r="1069" spans="1:14" x14ac:dyDescent="0.25">
      <c r="A1069">
        <v>1068</v>
      </c>
      <c r="B1069" s="1">
        <v>45422</v>
      </c>
      <c r="C1069" s="8" t="str">
        <f>TEXT(Table2[[#This Row],[OrderDate]],"mmm")</f>
        <v>May</v>
      </c>
      <c r="D1069">
        <v>3</v>
      </c>
      <c r="E1069">
        <v>3</v>
      </c>
      <c r="F1069">
        <v>8</v>
      </c>
      <c r="G1069" s="3">
        <v>189715</v>
      </c>
      <c r="H1069" s="3">
        <f t="shared" si="32"/>
        <v>1517720</v>
      </c>
      <c r="I1069" s="5">
        <f>Table2[[#This Row],[Total Revenue]]*0.3</f>
        <v>455316</v>
      </c>
      <c r="J1069" s="6">
        <f t="shared" si="33"/>
        <v>0.3</v>
      </c>
      <c r="K1069" t="str">
        <f>VLOOKUP(Table2[[#This Row],[ProductID]],Products!$A$1:C1073,2)</f>
        <v>Tablet</v>
      </c>
      <c r="L1069" t="str">
        <f>VLOOKUP(D1069,Products!$A$1:C1073,3)</f>
        <v>Electronics</v>
      </c>
      <c r="M1069" t="str">
        <f>VLOOKUP(Table2[[#This Row],[AgentID]],Sales_Agents!$A$1:C1072,2)</f>
        <v>Chinedu</v>
      </c>
      <c r="N1069" t="str">
        <f>VLOOKUP(Table2[[#This Row],[AgentID]],Sales_Agents!$A$1:C1072,3)</f>
        <v>South</v>
      </c>
    </row>
    <row r="1070" spans="1:14" x14ac:dyDescent="0.25">
      <c r="A1070">
        <v>1069</v>
      </c>
      <c r="B1070" s="1">
        <v>45557</v>
      </c>
      <c r="C1070" s="8" t="str">
        <f>TEXT(Table2[[#This Row],[OrderDate]],"mmm")</f>
        <v>Sept</v>
      </c>
      <c r="D1070">
        <v>1</v>
      </c>
      <c r="E1070">
        <v>2</v>
      </c>
      <c r="F1070">
        <v>2</v>
      </c>
      <c r="G1070" s="3">
        <v>208387</v>
      </c>
      <c r="H1070" s="3">
        <f t="shared" si="32"/>
        <v>416774</v>
      </c>
      <c r="I1070" s="5">
        <f>Table2[[#This Row],[Total Revenue]]*0.3</f>
        <v>125032.2</v>
      </c>
      <c r="J1070" s="6">
        <f t="shared" si="33"/>
        <v>0.3</v>
      </c>
      <c r="K1070" t="str">
        <f>VLOOKUP(Table2[[#This Row],[ProductID]],Products!$A$1:C1074,2)</f>
        <v>Laptop</v>
      </c>
      <c r="L1070" t="str">
        <f>VLOOKUP(D1070,Products!$A$1:C1074,3)</f>
        <v>Electronics</v>
      </c>
      <c r="M1070" t="str">
        <f>VLOOKUP(Table2[[#This Row],[AgentID]],Sales_Agents!$A$1:C1073,2)</f>
        <v>Blessing</v>
      </c>
      <c r="N1070" t="str">
        <f>VLOOKUP(Table2[[#This Row],[AgentID]],Sales_Agents!$A$1:C1073,3)</f>
        <v>East</v>
      </c>
    </row>
    <row r="1071" spans="1:14" x14ac:dyDescent="0.25">
      <c r="A1071">
        <v>1070</v>
      </c>
      <c r="B1071" s="1">
        <v>45379</v>
      </c>
      <c r="C1071" s="8" t="str">
        <f>TEXT(Table2[[#This Row],[OrderDate]],"mmm")</f>
        <v>Mar</v>
      </c>
      <c r="D1071">
        <v>4</v>
      </c>
      <c r="E1071">
        <v>3</v>
      </c>
      <c r="F1071">
        <v>3</v>
      </c>
      <c r="G1071" s="3">
        <v>344290</v>
      </c>
      <c r="H1071" s="3">
        <f t="shared" si="32"/>
        <v>1032870</v>
      </c>
      <c r="I1071" s="5">
        <f>Table2[[#This Row],[Total Revenue]]*0.3</f>
        <v>309861</v>
      </c>
      <c r="J1071" s="6">
        <f t="shared" si="33"/>
        <v>0.3</v>
      </c>
      <c r="K1071" t="str">
        <f>VLOOKUP(Table2[[#This Row],[ProductID]],Products!$A$1:C1075,2)</f>
        <v>Printer</v>
      </c>
      <c r="L1071" t="str">
        <f>VLOOKUP(D1071,Products!$A$1:C1075,3)</f>
        <v>Accessories</v>
      </c>
      <c r="M1071" t="str">
        <f>VLOOKUP(Table2[[#This Row],[AgentID]],Sales_Agents!$A$1:C1074,2)</f>
        <v>Chinedu</v>
      </c>
      <c r="N1071" t="str">
        <f>VLOOKUP(Table2[[#This Row],[AgentID]],Sales_Agents!$A$1:C1074,3)</f>
        <v>South</v>
      </c>
    </row>
    <row r="1072" spans="1:14" x14ac:dyDescent="0.25">
      <c r="A1072">
        <v>1071</v>
      </c>
      <c r="B1072" s="1">
        <v>45325</v>
      </c>
      <c r="C1072" s="8" t="str">
        <f>TEXT(Table2[[#This Row],[OrderDate]],"mmm")</f>
        <v>Feb</v>
      </c>
      <c r="D1072">
        <v>2</v>
      </c>
      <c r="E1072">
        <v>2</v>
      </c>
      <c r="F1072">
        <v>8</v>
      </c>
      <c r="G1072" s="3">
        <v>285230</v>
      </c>
      <c r="H1072" s="3">
        <f t="shared" si="32"/>
        <v>2281840</v>
      </c>
      <c r="I1072" s="5">
        <f>Table2[[#This Row],[Total Revenue]]*0.3</f>
        <v>684552</v>
      </c>
      <c r="J1072" s="6">
        <f t="shared" si="33"/>
        <v>0.3</v>
      </c>
      <c r="K1072" t="str">
        <f>VLOOKUP(Table2[[#This Row],[ProductID]],Products!$A$1:C1076,2)</f>
        <v>Phone</v>
      </c>
      <c r="L1072" t="str">
        <f>VLOOKUP(D1072,Products!$A$1:C1076,3)</f>
        <v>Electronics</v>
      </c>
      <c r="M1072" t="str">
        <f>VLOOKUP(Table2[[#This Row],[AgentID]],Sales_Agents!$A$1:C1075,2)</f>
        <v>Blessing</v>
      </c>
      <c r="N1072" t="str">
        <f>VLOOKUP(Table2[[#This Row],[AgentID]],Sales_Agents!$A$1:C1075,3)</f>
        <v>East</v>
      </c>
    </row>
    <row r="1073" spans="1:14" x14ac:dyDescent="0.25">
      <c r="A1073">
        <v>1072</v>
      </c>
      <c r="B1073" s="1">
        <v>45334</v>
      </c>
      <c r="C1073" s="8" t="str">
        <f>TEXT(Table2[[#This Row],[OrderDate]],"mmm")</f>
        <v>Feb</v>
      </c>
      <c r="D1073">
        <v>3</v>
      </c>
      <c r="E1073">
        <v>3</v>
      </c>
      <c r="F1073">
        <v>9</v>
      </c>
      <c r="G1073" s="3">
        <v>97465</v>
      </c>
      <c r="H1073" s="3">
        <f t="shared" si="32"/>
        <v>877185</v>
      </c>
      <c r="I1073" s="5">
        <f>Table2[[#This Row],[Total Revenue]]*0.3</f>
        <v>263155.5</v>
      </c>
      <c r="J1073" s="6">
        <f t="shared" si="33"/>
        <v>0.3</v>
      </c>
      <c r="K1073" t="str">
        <f>VLOOKUP(Table2[[#This Row],[ProductID]],Products!$A$1:C1077,2)</f>
        <v>Tablet</v>
      </c>
      <c r="L1073" t="str">
        <f>VLOOKUP(D1073,Products!$A$1:C1077,3)</f>
        <v>Electronics</v>
      </c>
      <c r="M1073" t="str">
        <f>VLOOKUP(Table2[[#This Row],[AgentID]],Sales_Agents!$A$1:C1076,2)</f>
        <v>Chinedu</v>
      </c>
      <c r="N1073" t="str">
        <f>VLOOKUP(Table2[[#This Row],[AgentID]],Sales_Agents!$A$1:C1076,3)</f>
        <v>South</v>
      </c>
    </row>
    <row r="1074" spans="1:14" x14ac:dyDescent="0.25">
      <c r="A1074">
        <v>1073</v>
      </c>
      <c r="B1074" s="1">
        <v>45366</v>
      </c>
      <c r="C1074" s="8" t="str">
        <f>TEXT(Table2[[#This Row],[OrderDate]],"mmm")</f>
        <v>Mar</v>
      </c>
      <c r="D1074">
        <v>2</v>
      </c>
      <c r="E1074">
        <v>3</v>
      </c>
      <c r="F1074">
        <v>2</v>
      </c>
      <c r="G1074" s="3">
        <v>331845</v>
      </c>
      <c r="H1074" s="3">
        <f t="shared" si="32"/>
        <v>663690</v>
      </c>
      <c r="I1074" s="5">
        <f>Table2[[#This Row],[Total Revenue]]*0.3</f>
        <v>199107</v>
      </c>
      <c r="J1074" s="6">
        <f t="shared" si="33"/>
        <v>0.3</v>
      </c>
      <c r="K1074" t="str">
        <f>VLOOKUP(Table2[[#This Row],[ProductID]],Products!$A$1:C1078,2)</f>
        <v>Phone</v>
      </c>
      <c r="L1074" t="str">
        <f>VLOOKUP(D1074,Products!$A$1:C1078,3)</f>
        <v>Electronics</v>
      </c>
      <c r="M1074" t="str">
        <f>VLOOKUP(Table2[[#This Row],[AgentID]],Sales_Agents!$A$1:C1077,2)</f>
        <v>Chinedu</v>
      </c>
      <c r="N1074" t="str">
        <f>VLOOKUP(Table2[[#This Row],[AgentID]],Sales_Agents!$A$1:C1077,3)</f>
        <v>South</v>
      </c>
    </row>
    <row r="1075" spans="1:14" x14ac:dyDescent="0.25">
      <c r="A1075">
        <v>1074</v>
      </c>
      <c r="B1075" s="1">
        <v>45319</v>
      </c>
      <c r="C1075" s="8" t="str">
        <f>TEXT(Table2[[#This Row],[OrderDate]],"mmm")</f>
        <v>Jan</v>
      </c>
      <c r="D1075">
        <v>2</v>
      </c>
      <c r="E1075">
        <v>4</v>
      </c>
      <c r="F1075">
        <v>6</v>
      </c>
      <c r="G1075" s="3">
        <v>101507</v>
      </c>
      <c r="H1075" s="3">
        <f t="shared" si="32"/>
        <v>609042</v>
      </c>
      <c r="I1075" s="5">
        <f>Table2[[#This Row],[Total Revenue]]*0.3</f>
        <v>182712.6</v>
      </c>
      <c r="J1075" s="6">
        <f t="shared" si="33"/>
        <v>0.3</v>
      </c>
      <c r="K1075" t="str">
        <f>VLOOKUP(Table2[[#This Row],[ProductID]],Products!$A$1:C1079,2)</f>
        <v>Phone</v>
      </c>
      <c r="L1075" t="str">
        <f>VLOOKUP(D1075,Products!$A$1:C1079,3)</f>
        <v>Electronics</v>
      </c>
      <c r="M1075" t="str">
        <f>VLOOKUP(Table2[[#This Row],[AgentID]],Sales_Agents!$A$1:C1078,2)</f>
        <v>Zainab</v>
      </c>
      <c r="N1075" t="str">
        <f>VLOOKUP(Table2[[#This Row],[AgentID]],Sales_Agents!$A$1:C1078,3)</f>
        <v>North</v>
      </c>
    </row>
    <row r="1076" spans="1:14" x14ac:dyDescent="0.25">
      <c r="A1076">
        <v>1075</v>
      </c>
      <c r="B1076" s="1">
        <v>45308</v>
      </c>
      <c r="C1076" s="8" t="str">
        <f>TEXT(Table2[[#This Row],[OrderDate]],"mmm")</f>
        <v>Jan</v>
      </c>
      <c r="D1076">
        <v>5</v>
      </c>
      <c r="E1076">
        <v>4</v>
      </c>
      <c r="F1076">
        <v>8</v>
      </c>
      <c r="G1076" s="3">
        <v>271348</v>
      </c>
      <c r="H1076" s="3">
        <f t="shared" si="32"/>
        <v>2170784</v>
      </c>
      <c r="I1076" s="5">
        <f>Table2[[#This Row],[Total Revenue]]*0.3</f>
        <v>651235.19999999995</v>
      </c>
      <c r="J1076" s="6">
        <f t="shared" si="33"/>
        <v>0.3</v>
      </c>
      <c r="K1076" t="str">
        <f>VLOOKUP(Table2[[#This Row],[ProductID]],Products!$A$1:C1080,2)</f>
        <v>Monitor</v>
      </c>
      <c r="L1076" t="str">
        <f>VLOOKUP(D1076,Products!$A$1:C1080,3)</f>
        <v>Accessories</v>
      </c>
      <c r="M1076" t="str">
        <f>VLOOKUP(Table2[[#This Row],[AgentID]],Sales_Agents!$A$1:C1079,2)</f>
        <v>Zainab</v>
      </c>
      <c r="N1076" t="str">
        <f>VLOOKUP(Table2[[#This Row],[AgentID]],Sales_Agents!$A$1:C1079,3)</f>
        <v>North</v>
      </c>
    </row>
    <row r="1077" spans="1:14" x14ac:dyDescent="0.25">
      <c r="A1077">
        <v>1076</v>
      </c>
      <c r="B1077" s="1">
        <v>45401</v>
      </c>
      <c r="C1077" s="8" t="str">
        <f>TEXT(Table2[[#This Row],[OrderDate]],"mmm")</f>
        <v>Apr</v>
      </c>
      <c r="D1077">
        <v>5</v>
      </c>
      <c r="E1077">
        <v>4</v>
      </c>
      <c r="F1077">
        <v>17</v>
      </c>
      <c r="G1077" s="3">
        <v>196156</v>
      </c>
      <c r="H1077" s="3">
        <f t="shared" si="32"/>
        <v>3334652</v>
      </c>
      <c r="I1077" s="5">
        <f>Table2[[#This Row],[Total Revenue]]*0.3</f>
        <v>1000395.6</v>
      </c>
      <c r="J1077" s="6">
        <f t="shared" si="33"/>
        <v>0.3</v>
      </c>
      <c r="K1077" t="str">
        <f>VLOOKUP(Table2[[#This Row],[ProductID]],Products!$A$1:C1081,2)</f>
        <v>Monitor</v>
      </c>
      <c r="L1077" t="str">
        <f>VLOOKUP(D1077,Products!$A$1:C1081,3)</f>
        <v>Accessories</v>
      </c>
      <c r="M1077" t="str">
        <f>VLOOKUP(Table2[[#This Row],[AgentID]],Sales_Agents!$A$1:C1080,2)</f>
        <v>Zainab</v>
      </c>
      <c r="N1077" t="str">
        <f>VLOOKUP(Table2[[#This Row],[AgentID]],Sales_Agents!$A$1:C1080,3)</f>
        <v>North</v>
      </c>
    </row>
    <row r="1078" spans="1:14" x14ac:dyDescent="0.25">
      <c r="A1078">
        <v>1077</v>
      </c>
      <c r="B1078" s="1">
        <v>45605</v>
      </c>
      <c r="C1078" s="8" t="str">
        <f>TEXT(Table2[[#This Row],[OrderDate]],"mmm")</f>
        <v>Nov</v>
      </c>
      <c r="D1078">
        <v>3</v>
      </c>
      <c r="E1078">
        <v>3</v>
      </c>
      <c r="F1078">
        <v>4</v>
      </c>
      <c r="G1078" s="3">
        <v>392711</v>
      </c>
      <c r="H1078" s="3">
        <f t="shared" si="32"/>
        <v>1570844</v>
      </c>
      <c r="I1078" s="5">
        <f>Table2[[#This Row],[Total Revenue]]*0.3</f>
        <v>471253.2</v>
      </c>
      <c r="J1078" s="6">
        <f t="shared" si="33"/>
        <v>0.3</v>
      </c>
      <c r="K1078" t="str">
        <f>VLOOKUP(Table2[[#This Row],[ProductID]],Products!$A$1:C1082,2)</f>
        <v>Tablet</v>
      </c>
      <c r="L1078" t="str">
        <f>VLOOKUP(D1078,Products!$A$1:C1082,3)</f>
        <v>Electronics</v>
      </c>
      <c r="M1078" t="str">
        <f>VLOOKUP(Table2[[#This Row],[AgentID]],Sales_Agents!$A$1:C1081,2)</f>
        <v>Chinedu</v>
      </c>
      <c r="N1078" t="str">
        <f>VLOOKUP(Table2[[#This Row],[AgentID]],Sales_Agents!$A$1:C1081,3)</f>
        <v>South</v>
      </c>
    </row>
    <row r="1079" spans="1:14" x14ac:dyDescent="0.25">
      <c r="A1079">
        <v>1078</v>
      </c>
      <c r="B1079" s="1">
        <v>45434</v>
      </c>
      <c r="C1079" s="8" t="str">
        <f>TEXT(Table2[[#This Row],[OrderDate]],"mmm")</f>
        <v>May</v>
      </c>
      <c r="D1079">
        <v>3</v>
      </c>
      <c r="E1079">
        <v>2</v>
      </c>
      <c r="F1079">
        <v>20</v>
      </c>
      <c r="G1079" s="3">
        <v>367927</v>
      </c>
      <c r="H1079" s="3">
        <f t="shared" si="32"/>
        <v>7358540</v>
      </c>
      <c r="I1079" s="5">
        <f>Table2[[#This Row],[Total Revenue]]*0.3</f>
        <v>2207562</v>
      </c>
      <c r="J1079" s="6">
        <f t="shared" si="33"/>
        <v>0.3</v>
      </c>
      <c r="K1079" t="str">
        <f>VLOOKUP(Table2[[#This Row],[ProductID]],Products!$A$1:C1083,2)</f>
        <v>Tablet</v>
      </c>
      <c r="L1079" t="str">
        <f>VLOOKUP(D1079,Products!$A$1:C1083,3)</f>
        <v>Electronics</v>
      </c>
      <c r="M1079" t="str">
        <f>VLOOKUP(Table2[[#This Row],[AgentID]],Sales_Agents!$A$1:C1082,2)</f>
        <v>Blessing</v>
      </c>
      <c r="N1079" t="str">
        <f>VLOOKUP(Table2[[#This Row],[AgentID]],Sales_Agents!$A$1:C1082,3)</f>
        <v>East</v>
      </c>
    </row>
    <row r="1080" spans="1:14" x14ac:dyDescent="0.25">
      <c r="A1080">
        <v>1079</v>
      </c>
      <c r="B1080" s="1">
        <v>45445</v>
      </c>
      <c r="C1080" s="8" t="str">
        <f>TEXT(Table2[[#This Row],[OrderDate]],"mmm")</f>
        <v>Jun</v>
      </c>
      <c r="D1080">
        <v>5</v>
      </c>
      <c r="E1080">
        <v>4</v>
      </c>
      <c r="F1080">
        <v>18</v>
      </c>
      <c r="G1080" s="3">
        <v>54047</v>
      </c>
      <c r="H1080" s="3">
        <f t="shared" si="32"/>
        <v>972846</v>
      </c>
      <c r="I1080" s="5">
        <f>Table2[[#This Row],[Total Revenue]]*0.3</f>
        <v>291853.8</v>
      </c>
      <c r="J1080" s="6">
        <f t="shared" si="33"/>
        <v>0.3</v>
      </c>
      <c r="K1080" t="str">
        <f>VLOOKUP(Table2[[#This Row],[ProductID]],Products!$A$1:C1084,2)</f>
        <v>Monitor</v>
      </c>
      <c r="L1080" t="str">
        <f>VLOOKUP(D1080,Products!$A$1:C1084,3)</f>
        <v>Accessories</v>
      </c>
      <c r="M1080" t="str">
        <f>VLOOKUP(Table2[[#This Row],[AgentID]],Sales_Agents!$A$1:C1083,2)</f>
        <v>Zainab</v>
      </c>
      <c r="N1080" t="str">
        <f>VLOOKUP(Table2[[#This Row],[AgentID]],Sales_Agents!$A$1:C1083,3)</f>
        <v>North</v>
      </c>
    </row>
    <row r="1081" spans="1:14" x14ac:dyDescent="0.25">
      <c r="A1081">
        <v>1080</v>
      </c>
      <c r="B1081" s="1">
        <v>45587</v>
      </c>
      <c r="C1081" s="8" t="str">
        <f>TEXT(Table2[[#This Row],[OrderDate]],"mmm")</f>
        <v>Oct</v>
      </c>
      <c r="D1081">
        <v>1</v>
      </c>
      <c r="E1081">
        <v>3</v>
      </c>
      <c r="F1081">
        <v>13</v>
      </c>
      <c r="G1081" s="3">
        <v>204105</v>
      </c>
      <c r="H1081" s="3">
        <f t="shared" si="32"/>
        <v>2653365</v>
      </c>
      <c r="I1081" s="5">
        <f>Table2[[#This Row],[Total Revenue]]*0.3</f>
        <v>796009.5</v>
      </c>
      <c r="J1081" s="6">
        <f t="shared" si="33"/>
        <v>0.3</v>
      </c>
      <c r="K1081" t="str">
        <f>VLOOKUP(Table2[[#This Row],[ProductID]],Products!$A$1:C1085,2)</f>
        <v>Laptop</v>
      </c>
      <c r="L1081" t="str">
        <f>VLOOKUP(D1081,Products!$A$1:C1085,3)</f>
        <v>Electronics</v>
      </c>
      <c r="M1081" t="str">
        <f>VLOOKUP(Table2[[#This Row],[AgentID]],Sales_Agents!$A$1:C1084,2)</f>
        <v>Chinedu</v>
      </c>
      <c r="N1081" t="str">
        <f>VLOOKUP(Table2[[#This Row],[AgentID]],Sales_Agents!$A$1:C1084,3)</f>
        <v>South</v>
      </c>
    </row>
    <row r="1082" spans="1:14" x14ac:dyDescent="0.25">
      <c r="A1082">
        <v>1081</v>
      </c>
      <c r="B1082" s="1">
        <v>45565</v>
      </c>
      <c r="C1082" s="8" t="str">
        <f>TEXT(Table2[[#This Row],[OrderDate]],"mmm")</f>
        <v>Sept</v>
      </c>
      <c r="D1082">
        <v>5</v>
      </c>
      <c r="E1082">
        <v>1</v>
      </c>
      <c r="F1082">
        <v>7</v>
      </c>
      <c r="G1082" s="3">
        <v>298334</v>
      </c>
      <c r="H1082" s="3">
        <f t="shared" si="32"/>
        <v>2088338</v>
      </c>
      <c r="I1082" s="5">
        <f>Table2[[#This Row],[Total Revenue]]*0.3</f>
        <v>626501.4</v>
      </c>
      <c r="J1082" s="6">
        <f t="shared" si="33"/>
        <v>0.3</v>
      </c>
      <c r="K1082" t="str">
        <f>VLOOKUP(Table2[[#This Row],[ProductID]],Products!$A$1:C1086,2)</f>
        <v>Monitor</v>
      </c>
      <c r="L1082" t="str">
        <f>VLOOKUP(D1082,Products!$A$1:C1086,3)</f>
        <v>Accessories</v>
      </c>
      <c r="M1082" t="str">
        <f>VLOOKUP(Table2[[#This Row],[AgentID]],Sales_Agents!$A$1:C1085,2)</f>
        <v>Akin</v>
      </c>
      <c r="N1082" t="str">
        <f>VLOOKUP(Table2[[#This Row],[AgentID]],Sales_Agents!$A$1:C1085,3)</f>
        <v>West</v>
      </c>
    </row>
    <row r="1083" spans="1:14" x14ac:dyDescent="0.25">
      <c r="A1083">
        <v>1082</v>
      </c>
      <c r="B1083" s="1">
        <v>45407</v>
      </c>
      <c r="C1083" s="8" t="str">
        <f>TEXT(Table2[[#This Row],[OrderDate]],"mmm")</f>
        <v>Apr</v>
      </c>
      <c r="D1083">
        <v>2</v>
      </c>
      <c r="E1083">
        <v>4</v>
      </c>
      <c r="F1083">
        <v>9</v>
      </c>
      <c r="G1083" s="3">
        <v>205062</v>
      </c>
      <c r="H1083" s="3">
        <f t="shared" si="32"/>
        <v>1845558</v>
      </c>
      <c r="I1083" s="5">
        <f>Table2[[#This Row],[Total Revenue]]*0.3</f>
        <v>553667.4</v>
      </c>
      <c r="J1083" s="6">
        <f t="shared" si="33"/>
        <v>0.3</v>
      </c>
      <c r="K1083" t="str">
        <f>VLOOKUP(Table2[[#This Row],[ProductID]],Products!$A$1:C1087,2)</f>
        <v>Phone</v>
      </c>
      <c r="L1083" t="str">
        <f>VLOOKUP(D1083,Products!$A$1:C1087,3)</f>
        <v>Electronics</v>
      </c>
      <c r="M1083" t="str">
        <f>VLOOKUP(Table2[[#This Row],[AgentID]],Sales_Agents!$A$1:C1086,2)</f>
        <v>Zainab</v>
      </c>
      <c r="N1083" t="str">
        <f>VLOOKUP(Table2[[#This Row],[AgentID]],Sales_Agents!$A$1:C1086,3)</f>
        <v>North</v>
      </c>
    </row>
    <row r="1084" spans="1:14" x14ac:dyDescent="0.25">
      <c r="A1084">
        <v>1083</v>
      </c>
      <c r="B1084" s="1">
        <v>45424</v>
      </c>
      <c r="C1084" s="8" t="str">
        <f>TEXT(Table2[[#This Row],[OrderDate]],"mmm")</f>
        <v>May</v>
      </c>
      <c r="D1084">
        <v>5</v>
      </c>
      <c r="E1084">
        <v>3</v>
      </c>
      <c r="F1084">
        <v>15</v>
      </c>
      <c r="G1084" s="3">
        <v>90719</v>
      </c>
      <c r="H1084" s="3">
        <f t="shared" si="32"/>
        <v>1360785</v>
      </c>
      <c r="I1084" s="5">
        <f>Table2[[#This Row],[Total Revenue]]*0.3</f>
        <v>408235.5</v>
      </c>
      <c r="J1084" s="6">
        <f t="shared" si="33"/>
        <v>0.3</v>
      </c>
      <c r="K1084" t="str">
        <f>VLOOKUP(Table2[[#This Row],[ProductID]],Products!$A$1:C1088,2)</f>
        <v>Monitor</v>
      </c>
      <c r="L1084" t="str">
        <f>VLOOKUP(D1084,Products!$A$1:C1088,3)</f>
        <v>Accessories</v>
      </c>
      <c r="M1084" t="str">
        <f>VLOOKUP(Table2[[#This Row],[AgentID]],Sales_Agents!$A$1:C1087,2)</f>
        <v>Chinedu</v>
      </c>
      <c r="N1084" t="str">
        <f>VLOOKUP(Table2[[#This Row],[AgentID]],Sales_Agents!$A$1:C1087,3)</f>
        <v>South</v>
      </c>
    </row>
    <row r="1085" spans="1:14" x14ac:dyDescent="0.25">
      <c r="A1085">
        <v>1084</v>
      </c>
      <c r="B1085" s="1">
        <v>45653</v>
      </c>
      <c r="C1085" s="8" t="str">
        <f>TEXT(Table2[[#This Row],[OrderDate]],"mmm")</f>
        <v>Dec</v>
      </c>
      <c r="D1085">
        <v>4</v>
      </c>
      <c r="E1085">
        <v>3</v>
      </c>
      <c r="F1085">
        <v>19</v>
      </c>
      <c r="G1085" s="3">
        <v>169699</v>
      </c>
      <c r="H1085" s="3">
        <f t="shared" si="32"/>
        <v>3224281</v>
      </c>
      <c r="I1085" s="5">
        <f>Table2[[#This Row],[Total Revenue]]*0.3</f>
        <v>967284.29999999993</v>
      </c>
      <c r="J1085" s="6">
        <f t="shared" si="33"/>
        <v>0.3</v>
      </c>
      <c r="K1085" t="str">
        <f>VLOOKUP(Table2[[#This Row],[ProductID]],Products!$A$1:C1089,2)</f>
        <v>Printer</v>
      </c>
      <c r="L1085" t="str">
        <f>VLOOKUP(D1085,Products!$A$1:C1089,3)</f>
        <v>Accessories</v>
      </c>
      <c r="M1085" t="str">
        <f>VLOOKUP(Table2[[#This Row],[AgentID]],Sales_Agents!$A$1:C1088,2)</f>
        <v>Chinedu</v>
      </c>
      <c r="N1085" t="str">
        <f>VLOOKUP(Table2[[#This Row],[AgentID]],Sales_Agents!$A$1:C1088,3)</f>
        <v>South</v>
      </c>
    </row>
    <row r="1086" spans="1:14" x14ac:dyDescent="0.25">
      <c r="A1086">
        <v>1085</v>
      </c>
      <c r="B1086" s="1">
        <v>45649</v>
      </c>
      <c r="C1086" s="8" t="str">
        <f>TEXT(Table2[[#This Row],[OrderDate]],"mmm")</f>
        <v>Dec</v>
      </c>
      <c r="D1086">
        <v>1</v>
      </c>
      <c r="E1086">
        <v>2</v>
      </c>
      <c r="F1086">
        <v>17</v>
      </c>
      <c r="G1086" s="3">
        <v>364747</v>
      </c>
      <c r="H1086" s="3">
        <f t="shared" si="32"/>
        <v>6200699</v>
      </c>
      <c r="I1086" s="5">
        <f>Table2[[#This Row],[Total Revenue]]*0.3</f>
        <v>1860209.7</v>
      </c>
      <c r="J1086" s="6">
        <f t="shared" si="33"/>
        <v>0.3</v>
      </c>
      <c r="K1086" t="str">
        <f>VLOOKUP(Table2[[#This Row],[ProductID]],Products!$A$1:C1090,2)</f>
        <v>Laptop</v>
      </c>
      <c r="L1086" t="str">
        <f>VLOOKUP(D1086,Products!$A$1:C1090,3)</f>
        <v>Electronics</v>
      </c>
      <c r="M1086" t="str">
        <f>VLOOKUP(Table2[[#This Row],[AgentID]],Sales_Agents!$A$1:C1089,2)</f>
        <v>Blessing</v>
      </c>
      <c r="N1086" t="str">
        <f>VLOOKUP(Table2[[#This Row],[AgentID]],Sales_Agents!$A$1:C1089,3)</f>
        <v>East</v>
      </c>
    </row>
    <row r="1087" spans="1:14" x14ac:dyDescent="0.25">
      <c r="A1087">
        <v>1086</v>
      </c>
      <c r="B1087" s="1">
        <v>45353</v>
      </c>
      <c r="C1087" s="8" t="str">
        <f>TEXT(Table2[[#This Row],[OrderDate]],"mmm")</f>
        <v>Mar</v>
      </c>
      <c r="D1087">
        <v>2</v>
      </c>
      <c r="E1087">
        <v>2</v>
      </c>
      <c r="F1087">
        <v>19</v>
      </c>
      <c r="G1087" s="3">
        <v>137855</v>
      </c>
      <c r="H1087" s="3">
        <f t="shared" si="32"/>
        <v>2619245</v>
      </c>
      <c r="I1087" s="5">
        <f>Table2[[#This Row],[Total Revenue]]*0.3</f>
        <v>785773.5</v>
      </c>
      <c r="J1087" s="6">
        <f t="shared" si="33"/>
        <v>0.3</v>
      </c>
      <c r="K1087" t="str">
        <f>VLOOKUP(Table2[[#This Row],[ProductID]],Products!$A$1:C1091,2)</f>
        <v>Phone</v>
      </c>
      <c r="L1087" t="str">
        <f>VLOOKUP(D1087,Products!$A$1:C1091,3)</f>
        <v>Electronics</v>
      </c>
      <c r="M1087" t="str">
        <f>VLOOKUP(Table2[[#This Row],[AgentID]],Sales_Agents!$A$1:C1090,2)</f>
        <v>Blessing</v>
      </c>
      <c r="N1087" t="str">
        <f>VLOOKUP(Table2[[#This Row],[AgentID]],Sales_Agents!$A$1:C1090,3)</f>
        <v>East</v>
      </c>
    </row>
    <row r="1088" spans="1:14" x14ac:dyDescent="0.25">
      <c r="A1088">
        <v>1087</v>
      </c>
      <c r="B1088" s="1">
        <v>45597</v>
      </c>
      <c r="C1088" s="8" t="str">
        <f>TEXT(Table2[[#This Row],[OrderDate]],"mmm")</f>
        <v>Nov</v>
      </c>
      <c r="D1088">
        <v>4</v>
      </c>
      <c r="E1088">
        <v>3</v>
      </c>
      <c r="F1088">
        <v>6</v>
      </c>
      <c r="G1088" s="3">
        <v>326218</v>
      </c>
      <c r="H1088" s="3">
        <f t="shared" si="32"/>
        <v>1957308</v>
      </c>
      <c r="I1088" s="5">
        <f>Table2[[#This Row],[Total Revenue]]*0.3</f>
        <v>587192.4</v>
      </c>
      <c r="J1088" s="6">
        <f t="shared" si="33"/>
        <v>0.3</v>
      </c>
      <c r="K1088" t="str">
        <f>VLOOKUP(Table2[[#This Row],[ProductID]],Products!$A$1:C1092,2)</f>
        <v>Printer</v>
      </c>
      <c r="L1088" t="str">
        <f>VLOOKUP(D1088,Products!$A$1:C1092,3)</f>
        <v>Accessories</v>
      </c>
      <c r="M1088" t="str">
        <f>VLOOKUP(Table2[[#This Row],[AgentID]],Sales_Agents!$A$1:C1091,2)</f>
        <v>Chinedu</v>
      </c>
      <c r="N1088" t="str">
        <f>VLOOKUP(Table2[[#This Row],[AgentID]],Sales_Agents!$A$1:C1091,3)</f>
        <v>South</v>
      </c>
    </row>
    <row r="1089" spans="1:14" x14ac:dyDescent="0.25">
      <c r="A1089">
        <v>1088</v>
      </c>
      <c r="B1089" s="1">
        <v>45641</v>
      </c>
      <c r="C1089" s="8" t="str">
        <f>TEXT(Table2[[#This Row],[OrderDate]],"mmm")</f>
        <v>Dec</v>
      </c>
      <c r="D1089">
        <v>1</v>
      </c>
      <c r="E1089">
        <v>1</v>
      </c>
      <c r="F1089">
        <v>19</v>
      </c>
      <c r="G1089" s="3">
        <v>157389</v>
      </c>
      <c r="H1089" s="3">
        <f t="shared" si="32"/>
        <v>2990391</v>
      </c>
      <c r="I1089" s="5">
        <f>Table2[[#This Row],[Total Revenue]]*0.3</f>
        <v>897117.29999999993</v>
      </c>
      <c r="J1089" s="6">
        <f t="shared" si="33"/>
        <v>0.3</v>
      </c>
      <c r="K1089" t="str">
        <f>VLOOKUP(Table2[[#This Row],[ProductID]],Products!$A$1:C1093,2)</f>
        <v>Laptop</v>
      </c>
      <c r="L1089" t="str">
        <f>VLOOKUP(D1089,Products!$A$1:C1093,3)</f>
        <v>Electronics</v>
      </c>
      <c r="M1089" t="str">
        <f>VLOOKUP(Table2[[#This Row],[AgentID]],Sales_Agents!$A$1:C1092,2)</f>
        <v>Akin</v>
      </c>
      <c r="N1089" t="str">
        <f>VLOOKUP(Table2[[#This Row],[AgentID]],Sales_Agents!$A$1:C1092,3)</f>
        <v>West</v>
      </c>
    </row>
    <row r="1090" spans="1:14" x14ac:dyDescent="0.25">
      <c r="A1090">
        <v>1089</v>
      </c>
      <c r="B1090" s="1">
        <v>45342</v>
      </c>
      <c r="C1090" s="8" t="str">
        <f>TEXT(Table2[[#This Row],[OrderDate]],"mmm")</f>
        <v>Feb</v>
      </c>
      <c r="D1090">
        <v>2</v>
      </c>
      <c r="E1090">
        <v>3</v>
      </c>
      <c r="F1090">
        <v>1</v>
      </c>
      <c r="G1090" s="3">
        <v>107026</v>
      </c>
      <c r="H1090" s="3">
        <f t="shared" ref="H1090:H1153" si="34">G1090*F1090</f>
        <v>107026</v>
      </c>
      <c r="I1090" s="5">
        <f>Table2[[#This Row],[Total Revenue]]*0.3</f>
        <v>32107.8</v>
      </c>
      <c r="J1090" s="6">
        <f t="shared" ref="J1090:J1153" si="35">I1090/H1090</f>
        <v>0.3</v>
      </c>
      <c r="K1090" t="str">
        <f>VLOOKUP(Table2[[#This Row],[ProductID]],Products!$A$1:C1094,2)</f>
        <v>Phone</v>
      </c>
      <c r="L1090" t="str">
        <f>VLOOKUP(D1090,Products!$A$1:C1094,3)</f>
        <v>Electronics</v>
      </c>
      <c r="M1090" t="str">
        <f>VLOOKUP(Table2[[#This Row],[AgentID]],Sales_Agents!$A$1:C1093,2)</f>
        <v>Chinedu</v>
      </c>
      <c r="N1090" t="str">
        <f>VLOOKUP(Table2[[#This Row],[AgentID]],Sales_Agents!$A$1:C1093,3)</f>
        <v>South</v>
      </c>
    </row>
    <row r="1091" spans="1:14" x14ac:dyDescent="0.25">
      <c r="A1091">
        <v>1090</v>
      </c>
      <c r="B1091" s="1">
        <v>45563</v>
      </c>
      <c r="C1091" s="8" t="str">
        <f>TEXT(Table2[[#This Row],[OrderDate]],"mmm")</f>
        <v>Sept</v>
      </c>
      <c r="D1091">
        <v>5</v>
      </c>
      <c r="E1091">
        <v>1</v>
      </c>
      <c r="F1091">
        <v>2</v>
      </c>
      <c r="G1091" s="3">
        <v>268247</v>
      </c>
      <c r="H1091" s="3">
        <f t="shared" si="34"/>
        <v>536494</v>
      </c>
      <c r="I1091" s="5">
        <f>Table2[[#This Row],[Total Revenue]]*0.3</f>
        <v>160948.19999999998</v>
      </c>
      <c r="J1091" s="6">
        <f t="shared" si="35"/>
        <v>0.3</v>
      </c>
      <c r="K1091" t="str">
        <f>VLOOKUP(Table2[[#This Row],[ProductID]],Products!$A$1:C1095,2)</f>
        <v>Monitor</v>
      </c>
      <c r="L1091" t="str">
        <f>VLOOKUP(D1091,Products!$A$1:C1095,3)</f>
        <v>Accessories</v>
      </c>
      <c r="M1091" t="str">
        <f>VLOOKUP(Table2[[#This Row],[AgentID]],Sales_Agents!$A$1:C1094,2)</f>
        <v>Akin</v>
      </c>
      <c r="N1091" t="str">
        <f>VLOOKUP(Table2[[#This Row],[AgentID]],Sales_Agents!$A$1:C1094,3)</f>
        <v>West</v>
      </c>
    </row>
    <row r="1092" spans="1:14" x14ac:dyDescent="0.25">
      <c r="A1092">
        <v>1091</v>
      </c>
      <c r="B1092" s="1">
        <v>45310</v>
      </c>
      <c r="C1092" s="8" t="str">
        <f>TEXT(Table2[[#This Row],[OrderDate]],"mmm")</f>
        <v>Jan</v>
      </c>
      <c r="D1092">
        <v>2</v>
      </c>
      <c r="E1092">
        <v>2</v>
      </c>
      <c r="F1092">
        <v>10</v>
      </c>
      <c r="G1092" s="3">
        <v>313031</v>
      </c>
      <c r="H1092" s="3">
        <f t="shared" si="34"/>
        <v>3130310</v>
      </c>
      <c r="I1092" s="5">
        <f>Table2[[#This Row],[Total Revenue]]*0.3</f>
        <v>939093</v>
      </c>
      <c r="J1092" s="6">
        <f t="shared" si="35"/>
        <v>0.3</v>
      </c>
      <c r="K1092" t="str">
        <f>VLOOKUP(Table2[[#This Row],[ProductID]],Products!$A$1:C1096,2)</f>
        <v>Phone</v>
      </c>
      <c r="L1092" t="str">
        <f>VLOOKUP(D1092,Products!$A$1:C1096,3)</f>
        <v>Electronics</v>
      </c>
      <c r="M1092" t="str">
        <f>VLOOKUP(Table2[[#This Row],[AgentID]],Sales_Agents!$A$1:C1095,2)</f>
        <v>Blessing</v>
      </c>
      <c r="N1092" t="str">
        <f>VLOOKUP(Table2[[#This Row],[AgentID]],Sales_Agents!$A$1:C1095,3)</f>
        <v>East</v>
      </c>
    </row>
    <row r="1093" spans="1:14" x14ac:dyDescent="0.25">
      <c r="A1093">
        <v>1092</v>
      </c>
      <c r="B1093" s="1">
        <v>45636</v>
      </c>
      <c r="C1093" s="8" t="str">
        <f>TEXT(Table2[[#This Row],[OrderDate]],"mmm")</f>
        <v>Dec</v>
      </c>
      <c r="D1093">
        <v>4</v>
      </c>
      <c r="E1093">
        <v>4</v>
      </c>
      <c r="F1093">
        <v>5</v>
      </c>
      <c r="G1093" s="3">
        <v>292978</v>
      </c>
      <c r="H1093" s="3">
        <f t="shared" si="34"/>
        <v>1464890</v>
      </c>
      <c r="I1093" s="5">
        <f>Table2[[#This Row],[Total Revenue]]*0.3</f>
        <v>439467</v>
      </c>
      <c r="J1093" s="6">
        <f t="shared" si="35"/>
        <v>0.3</v>
      </c>
      <c r="K1093" t="str">
        <f>VLOOKUP(Table2[[#This Row],[ProductID]],Products!$A$1:C1097,2)</f>
        <v>Printer</v>
      </c>
      <c r="L1093" t="str">
        <f>VLOOKUP(D1093,Products!$A$1:C1097,3)</f>
        <v>Accessories</v>
      </c>
      <c r="M1093" t="str">
        <f>VLOOKUP(Table2[[#This Row],[AgentID]],Sales_Agents!$A$1:C1096,2)</f>
        <v>Zainab</v>
      </c>
      <c r="N1093" t="str">
        <f>VLOOKUP(Table2[[#This Row],[AgentID]],Sales_Agents!$A$1:C1096,3)</f>
        <v>North</v>
      </c>
    </row>
    <row r="1094" spans="1:14" x14ac:dyDescent="0.25">
      <c r="A1094">
        <v>1093</v>
      </c>
      <c r="B1094" s="1">
        <v>45641</v>
      </c>
      <c r="C1094" s="8" t="str">
        <f>TEXT(Table2[[#This Row],[OrderDate]],"mmm")</f>
        <v>Dec</v>
      </c>
      <c r="D1094">
        <v>1</v>
      </c>
      <c r="E1094">
        <v>4</v>
      </c>
      <c r="F1094">
        <v>1</v>
      </c>
      <c r="G1094" s="3">
        <v>158039</v>
      </c>
      <c r="H1094" s="3">
        <f t="shared" si="34"/>
        <v>158039</v>
      </c>
      <c r="I1094" s="5">
        <f>Table2[[#This Row],[Total Revenue]]*0.3</f>
        <v>47411.7</v>
      </c>
      <c r="J1094" s="6">
        <f t="shared" si="35"/>
        <v>0.3</v>
      </c>
      <c r="K1094" t="str">
        <f>VLOOKUP(Table2[[#This Row],[ProductID]],Products!$A$1:C1098,2)</f>
        <v>Laptop</v>
      </c>
      <c r="L1094" t="str">
        <f>VLOOKUP(D1094,Products!$A$1:C1098,3)</f>
        <v>Electronics</v>
      </c>
      <c r="M1094" t="str">
        <f>VLOOKUP(Table2[[#This Row],[AgentID]],Sales_Agents!$A$1:C1097,2)</f>
        <v>Zainab</v>
      </c>
      <c r="N1094" t="str">
        <f>VLOOKUP(Table2[[#This Row],[AgentID]],Sales_Agents!$A$1:C1097,3)</f>
        <v>North</v>
      </c>
    </row>
    <row r="1095" spans="1:14" x14ac:dyDescent="0.25">
      <c r="A1095">
        <v>1094</v>
      </c>
      <c r="B1095" s="1">
        <v>45405</v>
      </c>
      <c r="C1095" s="8" t="str">
        <f>TEXT(Table2[[#This Row],[OrderDate]],"mmm")</f>
        <v>Apr</v>
      </c>
      <c r="D1095">
        <v>1</v>
      </c>
      <c r="E1095">
        <v>2</v>
      </c>
      <c r="F1095">
        <v>6</v>
      </c>
      <c r="G1095" s="3">
        <v>102877</v>
      </c>
      <c r="H1095" s="3">
        <f t="shared" si="34"/>
        <v>617262</v>
      </c>
      <c r="I1095" s="5">
        <f>Table2[[#This Row],[Total Revenue]]*0.3</f>
        <v>185178.6</v>
      </c>
      <c r="J1095" s="6">
        <f t="shared" si="35"/>
        <v>0.3</v>
      </c>
      <c r="K1095" t="str">
        <f>VLOOKUP(Table2[[#This Row],[ProductID]],Products!$A$1:C1099,2)</f>
        <v>Laptop</v>
      </c>
      <c r="L1095" t="str">
        <f>VLOOKUP(D1095,Products!$A$1:C1099,3)</f>
        <v>Electronics</v>
      </c>
      <c r="M1095" t="str">
        <f>VLOOKUP(Table2[[#This Row],[AgentID]],Sales_Agents!$A$1:C1098,2)</f>
        <v>Blessing</v>
      </c>
      <c r="N1095" t="str">
        <f>VLOOKUP(Table2[[#This Row],[AgentID]],Sales_Agents!$A$1:C1098,3)</f>
        <v>East</v>
      </c>
    </row>
    <row r="1096" spans="1:14" x14ac:dyDescent="0.25">
      <c r="A1096">
        <v>1095</v>
      </c>
      <c r="B1096" s="1">
        <v>45391</v>
      </c>
      <c r="C1096" s="8" t="str">
        <f>TEXT(Table2[[#This Row],[OrderDate]],"mmm")</f>
        <v>Apr</v>
      </c>
      <c r="D1096">
        <v>3</v>
      </c>
      <c r="E1096">
        <v>1</v>
      </c>
      <c r="F1096">
        <v>16</v>
      </c>
      <c r="G1096" s="3">
        <v>246867</v>
      </c>
      <c r="H1096" s="3">
        <f t="shared" si="34"/>
        <v>3949872</v>
      </c>
      <c r="I1096" s="5">
        <f>Table2[[#This Row],[Total Revenue]]*0.3</f>
        <v>1184961.5999999999</v>
      </c>
      <c r="J1096" s="6">
        <f t="shared" si="35"/>
        <v>0.3</v>
      </c>
      <c r="K1096" t="str">
        <f>VLOOKUP(Table2[[#This Row],[ProductID]],Products!$A$1:C1100,2)</f>
        <v>Tablet</v>
      </c>
      <c r="L1096" t="str">
        <f>VLOOKUP(D1096,Products!$A$1:C1100,3)</f>
        <v>Electronics</v>
      </c>
      <c r="M1096" t="str">
        <f>VLOOKUP(Table2[[#This Row],[AgentID]],Sales_Agents!$A$1:C1099,2)</f>
        <v>Akin</v>
      </c>
      <c r="N1096" t="str">
        <f>VLOOKUP(Table2[[#This Row],[AgentID]],Sales_Agents!$A$1:C1099,3)</f>
        <v>West</v>
      </c>
    </row>
    <row r="1097" spans="1:14" x14ac:dyDescent="0.25">
      <c r="A1097">
        <v>1096</v>
      </c>
      <c r="B1097" s="1">
        <v>45360</v>
      </c>
      <c r="C1097" s="8" t="str">
        <f>TEXT(Table2[[#This Row],[OrderDate]],"mmm")</f>
        <v>Mar</v>
      </c>
      <c r="D1097">
        <v>1</v>
      </c>
      <c r="E1097">
        <v>4</v>
      </c>
      <c r="F1097">
        <v>20</v>
      </c>
      <c r="G1097" s="3">
        <v>331894</v>
      </c>
      <c r="H1097" s="3">
        <f t="shared" si="34"/>
        <v>6637880</v>
      </c>
      <c r="I1097" s="5">
        <f>Table2[[#This Row],[Total Revenue]]*0.3</f>
        <v>1991364</v>
      </c>
      <c r="J1097" s="6">
        <f t="shared" si="35"/>
        <v>0.3</v>
      </c>
      <c r="K1097" t="str">
        <f>VLOOKUP(Table2[[#This Row],[ProductID]],Products!$A$1:C1101,2)</f>
        <v>Laptop</v>
      </c>
      <c r="L1097" t="str">
        <f>VLOOKUP(D1097,Products!$A$1:C1101,3)</f>
        <v>Electronics</v>
      </c>
      <c r="M1097" t="str">
        <f>VLOOKUP(Table2[[#This Row],[AgentID]],Sales_Agents!$A$1:C1100,2)</f>
        <v>Zainab</v>
      </c>
      <c r="N1097" t="str">
        <f>VLOOKUP(Table2[[#This Row],[AgentID]],Sales_Agents!$A$1:C1100,3)</f>
        <v>North</v>
      </c>
    </row>
    <row r="1098" spans="1:14" x14ac:dyDescent="0.25">
      <c r="A1098">
        <v>1097</v>
      </c>
      <c r="B1098" s="1">
        <v>45453</v>
      </c>
      <c r="C1098" s="8" t="str">
        <f>TEXT(Table2[[#This Row],[OrderDate]],"mmm")</f>
        <v>Jun</v>
      </c>
      <c r="D1098">
        <v>2</v>
      </c>
      <c r="E1098">
        <v>4</v>
      </c>
      <c r="F1098">
        <v>1</v>
      </c>
      <c r="G1098" s="3">
        <v>222950</v>
      </c>
      <c r="H1098" s="3">
        <f t="shared" si="34"/>
        <v>222950</v>
      </c>
      <c r="I1098" s="5">
        <f>Table2[[#This Row],[Total Revenue]]*0.3</f>
        <v>66885</v>
      </c>
      <c r="J1098" s="6">
        <f t="shared" si="35"/>
        <v>0.3</v>
      </c>
      <c r="K1098" t="str">
        <f>VLOOKUP(Table2[[#This Row],[ProductID]],Products!$A$1:C1102,2)</f>
        <v>Phone</v>
      </c>
      <c r="L1098" t="str">
        <f>VLOOKUP(D1098,Products!$A$1:C1102,3)</f>
        <v>Electronics</v>
      </c>
      <c r="M1098" t="str">
        <f>VLOOKUP(Table2[[#This Row],[AgentID]],Sales_Agents!$A$1:C1101,2)</f>
        <v>Zainab</v>
      </c>
      <c r="N1098" t="str">
        <f>VLOOKUP(Table2[[#This Row],[AgentID]],Sales_Agents!$A$1:C1101,3)</f>
        <v>North</v>
      </c>
    </row>
    <row r="1099" spans="1:14" x14ac:dyDescent="0.25">
      <c r="A1099">
        <v>1098</v>
      </c>
      <c r="B1099" s="1">
        <v>45633</v>
      </c>
      <c r="C1099" s="8" t="str">
        <f>TEXT(Table2[[#This Row],[OrderDate]],"mmm")</f>
        <v>Dec</v>
      </c>
      <c r="D1099">
        <v>1</v>
      </c>
      <c r="E1099">
        <v>2</v>
      </c>
      <c r="F1099">
        <v>7</v>
      </c>
      <c r="G1099" s="3">
        <v>51991</v>
      </c>
      <c r="H1099" s="3">
        <f t="shared" si="34"/>
        <v>363937</v>
      </c>
      <c r="I1099" s="5">
        <f>Table2[[#This Row],[Total Revenue]]*0.3</f>
        <v>109181.09999999999</v>
      </c>
      <c r="J1099" s="6">
        <f t="shared" si="35"/>
        <v>0.3</v>
      </c>
      <c r="K1099" t="str">
        <f>VLOOKUP(Table2[[#This Row],[ProductID]],Products!$A$1:C1103,2)</f>
        <v>Laptop</v>
      </c>
      <c r="L1099" t="str">
        <f>VLOOKUP(D1099,Products!$A$1:C1103,3)</f>
        <v>Electronics</v>
      </c>
      <c r="M1099" t="str">
        <f>VLOOKUP(Table2[[#This Row],[AgentID]],Sales_Agents!$A$1:C1102,2)</f>
        <v>Blessing</v>
      </c>
      <c r="N1099" t="str">
        <f>VLOOKUP(Table2[[#This Row],[AgentID]],Sales_Agents!$A$1:C1102,3)</f>
        <v>East</v>
      </c>
    </row>
    <row r="1100" spans="1:14" x14ac:dyDescent="0.25">
      <c r="A1100">
        <v>1099</v>
      </c>
      <c r="B1100" s="1">
        <v>45418</v>
      </c>
      <c r="C1100" s="8" t="str">
        <f>TEXT(Table2[[#This Row],[OrderDate]],"mmm")</f>
        <v>May</v>
      </c>
      <c r="D1100">
        <v>2</v>
      </c>
      <c r="E1100">
        <v>2</v>
      </c>
      <c r="F1100">
        <v>3</v>
      </c>
      <c r="G1100" s="3">
        <v>267120</v>
      </c>
      <c r="H1100" s="3">
        <f t="shared" si="34"/>
        <v>801360</v>
      </c>
      <c r="I1100" s="5">
        <f>Table2[[#This Row],[Total Revenue]]*0.3</f>
        <v>240408</v>
      </c>
      <c r="J1100" s="6">
        <f t="shared" si="35"/>
        <v>0.3</v>
      </c>
      <c r="K1100" t="str">
        <f>VLOOKUP(Table2[[#This Row],[ProductID]],Products!$A$1:C1104,2)</f>
        <v>Phone</v>
      </c>
      <c r="L1100" t="str">
        <f>VLOOKUP(D1100,Products!$A$1:C1104,3)</f>
        <v>Electronics</v>
      </c>
      <c r="M1100" t="str">
        <f>VLOOKUP(Table2[[#This Row],[AgentID]],Sales_Agents!$A$1:C1103,2)</f>
        <v>Blessing</v>
      </c>
      <c r="N1100" t="str">
        <f>VLOOKUP(Table2[[#This Row],[AgentID]],Sales_Agents!$A$1:C1103,3)</f>
        <v>East</v>
      </c>
    </row>
    <row r="1101" spans="1:14" x14ac:dyDescent="0.25">
      <c r="A1101">
        <v>1100</v>
      </c>
      <c r="B1101" s="1">
        <v>45481</v>
      </c>
      <c r="C1101" s="8" t="str">
        <f>TEXT(Table2[[#This Row],[OrderDate]],"mmm")</f>
        <v>Jul</v>
      </c>
      <c r="D1101">
        <v>5</v>
      </c>
      <c r="E1101">
        <v>3</v>
      </c>
      <c r="F1101">
        <v>12</v>
      </c>
      <c r="G1101" s="3">
        <v>281931</v>
      </c>
      <c r="H1101" s="3">
        <f t="shared" si="34"/>
        <v>3383172</v>
      </c>
      <c r="I1101" s="5">
        <f>Table2[[#This Row],[Total Revenue]]*0.3</f>
        <v>1014951.6</v>
      </c>
      <c r="J1101" s="6">
        <f t="shared" si="35"/>
        <v>0.3</v>
      </c>
      <c r="K1101" t="str">
        <f>VLOOKUP(Table2[[#This Row],[ProductID]],Products!$A$1:C1105,2)</f>
        <v>Monitor</v>
      </c>
      <c r="L1101" t="str">
        <f>VLOOKUP(D1101,Products!$A$1:C1105,3)</f>
        <v>Accessories</v>
      </c>
      <c r="M1101" t="str">
        <f>VLOOKUP(Table2[[#This Row],[AgentID]],Sales_Agents!$A$1:C1104,2)</f>
        <v>Chinedu</v>
      </c>
      <c r="N1101" t="str">
        <f>VLOOKUP(Table2[[#This Row],[AgentID]],Sales_Agents!$A$1:C1104,3)</f>
        <v>South</v>
      </c>
    </row>
    <row r="1102" spans="1:14" x14ac:dyDescent="0.25">
      <c r="A1102">
        <v>1101</v>
      </c>
      <c r="B1102" s="1">
        <v>45489</v>
      </c>
      <c r="C1102" s="8" t="str">
        <f>TEXT(Table2[[#This Row],[OrderDate]],"mmm")</f>
        <v>Jul</v>
      </c>
      <c r="D1102">
        <v>4</v>
      </c>
      <c r="E1102">
        <v>4</v>
      </c>
      <c r="F1102">
        <v>18</v>
      </c>
      <c r="G1102" s="3">
        <v>308131</v>
      </c>
      <c r="H1102" s="3">
        <f t="shared" si="34"/>
        <v>5546358</v>
      </c>
      <c r="I1102" s="5">
        <f>Table2[[#This Row],[Total Revenue]]*0.3</f>
        <v>1663907.4</v>
      </c>
      <c r="J1102" s="6">
        <f t="shared" si="35"/>
        <v>0.3</v>
      </c>
      <c r="K1102" t="str">
        <f>VLOOKUP(Table2[[#This Row],[ProductID]],Products!$A$1:C1106,2)</f>
        <v>Printer</v>
      </c>
      <c r="L1102" t="str">
        <f>VLOOKUP(D1102,Products!$A$1:C1106,3)</f>
        <v>Accessories</v>
      </c>
      <c r="M1102" t="str">
        <f>VLOOKUP(Table2[[#This Row],[AgentID]],Sales_Agents!$A$1:C1105,2)</f>
        <v>Zainab</v>
      </c>
      <c r="N1102" t="str">
        <f>VLOOKUP(Table2[[#This Row],[AgentID]],Sales_Agents!$A$1:C1105,3)</f>
        <v>North</v>
      </c>
    </row>
    <row r="1103" spans="1:14" x14ac:dyDescent="0.25">
      <c r="A1103">
        <v>1102</v>
      </c>
      <c r="B1103" s="1">
        <v>45577</v>
      </c>
      <c r="C1103" s="8" t="str">
        <f>TEXT(Table2[[#This Row],[OrderDate]],"mmm")</f>
        <v>Oct</v>
      </c>
      <c r="D1103">
        <v>1</v>
      </c>
      <c r="E1103">
        <v>1</v>
      </c>
      <c r="F1103">
        <v>3</v>
      </c>
      <c r="G1103" s="3">
        <v>387631</v>
      </c>
      <c r="H1103" s="3">
        <f t="shared" si="34"/>
        <v>1162893</v>
      </c>
      <c r="I1103" s="5">
        <f>Table2[[#This Row],[Total Revenue]]*0.3</f>
        <v>348867.89999999997</v>
      </c>
      <c r="J1103" s="6">
        <f t="shared" si="35"/>
        <v>0.3</v>
      </c>
      <c r="K1103" t="str">
        <f>VLOOKUP(Table2[[#This Row],[ProductID]],Products!$A$1:C1107,2)</f>
        <v>Laptop</v>
      </c>
      <c r="L1103" t="str">
        <f>VLOOKUP(D1103,Products!$A$1:C1107,3)</f>
        <v>Electronics</v>
      </c>
      <c r="M1103" t="str">
        <f>VLOOKUP(Table2[[#This Row],[AgentID]],Sales_Agents!$A$1:C1106,2)</f>
        <v>Akin</v>
      </c>
      <c r="N1103" t="str">
        <f>VLOOKUP(Table2[[#This Row],[AgentID]],Sales_Agents!$A$1:C1106,3)</f>
        <v>West</v>
      </c>
    </row>
    <row r="1104" spans="1:14" x14ac:dyDescent="0.25">
      <c r="A1104">
        <v>1103</v>
      </c>
      <c r="B1104" s="1">
        <v>45448</v>
      </c>
      <c r="C1104" s="8" t="str">
        <f>TEXT(Table2[[#This Row],[OrderDate]],"mmm")</f>
        <v>Jun</v>
      </c>
      <c r="D1104">
        <v>3</v>
      </c>
      <c r="E1104">
        <v>2</v>
      </c>
      <c r="F1104">
        <v>17</v>
      </c>
      <c r="G1104" s="3">
        <v>129596</v>
      </c>
      <c r="H1104" s="3">
        <f t="shared" si="34"/>
        <v>2203132</v>
      </c>
      <c r="I1104" s="5">
        <f>Table2[[#This Row],[Total Revenue]]*0.3</f>
        <v>660939.6</v>
      </c>
      <c r="J1104" s="6">
        <f t="shared" si="35"/>
        <v>0.3</v>
      </c>
      <c r="K1104" t="str">
        <f>VLOOKUP(Table2[[#This Row],[ProductID]],Products!$A$1:C1108,2)</f>
        <v>Tablet</v>
      </c>
      <c r="L1104" t="str">
        <f>VLOOKUP(D1104,Products!$A$1:C1108,3)</f>
        <v>Electronics</v>
      </c>
      <c r="M1104" t="str">
        <f>VLOOKUP(Table2[[#This Row],[AgentID]],Sales_Agents!$A$1:C1107,2)</f>
        <v>Blessing</v>
      </c>
      <c r="N1104" t="str">
        <f>VLOOKUP(Table2[[#This Row],[AgentID]],Sales_Agents!$A$1:C1107,3)</f>
        <v>East</v>
      </c>
    </row>
    <row r="1105" spans="1:14" x14ac:dyDescent="0.25">
      <c r="A1105">
        <v>1104</v>
      </c>
      <c r="B1105" s="1">
        <v>45548</v>
      </c>
      <c r="C1105" s="8" t="str">
        <f>TEXT(Table2[[#This Row],[OrderDate]],"mmm")</f>
        <v>Sept</v>
      </c>
      <c r="D1105">
        <v>4</v>
      </c>
      <c r="E1105">
        <v>2</v>
      </c>
      <c r="F1105">
        <v>19</v>
      </c>
      <c r="G1105" s="3">
        <v>390663</v>
      </c>
      <c r="H1105" s="3">
        <f t="shared" si="34"/>
        <v>7422597</v>
      </c>
      <c r="I1105" s="5">
        <f>Table2[[#This Row],[Total Revenue]]*0.3</f>
        <v>2226779.1</v>
      </c>
      <c r="J1105" s="6">
        <f t="shared" si="35"/>
        <v>0.3</v>
      </c>
      <c r="K1105" t="str">
        <f>VLOOKUP(Table2[[#This Row],[ProductID]],Products!$A$1:C1109,2)</f>
        <v>Printer</v>
      </c>
      <c r="L1105" t="str">
        <f>VLOOKUP(D1105,Products!$A$1:C1109,3)</f>
        <v>Accessories</v>
      </c>
      <c r="M1105" t="str">
        <f>VLOOKUP(Table2[[#This Row],[AgentID]],Sales_Agents!$A$1:C1108,2)</f>
        <v>Blessing</v>
      </c>
      <c r="N1105" t="str">
        <f>VLOOKUP(Table2[[#This Row],[AgentID]],Sales_Agents!$A$1:C1108,3)</f>
        <v>East</v>
      </c>
    </row>
    <row r="1106" spans="1:14" x14ac:dyDescent="0.25">
      <c r="A1106">
        <v>1105</v>
      </c>
      <c r="B1106" s="1">
        <v>45385</v>
      </c>
      <c r="C1106" s="8" t="str">
        <f>TEXT(Table2[[#This Row],[OrderDate]],"mmm")</f>
        <v>Apr</v>
      </c>
      <c r="D1106">
        <v>1</v>
      </c>
      <c r="E1106">
        <v>2</v>
      </c>
      <c r="F1106">
        <v>9</v>
      </c>
      <c r="G1106" s="3">
        <v>261170</v>
      </c>
      <c r="H1106" s="3">
        <f t="shared" si="34"/>
        <v>2350530</v>
      </c>
      <c r="I1106" s="5">
        <f>Table2[[#This Row],[Total Revenue]]*0.3</f>
        <v>705159</v>
      </c>
      <c r="J1106" s="6">
        <f t="shared" si="35"/>
        <v>0.3</v>
      </c>
      <c r="K1106" t="str">
        <f>VLOOKUP(Table2[[#This Row],[ProductID]],Products!$A$1:C1110,2)</f>
        <v>Laptop</v>
      </c>
      <c r="L1106" t="str">
        <f>VLOOKUP(D1106,Products!$A$1:C1110,3)</f>
        <v>Electronics</v>
      </c>
      <c r="M1106" t="str">
        <f>VLOOKUP(Table2[[#This Row],[AgentID]],Sales_Agents!$A$1:C1109,2)</f>
        <v>Blessing</v>
      </c>
      <c r="N1106" t="str">
        <f>VLOOKUP(Table2[[#This Row],[AgentID]],Sales_Agents!$A$1:C1109,3)</f>
        <v>East</v>
      </c>
    </row>
    <row r="1107" spans="1:14" x14ac:dyDescent="0.25">
      <c r="A1107">
        <v>1106</v>
      </c>
      <c r="B1107" s="1">
        <v>45503</v>
      </c>
      <c r="C1107" s="8" t="str">
        <f>TEXT(Table2[[#This Row],[OrderDate]],"mmm")</f>
        <v>Jul</v>
      </c>
      <c r="D1107">
        <v>3</v>
      </c>
      <c r="E1107">
        <v>3</v>
      </c>
      <c r="F1107">
        <v>2</v>
      </c>
      <c r="G1107" s="3">
        <v>102355</v>
      </c>
      <c r="H1107" s="3">
        <f t="shared" si="34"/>
        <v>204710</v>
      </c>
      <c r="I1107" s="5">
        <f>Table2[[#This Row],[Total Revenue]]*0.3</f>
        <v>61413</v>
      </c>
      <c r="J1107" s="6">
        <f t="shared" si="35"/>
        <v>0.3</v>
      </c>
      <c r="K1107" t="str">
        <f>VLOOKUP(Table2[[#This Row],[ProductID]],Products!$A$1:C1111,2)</f>
        <v>Tablet</v>
      </c>
      <c r="L1107" t="str">
        <f>VLOOKUP(D1107,Products!$A$1:C1111,3)</f>
        <v>Electronics</v>
      </c>
      <c r="M1107" t="str">
        <f>VLOOKUP(Table2[[#This Row],[AgentID]],Sales_Agents!$A$1:C1110,2)</f>
        <v>Chinedu</v>
      </c>
      <c r="N1107" t="str">
        <f>VLOOKUP(Table2[[#This Row],[AgentID]],Sales_Agents!$A$1:C1110,3)</f>
        <v>South</v>
      </c>
    </row>
    <row r="1108" spans="1:14" x14ac:dyDescent="0.25">
      <c r="A1108">
        <v>1107</v>
      </c>
      <c r="B1108" s="1">
        <v>45649</v>
      </c>
      <c r="C1108" s="8" t="str">
        <f>TEXT(Table2[[#This Row],[OrderDate]],"mmm")</f>
        <v>Dec</v>
      </c>
      <c r="D1108">
        <v>4</v>
      </c>
      <c r="E1108">
        <v>3</v>
      </c>
      <c r="F1108">
        <v>6</v>
      </c>
      <c r="G1108" s="3">
        <v>328457</v>
      </c>
      <c r="H1108" s="3">
        <f t="shared" si="34"/>
        <v>1970742</v>
      </c>
      <c r="I1108" s="5">
        <f>Table2[[#This Row],[Total Revenue]]*0.3</f>
        <v>591222.6</v>
      </c>
      <c r="J1108" s="6">
        <f t="shared" si="35"/>
        <v>0.3</v>
      </c>
      <c r="K1108" t="str">
        <f>VLOOKUP(Table2[[#This Row],[ProductID]],Products!$A$1:C1112,2)</f>
        <v>Printer</v>
      </c>
      <c r="L1108" t="str">
        <f>VLOOKUP(D1108,Products!$A$1:C1112,3)</f>
        <v>Accessories</v>
      </c>
      <c r="M1108" t="str">
        <f>VLOOKUP(Table2[[#This Row],[AgentID]],Sales_Agents!$A$1:C1111,2)</f>
        <v>Chinedu</v>
      </c>
      <c r="N1108" t="str">
        <f>VLOOKUP(Table2[[#This Row],[AgentID]],Sales_Agents!$A$1:C1111,3)</f>
        <v>South</v>
      </c>
    </row>
    <row r="1109" spans="1:14" x14ac:dyDescent="0.25">
      <c r="A1109">
        <v>1108</v>
      </c>
      <c r="B1109" s="1">
        <v>45499</v>
      </c>
      <c r="C1109" s="8" t="str">
        <f>TEXT(Table2[[#This Row],[OrderDate]],"mmm")</f>
        <v>Jul</v>
      </c>
      <c r="D1109">
        <v>5</v>
      </c>
      <c r="E1109">
        <v>3</v>
      </c>
      <c r="F1109">
        <v>20</v>
      </c>
      <c r="G1109" s="3">
        <v>89060</v>
      </c>
      <c r="H1109" s="3">
        <f t="shared" si="34"/>
        <v>1781200</v>
      </c>
      <c r="I1109" s="5">
        <f>Table2[[#This Row],[Total Revenue]]*0.3</f>
        <v>534360</v>
      </c>
      <c r="J1109" s="6">
        <f t="shared" si="35"/>
        <v>0.3</v>
      </c>
      <c r="K1109" t="str">
        <f>VLOOKUP(Table2[[#This Row],[ProductID]],Products!$A$1:C1113,2)</f>
        <v>Monitor</v>
      </c>
      <c r="L1109" t="str">
        <f>VLOOKUP(D1109,Products!$A$1:C1113,3)</f>
        <v>Accessories</v>
      </c>
      <c r="M1109" t="str">
        <f>VLOOKUP(Table2[[#This Row],[AgentID]],Sales_Agents!$A$1:C1112,2)</f>
        <v>Chinedu</v>
      </c>
      <c r="N1109" t="str">
        <f>VLOOKUP(Table2[[#This Row],[AgentID]],Sales_Agents!$A$1:C1112,3)</f>
        <v>South</v>
      </c>
    </row>
    <row r="1110" spans="1:14" x14ac:dyDescent="0.25">
      <c r="A1110">
        <v>1109</v>
      </c>
      <c r="B1110" s="1">
        <v>45597</v>
      </c>
      <c r="C1110" s="8" t="str">
        <f>TEXT(Table2[[#This Row],[OrderDate]],"mmm")</f>
        <v>Nov</v>
      </c>
      <c r="D1110">
        <v>1</v>
      </c>
      <c r="E1110">
        <v>1</v>
      </c>
      <c r="F1110">
        <v>2</v>
      </c>
      <c r="G1110" s="3">
        <v>120532</v>
      </c>
      <c r="H1110" s="3">
        <f t="shared" si="34"/>
        <v>241064</v>
      </c>
      <c r="I1110" s="5">
        <f>Table2[[#This Row],[Total Revenue]]*0.3</f>
        <v>72319.199999999997</v>
      </c>
      <c r="J1110" s="6">
        <f t="shared" si="35"/>
        <v>0.3</v>
      </c>
      <c r="K1110" t="str">
        <f>VLOOKUP(Table2[[#This Row],[ProductID]],Products!$A$1:C1114,2)</f>
        <v>Laptop</v>
      </c>
      <c r="L1110" t="str">
        <f>VLOOKUP(D1110,Products!$A$1:C1114,3)</f>
        <v>Electronics</v>
      </c>
      <c r="M1110" t="str">
        <f>VLOOKUP(Table2[[#This Row],[AgentID]],Sales_Agents!$A$1:C1113,2)</f>
        <v>Akin</v>
      </c>
      <c r="N1110" t="str">
        <f>VLOOKUP(Table2[[#This Row],[AgentID]],Sales_Agents!$A$1:C1113,3)</f>
        <v>West</v>
      </c>
    </row>
    <row r="1111" spans="1:14" x14ac:dyDescent="0.25">
      <c r="A1111">
        <v>1110</v>
      </c>
      <c r="B1111" s="1">
        <v>45532</v>
      </c>
      <c r="C1111" s="8" t="str">
        <f>TEXT(Table2[[#This Row],[OrderDate]],"mmm")</f>
        <v>Aug</v>
      </c>
      <c r="D1111">
        <v>5</v>
      </c>
      <c r="E1111">
        <v>3</v>
      </c>
      <c r="F1111">
        <v>1</v>
      </c>
      <c r="G1111" s="3">
        <v>330559</v>
      </c>
      <c r="H1111" s="3">
        <f t="shared" si="34"/>
        <v>330559</v>
      </c>
      <c r="I1111" s="5">
        <f>Table2[[#This Row],[Total Revenue]]*0.3</f>
        <v>99167.7</v>
      </c>
      <c r="J1111" s="6">
        <f t="shared" si="35"/>
        <v>0.3</v>
      </c>
      <c r="K1111" t="str">
        <f>VLOOKUP(Table2[[#This Row],[ProductID]],Products!$A$1:C1115,2)</f>
        <v>Monitor</v>
      </c>
      <c r="L1111" t="str">
        <f>VLOOKUP(D1111,Products!$A$1:C1115,3)</f>
        <v>Accessories</v>
      </c>
      <c r="M1111" t="str">
        <f>VLOOKUP(Table2[[#This Row],[AgentID]],Sales_Agents!$A$1:C1114,2)</f>
        <v>Chinedu</v>
      </c>
      <c r="N1111" t="str">
        <f>VLOOKUP(Table2[[#This Row],[AgentID]],Sales_Agents!$A$1:C1114,3)</f>
        <v>South</v>
      </c>
    </row>
    <row r="1112" spans="1:14" x14ac:dyDescent="0.25">
      <c r="A1112">
        <v>1111</v>
      </c>
      <c r="B1112" s="1">
        <v>45343</v>
      </c>
      <c r="C1112" s="8" t="str">
        <f>TEXT(Table2[[#This Row],[OrderDate]],"mmm")</f>
        <v>Feb</v>
      </c>
      <c r="D1112">
        <v>4</v>
      </c>
      <c r="E1112">
        <v>2</v>
      </c>
      <c r="F1112">
        <v>9</v>
      </c>
      <c r="G1112" s="3">
        <v>197329</v>
      </c>
      <c r="H1112" s="3">
        <f t="shared" si="34"/>
        <v>1775961</v>
      </c>
      <c r="I1112" s="5">
        <f>Table2[[#This Row],[Total Revenue]]*0.3</f>
        <v>532788.29999999993</v>
      </c>
      <c r="J1112" s="6">
        <f t="shared" si="35"/>
        <v>0.29999999999999993</v>
      </c>
      <c r="K1112" t="str">
        <f>VLOOKUP(Table2[[#This Row],[ProductID]],Products!$A$1:C1116,2)</f>
        <v>Printer</v>
      </c>
      <c r="L1112" t="str">
        <f>VLOOKUP(D1112,Products!$A$1:C1116,3)</f>
        <v>Accessories</v>
      </c>
      <c r="M1112" t="str">
        <f>VLOOKUP(Table2[[#This Row],[AgentID]],Sales_Agents!$A$1:C1115,2)</f>
        <v>Blessing</v>
      </c>
      <c r="N1112" t="str">
        <f>VLOOKUP(Table2[[#This Row],[AgentID]],Sales_Agents!$A$1:C1115,3)</f>
        <v>East</v>
      </c>
    </row>
    <row r="1113" spans="1:14" x14ac:dyDescent="0.25">
      <c r="A1113">
        <v>1112</v>
      </c>
      <c r="B1113" s="1">
        <v>45447</v>
      </c>
      <c r="C1113" s="8" t="str">
        <f>TEXT(Table2[[#This Row],[OrderDate]],"mmm")</f>
        <v>Jun</v>
      </c>
      <c r="D1113">
        <v>3</v>
      </c>
      <c r="E1113">
        <v>2</v>
      </c>
      <c r="F1113">
        <v>12</v>
      </c>
      <c r="G1113" s="3">
        <v>247167</v>
      </c>
      <c r="H1113" s="3">
        <f t="shared" si="34"/>
        <v>2966004</v>
      </c>
      <c r="I1113" s="5">
        <f>Table2[[#This Row],[Total Revenue]]*0.3</f>
        <v>889801.2</v>
      </c>
      <c r="J1113" s="6">
        <f t="shared" si="35"/>
        <v>0.3</v>
      </c>
      <c r="K1113" t="str">
        <f>VLOOKUP(Table2[[#This Row],[ProductID]],Products!$A$1:C1117,2)</f>
        <v>Tablet</v>
      </c>
      <c r="L1113" t="str">
        <f>VLOOKUP(D1113,Products!$A$1:C1117,3)</f>
        <v>Electronics</v>
      </c>
      <c r="M1113" t="str">
        <f>VLOOKUP(Table2[[#This Row],[AgentID]],Sales_Agents!$A$1:C1116,2)</f>
        <v>Blessing</v>
      </c>
      <c r="N1113" t="str">
        <f>VLOOKUP(Table2[[#This Row],[AgentID]],Sales_Agents!$A$1:C1116,3)</f>
        <v>East</v>
      </c>
    </row>
    <row r="1114" spans="1:14" x14ac:dyDescent="0.25">
      <c r="A1114">
        <v>1113</v>
      </c>
      <c r="B1114" s="1">
        <v>45448</v>
      </c>
      <c r="C1114" s="8" t="str">
        <f>TEXT(Table2[[#This Row],[OrderDate]],"mmm")</f>
        <v>Jun</v>
      </c>
      <c r="D1114">
        <v>3</v>
      </c>
      <c r="E1114">
        <v>4</v>
      </c>
      <c r="F1114">
        <v>14</v>
      </c>
      <c r="G1114" s="3">
        <v>203989</v>
      </c>
      <c r="H1114" s="3">
        <f t="shared" si="34"/>
        <v>2855846</v>
      </c>
      <c r="I1114" s="5">
        <f>Table2[[#This Row],[Total Revenue]]*0.3</f>
        <v>856753.79999999993</v>
      </c>
      <c r="J1114" s="6">
        <f t="shared" si="35"/>
        <v>0.3</v>
      </c>
      <c r="K1114" t="str">
        <f>VLOOKUP(Table2[[#This Row],[ProductID]],Products!$A$1:C1118,2)</f>
        <v>Tablet</v>
      </c>
      <c r="L1114" t="str">
        <f>VLOOKUP(D1114,Products!$A$1:C1118,3)</f>
        <v>Electronics</v>
      </c>
      <c r="M1114" t="str">
        <f>VLOOKUP(Table2[[#This Row],[AgentID]],Sales_Agents!$A$1:C1117,2)</f>
        <v>Zainab</v>
      </c>
      <c r="N1114" t="str">
        <f>VLOOKUP(Table2[[#This Row],[AgentID]],Sales_Agents!$A$1:C1117,3)</f>
        <v>North</v>
      </c>
    </row>
    <row r="1115" spans="1:14" x14ac:dyDescent="0.25">
      <c r="A1115">
        <v>1114</v>
      </c>
      <c r="B1115" s="1">
        <v>45525</v>
      </c>
      <c r="C1115" s="8" t="str">
        <f>TEXT(Table2[[#This Row],[OrderDate]],"mmm")</f>
        <v>Aug</v>
      </c>
      <c r="D1115">
        <v>1</v>
      </c>
      <c r="E1115">
        <v>1</v>
      </c>
      <c r="F1115">
        <v>8</v>
      </c>
      <c r="G1115" s="3">
        <v>93590</v>
      </c>
      <c r="H1115" s="3">
        <f t="shared" si="34"/>
        <v>748720</v>
      </c>
      <c r="I1115" s="5">
        <f>Table2[[#This Row],[Total Revenue]]*0.3</f>
        <v>224616</v>
      </c>
      <c r="J1115" s="6">
        <f t="shared" si="35"/>
        <v>0.3</v>
      </c>
      <c r="K1115" t="str">
        <f>VLOOKUP(Table2[[#This Row],[ProductID]],Products!$A$1:C1119,2)</f>
        <v>Laptop</v>
      </c>
      <c r="L1115" t="str">
        <f>VLOOKUP(D1115,Products!$A$1:C1119,3)</f>
        <v>Electronics</v>
      </c>
      <c r="M1115" t="str">
        <f>VLOOKUP(Table2[[#This Row],[AgentID]],Sales_Agents!$A$1:C1118,2)</f>
        <v>Akin</v>
      </c>
      <c r="N1115" t="str">
        <f>VLOOKUP(Table2[[#This Row],[AgentID]],Sales_Agents!$A$1:C1118,3)</f>
        <v>West</v>
      </c>
    </row>
    <row r="1116" spans="1:14" x14ac:dyDescent="0.25">
      <c r="A1116">
        <v>1115</v>
      </c>
      <c r="B1116" s="1">
        <v>45317</v>
      </c>
      <c r="C1116" s="8" t="str">
        <f>TEXT(Table2[[#This Row],[OrderDate]],"mmm")</f>
        <v>Jan</v>
      </c>
      <c r="D1116">
        <v>5</v>
      </c>
      <c r="E1116">
        <v>2</v>
      </c>
      <c r="F1116">
        <v>16</v>
      </c>
      <c r="G1116" s="3">
        <v>177754</v>
      </c>
      <c r="H1116" s="3">
        <f t="shared" si="34"/>
        <v>2844064</v>
      </c>
      <c r="I1116" s="5">
        <f>Table2[[#This Row],[Total Revenue]]*0.3</f>
        <v>853219.2</v>
      </c>
      <c r="J1116" s="6">
        <f t="shared" si="35"/>
        <v>0.3</v>
      </c>
      <c r="K1116" t="str">
        <f>VLOOKUP(Table2[[#This Row],[ProductID]],Products!$A$1:C1120,2)</f>
        <v>Monitor</v>
      </c>
      <c r="L1116" t="str">
        <f>VLOOKUP(D1116,Products!$A$1:C1120,3)</f>
        <v>Accessories</v>
      </c>
      <c r="M1116" t="str">
        <f>VLOOKUP(Table2[[#This Row],[AgentID]],Sales_Agents!$A$1:C1119,2)</f>
        <v>Blessing</v>
      </c>
      <c r="N1116" t="str">
        <f>VLOOKUP(Table2[[#This Row],[AgentID]],Sales_Agents!$A$1:C1119,3)</f>
        <v>East</v>
      </c>
    </row>
    <row r="1117" spans="1:14" x14ac:dyDescent="0.25">
      <c r="A1117">
        <v>1116</v>
      </c>
      <c r="B1117" s="1">
        <v>45293</v>
      </c>
      <c r="C1117" s="8" t="str">
        <f>TEXT(Table2[[#This Row],[OrderDate]],"mmm")</f>
        <v>Jan</v>
      </c>
      <c r="D1117">
        <v>5</v>
      </c>
      <c r="E1117">
        <v>1</v>
      </c>
      <c r="F1117">
        <v>6</v>
      </c>
      <c r="G1117" s="3">
        <v>371471</v>
      </c>
      <c r="H1117" s="3">
        <f t="shared" si="34"/>
        <v>2228826</v>
      </c>
      <c r="I1117" s="5">
        <f>Table2[[#This Row],[Total Revenue]]*0.3</f>
        <v>668647.79999999993</v>
      </c>
      <c r="J1117" s="6">
        <f t="shared" si="35"/>
        <v>0.3</v>
      </c>
      <c r="K1117" t="str">
        <f>VLOOKUP(Table2[[#This Row],[ProductID]],Products!$A$1:C1121,2)</f>
        <v>Monitor</v>
      </c>
      <c r="L1117" t="str">
        <f>VLOOKUP(D1117,Products!$A$1:C1121,3)</f>
        <v>Accessories</v>
      </c>
      <c r="M1117" t="str">
        <f>VLOOKUP(Table2[[#This Row],[AgentID]],Sales_Agents!$A$1:C1120,2)</f>
        <v>Akin</v>
      </c>
      <c r="N1117" t="str">
        <f>VLOOKUP(Table2[[#This Row],[AgentID]],Sales_Agents!$A$1:C1120,3)</f>
        <v>West</v>
      </c>
    </row>
    <row r="1118" spans="1:14" x14ac:dyDescent="0.25">
      <c r="A1118">
        <v>1117</v>
      </c>
      <c r="B1118" s="1">
        <v>45466</v>
      </c>
      <c r="C1118" s="8" t="str">
        <f>TEXT(Table2[[#This Row],[OrderDate]],"mmm")</f>
        <v>Jun</v>
      </c>
      <c r="D1118">
        <v>3</v>
      </c>
      <c r="E1118">
        <v>4</v>
      </c>
      <c r="F1118">
        <v>6</v>
      </c>
      <c r="G1118" s="3">
        <v>379670</v>
      </c>
      <c r="H1118" s="3">
        <f t="shared" si="34"/>
        <v>2278020</v>
      </c>
      <c r="I1118" s="5">
        <f>Table2[[#This Row],[Total Revenue]]*0.3</f>
        <v>683406</v>
      </c>
      <c r="J1118" s="6">
        <f t="shared" si="35"/>
        <v>0.3</v>
      </c>
      <c r="K1118" t="str">
        <f>VLOOKUP(Table2[[#This Row],[ProductID]],Products!$A$1:C1122,2)</f>
        <v>Tablet</v>
      </c>
      <c r="L1118" t="str">
        <f>VLOOKUP(D1118,Products!$A$1:C1122,3)</f>
        <v>Electronics</v>
      </c>
      <c r="M1118" t="str">
        <f>VLOOKUP(Table2[[#This Row],[AgentID]],Sales_Agents!$A$1:C1121,2)</f>
        <v>Zainab</v>
      </c>
      <c r="N1118" t="str">
        <f>VLOOKUP(Table2[[#This Row],[AgentID]],Sales_Agents!$A$1:C1121,3)</f>
        <v>North</v>
      </c>
    </row>
    <row r="1119" spans="1:14" x14ac:dyDescent="0.25">
      <c r="A1119">
        <v>1118</v>
      </c>
      <c r="B1119" s="1">
        <v>45431</v>
      </c>
      <c r="C1119" s="8" t="str">
        <f>TEXT(Table2[[#This Row],[OrderDate]],"mmm")</f>
        <v>May</v>
      </c>
      <c r="D1119">
        <v>3</v>
      </c>
      <c r="E1119">
        <v>1</v>
      </c>
      <c r="F1119">
        <v>4</v>
      </c>
      <c r="G1119" s="3">
        <v>213083</v>
      </c>
      <c r="H1119" s="3">
        <f t="shared" si="34"/>
        <v>852332</v>
      </c>
      <c r="I1119" s="5">
        <f>Table2[[#This Row],[Total Revenue]]*0.3</f>
        <v>255699.59999999998</v>
      </c>
      <c r="J1119" s="6">
        <f t="shared" si="35"/>
        <v>0.3</v>
      </c>
      <c r="K1119" t="str">
        <f>VLOOKUP(Table2[[#This Row],[ProductID]],Products!$A$1:C1123,2)</f>
        <v>Tablet</v>
      </c>
      <c r="L1119" t="str">
        <f>VLOOKUP(D1119,Products!$A$1:C1123,3)</f>
        <v>Electronics</v>
      </c>
      <c r="M1119" t="str">
        <f>VLOOKUP(Table2[[#This Row],[AgentID]],Sales_Agents!$A$1:C1122,2)</f>
        <v>Akin</v>
      </c>
      <c r="N1119" t="str">
        <f>VLOOKUP(Table2[[#This Row],[AgentID]],Sales_Agents!$A$1:C1122,3)</f>
        <v>West</v>
      </c>
    </row>
    <row r="1120" spans="1:14" x14ac:dyDescent="0.25">
      <c r="A1120">
        <v>1119</v>
      </c>
      <c r="B1120" s="1">
        <v>45359</v>
      </c>
      <c r="C1120" s="8" t="str">
        <f>TEXT(Table2[[#This Row],[OrderDate]],"mmm")</f>
        <v>Mar</v>
      </c>
      <c r="D1120">
        <v>4</v>
      </c>
      <c r="E1120">
        <v>1</v>
      </c>
      <c r="F1120">
        <v>2</v>
      </c>
      <c r="G1120" s="3">
        <v>82960</v>
      </c>
      <c r="H1120" s="3">
        <f t="shared" si="34"/>
        <v>165920</v>
      </c>
      <c r="I1120" s="5">
        <f>Table2[[#This Row],[Total Revenue]]*0.3</f>
        <v>49776</v>
      </c>
      <c r="J1120" s="6">
        <f t="shared" si="35"/>
        <v>0.3</v>
      </c>
      <c r="K1120" t="str">
        <f>VLOOKUP(Table2[[#This Row],[ProductID]],Products!$A$1:C1124,2)</f>
        <v>Printer</v>
      </c>
      <c r="L1120" t="str">
        <f>VLOOKUP(D1120,Products!$A$1:C1124,3)</f>
        <v>Accessories</v>
      </c>
      <c r="M1120" t="str">
        <f>VLOOKUP(Table2[[#This Row],[AgentID]],Sales_Agents!$A$1:C1123,2)</f>
        <v>Akin</v>
      </c>
      <c r="N1120" t="str">
        <f>VLOOKUP(Table2[[#This Row],[AgentID]],Sales_Agents!$A$1:C1123,3)</f>
        <v>West</v>
      </c>
    </row>
    <row r="1121" spans="1:14" x14ac:dyDescent="0.25">
      <c r="A1121">
        <v>1120</v>
      </c>
      <c r="B1121" s="1">
        <v>45388</v>
      </c>
      <c r="C1121" s="8" t="str">
        <f>TEXT(Table2[[#This Row],[OrderDate]],"mmm")</f>
        <v>Apr</v>
      </c>
      <c r="D1121">
        <v>3</v>
      </c>
      <c r="E1121">
        <v>4</v>
      </c>
      <c r="F1121">
        <v>16</v>
      </c>
      <c r="G1121" s="3">
        <v>246475</v>
      </c>
      <c r="H1121" s="3">
        <f t="shared" si="34"/>
        <v>3943600</v>
      </c>
      <c r="I1121" s="5">
        <f>Table2[[#This Row],[Total Revenue]]*0.3</f>
        <v>1183080</v>
      </c>
      <c r="J1121" s="6">
        <f t="shared" si="35"/>
        <v>0.3</v>
      </c>
      <c r="K1121" t="str">
        <f>VLOOKUP(Table2[[#This Row],[ProductID]],Products!$A$1:C1125,2)</f>
        <v>Tablet</v>
      </c>
      <c r="L1121" t="str">
        <f>VLOOKUP(D1121,Products!$A$1:C1125,3)</f>
        <v>Electronics</v>
      </c>
      <c r="M1121" t="str">
        <f>VLOOKUP(Table2[[#This Row],[AgentID]],Sales_Agents!$A$1:C1124,2)</f>
        <v>Zainab</v>
      </c>
      <c r="N1121" t="str">
        <f>VLOOKUP(Table2[[#This Row],[AgentID]],Sales_Agents!$A$1:C1124,3)</f>
        <v>North</v>
      </c>
    </row>
    <row r="1122" spans="1:14" x14ac:dyDescent="0.25">
      <c r="A1122">
        <v>1121</v>
      </c>
      <c r="B1122" s="1">
        <v>45435</v>
      </c>
      <c r="C1122" s="8" t="str">
        <f>TEXT(Table2[[#This Row],[OrderDate]],"mmm")</f>
        <v>May</v>
      </c>
      <c r="D1122">
        <v>4</v>
      </c>
      <c r="E1122">
        <v>4</v>
      </c>
      <c r="F1122">
        <v>19</v>
      </c>
      <c r="G1122" s="3">
        <v>80267</v>
      </c>
      <c r="H1122" s="3">
        <f t="shared" si="34"/>
        <v>1525073</v>
      </c>
      <c r="I1122" s="5">
        <f>Table2[[#This Row],[Total Revenue]]*0.3</f>
        <v>457521.89999999997</v>
      </c>
      <c r="J1122" s="6">
        <f t="shared" si="35"/>
        <v>0.3</v>
      </c>
      <c r="K1122" t="str">
        <f>VLOOKUP(Table2[[#This Row],[ProductID]],Products!$A$1:C1126,2)</f>
        <v>Printer</v>
      </c>
      <c r="L1122" t="str">
        <f>VLOOKUP(D1122,Products!$A$1:C1126,3)</f>
        <v>Accessories</v>
      </c>
      <c r="M1122" t="str">
        <f>VLOOKUP(Table2[[#This Row],[AgentID]],Sales_Agents!$A$1:C1125,2)</f>
        <v>Zainab</v>
      </c>
      <c r="N1122" t="str">
        <f>VLOOKUP(Table2[[#This Row],[AgentID]],Sales_Agents!$A$1:C1125,3)</f>
        <v>North</v>
      </c>
    </row>
    <row r="1123" spans="1:14" x14ac:dyDescent="0.25">
      <c r="A1123">
        <v>1122</v>
      </c>
      <c r="B1123" s="1">
        <v>45386</v>
      </c>
      <c r="C1123" s="8" t="str">
        <f>TEXT(Table2[[#This Row],[OrderDate]],"mmm")</f>
        <v>Apr</v>
      </c>
      <c r="D1123">
        <v>2</v>
      </c>
      <c r="E1123">
        <v>3</v>
      </c>
      <c r="F1123">
        <v>15</v>
      </c>
      <c r="G1123" s="3">
        <v>289747</v>
      </c>
      <c r="H1123" s="3">
        <f t="shared" si="34"/>
        <v>4346205</v>
      </c>
      <c r="I1123" s="5">
        <f>Table2[[#This Row],[Total Revenue]]*0.3</f>
        <v>1303861.5</v>
      </c>
      <c r="J1123" s="6">
        <f t="shared" si="35"/>
        <v>0.3</v>
      </c>
      <c r="K1123" t="str">
        <f>VLOOKUP(Table2[[#This Row],[ProductID]],Products!$A$1:C1127,2)</f>
        <v>Phone</v>
      </c>
      <c r="L1123" t="str">
        <f>VLOOKUP(D1123,Products!$A$1:C1127,3)</f>
        <v>Electronics</v>
      </c>
      <c r="M1123" t="str">
        <f>VLOOKUP(Table2[[#This Row],[AgentID]],Sales_Agents!$A$1:C1126,2)</f>
        <v>Chinedu</v>
      </c>
      <c r="N1123" t="str">
        <f>VLOOKUP(Table2[[#This Row],[AgentID]],Sales_Agents!$A$1:C1126,3)</f>
        <v>South</v>
      </c>
    </row>
    <row r="1124" spans="1:14" x14ac:dyDescent="0.25">
      <c r="A1124">
        <v>1123</v>
      </c>
      <c r="B1124" s="1">
        <v>45480</v>
      </c>
      <c r="C1124" s="8" t="str">
        <f>TEXT(Table2[[#This Row],[OrderDate]],"mmm")</f>
        <v>Jul</v>
      </c>
      <c r="D1124">
        <v>2</v>
      </c>
      <c r="E1124">
        <v>1</v>
      </c>
      <c r="F1124">
        <v>7</v>
      </c>
      <c r="G1124" s="3">
        <v>186894</v>
      </c>
      <c r="H1124" s="3">
        <f t="shared" si="34"/>
        <v>1308258</v>
      </c>
      <c r="I1124" s="5">
        <f>Table2[[#This Row],[Total Revenue]]*0.3</f>
        <v>392477.39999999997</v>
      </c>
      <c r="J1124" s="6">
        <f t="shared" si="35"/>
        <v>0.3</v>
      </c>
      <c r="K1124" t="str">
        <f>VLOOKUP(Table2[[#This Row],[ProductID]],Products!$A$1:C1128,2)</f>
        <v>Phone</v>
      </c>
      <c r="L1124" t="str">
        <f>VLOOKUP(D1124,Products!$A$1:C1128,3)</f>
        <v>Electronics</v>
      </c>
      <c r="M1124" t="str">
        <f>VLOOKUP(Table2[[#This Row],[AgentID]],Sales_Agents!$A$1:C1127,2)</f>
        <v>Akin</v>
      </c>
      <c r="N1124" t="str">
        <f>VLOOKUP(Table2[[#This Row],[AgentID]],Sales_Agents!$A$1:C1127,3)</f>
        <v>West</v>
      </c>
    </row>
    <row r="1125" spans="1:14" x14ac:dyDescent="0.25">
      <c r="A1125">
        <v>1124</v>
      </c>
      <c r="B1125" s="1">
        <v>45555</v>
      </c>
      <c r="C1125" s="8" t="str">
        <f>TEXT(Table2[[#This Row],[OrderDate]],"mmm")</f>
        <v>Sept</v>
      </c>
      <c r="D1125">
        <v>5</v>
      </c>
      <c r="E1125">
        <v>2</v>
      </c>
      <c r="F1125">
        <v>19</v>
      </c>
      <c r="G1125" s="3">
        <v>294131</v>
      </c>
      <c r="H1125" s="3">
        <f t="shared" si="34"/>
        <v>5588489</v>
      </c>
      <c r="I1125" s="5">
        <f>Table2[[#This Row],[Total Revenue]]*0.3</f>
        <v>1676546.7</v>
      </c>
      <c r="J1125" s="6">
        <f t="shared" si="35"/>
        <v>0.3</v>
      </c>
      <c r="K1125" t="str">
        <f>VLOOKUP(Table2[[#This Row],[ProductID]],Products!$A$1:C1129,2)</f>
        <v>Monitor</v>
      </c>
      <c r="L1125" t="str">
        <f>VLOOKUP(D1125,Products!$A$1:C1129,3)</f>
        <v>Accessories</v>
      </c>
      <c r="M1125" t="str">
        <f>VLOOKUP(Table2[[#This Row],[AgentID]],Sales_Agents!$A$1:C1128,2)</f>
        <v>Blessing</v>
      </c>
      <c r="N1125" t="str">
        <f>VLOOKUP(Table2[[#This Row],[AgentID]],Sales_Agents!$A$1:C1128,3)</f>
        <v>East</v>
      </c>
    </row>
    <row r="1126" spans="1:14" x14ac:dyDescent="0.25">
      <c r="A1126">
        <v>1125</v>
      </c>
      <c r="B1126" s="1">
        <v>45365</v>
      </c>
      <c r="C1126" s="8" t="str">
        <f>TEXT(Table2[[#This Row],[OrderDate]],"mmm")</f>
        <v>Mar</v>
      </c>
      <c r="D1126">
        <v>2</v>
      </c>
      <c r="E1126">
        <v>3</v>
      </c>
      <c r="F1126">
        <v>5</v>
      </c>
      <c r="G1126" s="3">
        <v>343254</v>
      </c>
      <c r="H1126" s="3">
        <f t="shared" si="34"/>
        <v>1716270</v>
      </c>
      <c r="I1126" s="5">
        <f>Table2[[#This Row],[Total Revenue]]*0.3</f>
        <v>514881</v>
      </c>
      <c r="J1126" s="6">
        <f t="shared" si="35"/>
        <v>0.3</v>
      </c>
      <c r="K1126" t="str">
        <f>VLOOKUP(Table2[[#This Row],[ProductID]],Products!$A$1:C1130,2)</f>
        <v>Phone</v>
      </c>
      <c r="L1126" t="str">
        <f>VLOOKUP(D1126,Products!$A$1:C1130,3)</f>
        <v>Electronics</v>
      </c>
      <c r="M1126" t="str">
        <f>VLOOKUP(Table2[[#This Row],[AgentID]],Sales_Agents!$A$1:C1129,2)</f>
        <v>Chinedu</v>
      </c>
      <c r="N1126" t="str">
        <f>VLOOKUP(Table2[[#This Row],[AgentID]],Sales_Agents!$A$1:C1129,3)</f>
        <v>South</v>
      </c>
    </row>
    <row r="1127" spans="1:14" x14ac:dyDescent="0.25">
      <c r="A1127">
        <v>1126</v>
      </c>
      <c r="B1127" s="1">
        <v>45324</v>
      </c>
      <c r="C1127" s="8" t="str">
        <f>TEXT(Table2[[#This Row],[OrderDate]],"mmm")</f>
        <v>Feb</v>
      </c>
      <c r="D1127">
        <v>2</v>
      </c>
      <c r="E1127">
        <v>4</v>
      </c>
      <c r="F1127">
        <v>8</v>
      </c>
      <c r="G1127" s="3">
        <v>135966</v>
      </c>
      <c r="H1127" s="3">
        <f t="shared" si="34"/>
        <v>1087728</v>
      </c>
      <c r="I1127" s="5">
        <f>Table2[[#This Row],[Total Revenue]]*0.3</f>
        <v>326318.39999999997</v>
      </c>
      <c r="J1127" s="6">
        <f t="shared" si="35"/>
        <v>0.3</v>
      </c>
      <c r="K1127" t="str">
        <f>VLOOKUP(Table2[[#This Row],[ProductID]],Products!$A$1:C1131,2)</f>
        <v>Phone</v>
      </c>
      <c r="L1127" t="str">
        <f>VLOOKUP(D1127,Products!$A$1:C1131,3)</f>
        <v>Electronics</v>
      </c>
      <c r="M1127" t="str">
        <f>VLOOKUP(Table2[[#This Row],[AgentID]],Sales_Agents!$A$1:C1130,2)</f>
        <v>Zainab</v>
      </c>
      <c r="N1127" t="str">
        <f>VLOOKUP(Table2[[#This Row],[AgentID]],Sales_Agents!$A$1:C1130,3)</f>
        <v>North</v>
      </c>
    </row>
    <row r="1128" spans="1:14" x14ac:dyDescent="0.25">
      <c r="A1128">
        <v>1127</v>
      </c>
      <c r="B1128" s="1">
        <v>45296</v>
      </c>
      <c r="C1128" s="8" t="str">
        <f>TEXT(Table2[[#This Row],[OrderDate]],"mmm")</f>
        <v>Jan</v>
      </c>
      <c r="D1128">
        <v>2</v>
      </c>
      <c r="E1128">
        <v>4</v>
      </c>
      <c r="F1128">
        <v>6</v>
      </c>
      <c r="G1128" s="3">
        <v>239966</v>
      </c>
      <c r="H1128" s="3">
        <f t="shared" si="34"/>
        <v>1439796</v>
      </c>
      <c r="I1128" s="5">
        <f>Table2[[#This Row],[Total Revenue]]*0.3</f>
        <v>431938.8</v>
      </c>
      <c r="J1128" s="6">
        <f t="shared" si="35"/>
        <v>0.3</v>
      </c>
      <c r="K1128" t="str">
        <f>VLOOKUP(Table2[[#This Row],[ProductID]],Products!$A$1:C1132,2)</f>
        <v>Phone</v>
      </c>
      <c r="L1128" t="str">
        <f>VLOOKUP(D1128,Products!$A$1:C1132,3)</f>
        <v>Electronics</v>
      </c>
      <c r="M1128" t="str">
        <f>VLOOKUP(Table2[[#This Row],[AgentID]],Sales_Agents!$A$1:C1131,2)</f>
        <v>Zainab</v>
      </c>
      <c r="N1128" t="str">
        <f>VLOOKUP(Table2[[#This Row],[AgentID]],Sales_Agents!$A$1:C1131,3)</f>
        <v>North</v>
      </c>
    </row>
    <row r="1129" spans="1:14" x14ac:dyDescent="0.25">
      <c r="A1129">
        <v>1128</v>
      </c>
      <c r="B1129" s="1">
        <v>45563</v>
      </c>
      <c r="C1129" s="8" t="str">
        <f>TEXT(Table2[[#This Row],[OrderDate]],"mmm")</f>
        <v>Sept</v>
      </c>
      <c r="D1129">
        <v>1</v>
      </c>
      <c r="E1129">
        <v>2</v>
      </c>
      <c r="F1129">
        <v>7</v>
      </c>
      <c r="G1129" s="3">
        <v>245264</v>
      </c>
      <c r="H1129" s="3">
        <f t="shared" si="34"/>
        <v>1716848</v>
      </c>
      <c r="I1129" s="5">
        <f>Table2[[#This Row],[Total Revenue]]*0.3</f>
        <v>515054.39999999997</v>
      </c>
      <c r="J1129" s="6">
        <f t="shared" si="35"/>
        <v>0.3</v>
      </c>
      <c r="K1129" t="str">
        <f>VLOOKUP(Table2[[#This Row],[ProductID]],Products!$A$1:C1133,2)</f>
        <v>Laptop</v>
      </c>
      <c r="L1129" t="str">
        <f>VLOOKUP(D1129,Products!$A$1:C1133,3)</f>
        <v>Electronics</v>
      </c>
      <c r="M1129" t="str">
        <f>VLOOKUP(Table2[[#This Row],[AgentID]],Sales_Agents!$A$1:C1132,2)</f>
        <v>Blessing</v>
      </c>
      <c r="N1129" t="str">
        <f>VLOOKUP(Table2[[#This Row],[AgentID]],Sales_Agents!$A$1:C1132,3)</f>
        <v>East</v>
      </c>
    </row>
    <row r="1130" spans="1:14" x14ac:dyDescent="0.25">
      <c r="A1130">
        <v>1129</v>
      </c>
      <c r="B1130" s="1">
        <v>45450</v>
      </c>
      <c r="C1130" s="8" t="str">
        <f>TEXT(Table2[[#This Row],[OrderDate]],"mmm")</f>
        <v>Jun</v>
      </c>
      <c r="D1130">
        <v>1</v>
      </c>
      <c r="E1130">
        <v>1</v>
      </c>
      <c r="F1130">
        <v>14</v>
      </c>
      <c r="G1130" s="3">
        <v>55730</v>
      </c>
      <c r="H1130" s="3">
        <f t="shared" si="34"/>
        <v>780220</v>
      </c>
      <c r="I1130" s="5">
        <f>Table2[[#This Row],[Total Revenue]]*0.3</f>
        <v>234066</v>
      </c>
      <c r="J1130" s="6">
        <f t="shared" si="35"/>
        <v>0.3</v>
      </c>
      <c r="K1130" t="str">
        <f>VLOOKUP(Table2[[#This Row],[ProductID]],Products!$A$1:C1134,2)</f>
        <v>Laptop</v>
      </c>
      <c r="L1130" t="str">
        <f>VLOOKUP(D1130,Products!$A$1:C1134,3)</f>
        <v>Electronics</v>
      </c>
      <c r="M1130" t="str">
        <f>VLOOKUP(Table2[[#This Row],[AgentID]],Sales_Agents!$A$1:C1133,2)</f>
        <v>Akin</v>
      </c>
      <c r="N1130" t="str">
        <f>VLOOKUP(Table2[[#This Row],[AgentID]],Sales_Agents!$A$1:C1133,3)</f>
        <v>West</v>
      </c>
    </row>
    <row r="1131" spans="1:14" x14ac:dyDescent="0.25">
      <c r="A1131">
        <v>1130</v>
      </c>
      <c r="B1131" s="1">
        <v>45569</v>
      </c>
      <c r="C1131" s="8" t="str">
        <f>TEXT(Table2[[#This Row],[OrderDate]],"mmm")</f>
        <v>Oct</v>
      </c>
      <c r="D1131">
        <v>2</v>
      </c>
      <c r="E1131">
        <v>1</v>
      </c>
      <c r="F1131">
        <v>1</v>
      </c>
      <c r="G1131" s="3">
        <v>311695</v>
      </c>
      <c r="H1131" s="3">
        <f t="shared" si="34"/>
        <v>311695</v>
      </c>
      <c r="I1131" s="5">
        <f>Table2[[#This Row],[Total Revenue]]*0.3</f>
        <v>93508.5</v>
      </c>
      <c r="J1131" s="6">
        <f t="shared" si="35"/>
        <v>0.3</v>
      </c>
      <c r="K1131" t="str">
        <f>VLOOKUP(Table2[[#This Row],[ProductID]],Products!$A$1:C1135,2)</f>
        <v>Phone</v>
      </c>
      <c r="L1131" t="str">
        <f>VLOOKUP(D1131,Products!$A$1:C1135,3)</f>
        <v>Electronics</v>
      </c>
      <c r="M1131" t="str">
        <f>VLOOKUP(Table2[[#This Row],[AgentID]],Sales_Agents!$A$1:C1134,2)</f>
        <v>Akin</v>
      </c>
      <c r="N1131" t="str">
        <f>VLOOKUP(Table2[[#This Row],[AgentID]],Sales_Agents!$A$1:C1134,3)</f>
        <v>West</v>
      </c>
    </row>
    <row r="1132" spans="1:14" x14ac:dyDescent="0.25">
      <c r="A1132">
        <v>1131</v>
      </c>
      <c r="B1132" s="1">
        <v>45359</v>
      </c>
      <c r="C1132" s="8" t="str">
        <f>TEXT(Table2[[#This Row],[OrderDate]],"mmm")</f>
        <v>Mar</v>
      </c>
      <c r="D1132">
        <v>5</v>
      </c>
      <c r="E1132">
        <v>2</v>
      </c>
      <c r="F1132">
        <v>4</v>
      </c>
      <c r="G1132" s="3">
        <v>289315</v>
      </c>
      <c r="H1132" s="3">
        <f t="shared" si="34"/>
        <v>1157260</v>
      </c>
      <c r="I1132" s="5">
        <f>Table2[[#This Row],[Total Revenue]]*0.3</f>
        <v>347178</v>
      </c>
      <c r="J1132" s="6">
        <f t="shared" si="35"/>
        <v>0.3</v>
      </c>
      <c r="K1132" t="str">
        <f>VLOOKUP(Table2[[#This Row],[ProductID]],Products!$A$1:C1136,2)</f>
        <v>Monitor</v>
      </c>
      <c r="L1132" t="str">
        <f>VLOOKUP(D1132,Products!$A$1:C1136,3)</f>
        <v>Accessories</v>
      </c>
      <c r="M1132" t="str">
        <f>VLOOKUP(Table2[[#This Row],[AgentID]],Sales_Agents!$A$1:C1135,2)</f>
        <v>Blessing</v>
      </c>
      <c r="N1132" t="str">
        <f>VLOOKUP(Table2[[#This Row],[AgentID]],Sales_Agents!$A$1:C1135,3)</f>
        <v>East</v>
      </c>
    </row>
    <row r="1133" spans="1:14" x14ac:dyDescent="0.25">
      <c r="A1133">
        <v>1132</v>
      </c>
      <c r="B1133" s="1">
        <v>45554</v>
      </c>
      <c r="C1133" s="8" t="str">
        <f>TEXT(Table2[[#This Row],[OrderDate]],"mmm")</f>
        <v>Sept</v>
      </c>
      <c r="D1133">
        <v>3</v>
      </c>
      <c r="E1133">
        <v>2</v>
      </c>
      <c r="F1133">
        <v>10</v>
      </c>
      <c r="G1133" s="3">
        <v>143939</v>
      </c>
      <c r="H1133" s="3">
        <f t="shared" si="34"/>
        <v>1439390</v>
      </c>
      <c r="I1133" s="5">
        <f>Table2[[#This Row],[Total Revenue]]*0.3</f>
        <v>431817</v>
      </c>
      <c r="J1133" s="6">
        <f t="shared" si="35"/>
        <v>0.3</v>
      </c>
      <c r="K1133" t="str">
        <f>VLOOKUP(Table2[[#This Row],[ProductID]],Products!$A$1:C1137,2)</f>
        <v>Tablet</v>
      </c>
      <c r="L1133" t="str">
        <f>VLOOKUP(D1133,Products!$A$1:C1137,3)</f>
        <v>Electronics</v>
      </c>
      <c r="M1133" t="str">
        <f>VLOOKUP(Table2[[#This Row],[AgentID]],Sales_Agents!$A$1:C1136,2)</f>
        <v>Blessing</v>
      </c>
      <c r="N1133" t="str">
        <f>VLOOKUP(Table2[[#This Row],[AgentID]],Sales_Agents!$A$1:C1136,3)</f>
        <v>East</v>
      </c>
    </row>
    <row r="1134" spans="1:14" x14ac:dyDescent="0.25">
      <c r="A1134">
        <v>1133</v>
      </c>
      <c r="B1134" s="1">
        <v>45403</v>
      </c>
      <c r="C1134" s="8" t="str">
        <f>TEXT(Table2[[#This Row],[OrderDate]],"mmm")</f>
        <v>Apr</v>
      </c>
      <c r="D1134">
        <v>5</v>
      </c>
      <c r="E1134">
        <v>4</v>
      </c>
      <c r="F1134">
        <v>8</v>
      </c>
      <c r="G1134" s="3">
        <v>133056</v>
      </c>
      <c r="H1134" s="3">
        <f t="shared" si="34"/>
        <v>1064448</v>
      </c>
      <c r="I1134" s="5">
        <f>Table2[[#This Row],[Total Revenue]]*0.3</f>
        <v>319334.39999999997</v>
      </c>
      <c r="J1134" s="6">
        <f t="shared" si="35"/>
        <v>0.3</v>
      </c>
      <c r="K1134" t="str">
        <f>VLOOKUP(Table2[[#This Row],[ProductID]],Products!$A$1:C1138,2)</f>
        <v>Monitor</v>
      </c>
      <c r="L1134" t="str">
        <f>VLOOKUP(D1134,Products!$A$1:C1138,3)</f>
        <v>Accessories</v>
      </c>
      <c r="M1134" t="str">
        <f>VLOOKUP(Table2[[#This Row],[AgentID]],Sales_Agents!$A$1:C1137,2)</f>
        <v>Zainab</v>
      </c>
      <c r="N1134" t="str">
        <f>VLOOKUP(Table2[[#This Row],[AgentID]],Sales_Agents!$A$1:C1137,3)</f>
        <v>North</v>
      </c>
    </row>
    <row r="1135" spans="1:14" x14ac:dyDescent="0.25">
      <c r="A1135">
        <v>1134</v>
      </c>
      <c r="B1135" s="1">
        <v>45403</v>
      </c>
      <c r="C1135" s="8" t="str">
        <f>TEXT(Table2[[#This Row],[OrderDate]],"mmm")</f>
        <v>Apr</v>
      </c>
      <c r="D1135">
        <v>1</v>
      </c>
      <c r="E1135">
        <v>2</v>
      </c>
      <c r="F1135">
        <v>3</v>
      </c>
      <c r="G1135" s="3">
        <v>269745</v>
      </c>
      <c r="H1135" s="3">
        <f t="shared" si="34"/>
        <v>809235</v>
      </c>
      <c r="I1135" s="5">
        <f>Table2[[#This Row],[Total Revenue]]*0.3</f>
        <v>242770.5</v>
      </c>
      <c r="J1135" s="6">
        <f t="shared" si="35"/>
        <v>0.3</v>
      </c>
      <c r="K1135" t="str">
        <f>VLOOKUP(Table2[[#This Row],[ProductID]],Products!$A$1:C1139,2)</f>
        <v>Laptop</v>
      </c>
      <c r="L1135" t="str">
        <f>VLOOKUP(D1135,Products!$A$1:C1139,3)</f>
        <v>Electronics</v>
      </c>
      <c r="M1135" t="str">
        <f>VLOOKUP(Table2[[#This Row],[AgentID]],Sales_Agents!$A$1:C1138,2)</f>
        <v>Blessing</v>
      </c>
      <c r="N1135" t="str">
        <f>VLOOKUP(Table2[[#This Row],[AgentID]],Sales_Agents!$A$1:C1138,3)</f>
        <v>East</v>
      </c>
    </row>
    <row r="1136" spans="1:14" x14ac:dyDescent="0.25">
      <c r="A1136">
        <v>1135</v>
      </c>
      <c r="B1136" s="1">
        <v>45373</v>
      </c>
      <c r="C1136" s="8" t="str">
        <f>TEXT(Table2[[#This Row],[OrderDate]],"mmm")</f>
        <v>Mar</v>
      </c>
      <c r="D1136">
        <v>5</v>
      </c>
      <c r="E1136">
        <v>4</v>
      </c>
      <c r="F1136">
        <v>19</v>
      </c>
      <c r="G1136" s="3">
        <v>377704</v>
      </c>
      <c r="H1136" s="3">
        <f t="shared" si="34"/>
        <v>7176376</v>
      </c>
      <c r="I1136" s="5">
        <f>Table2[[#This Row],[Total Revenue]]*0.3</f>
        <v>2152912.7999999998</v>
      </c>
      <c r="J1136" s="6">
        <f t="shared" si="35"/>
        <v>0.3</v>
      </c>
      <c r="K1136" t="str">
        <f>VLOOKUP(Table2[[#This Row],[ProductID]],Products!$A$1:C1140,2)</f>
        <v>Monitor</v>
      </c>
      <c r="L1136" t="str">
        <f>VLOOKUP(D1136,Products!$A$1:C1140,3)</f>
        <v>Accessories</v>
      </c>
      <c r="M1136" t="str">
        <f>VLOOKUP(Table2[[#This Row],[AgentID]],Sales_Agents!$A$1:C1139,2)</f>
        <v>Zainab</v>
      </c>
      <c r="N1136" t="str">
        <f>VLOOKUP(Table2[[#This Row],[AgentID]],Sales_Agents!$A$1:C1139,3)</f>
        <v>North</v>
      </c>
    </row>
    <row r="1137" spans="1:14" x14ac:dyDescent="0.25">
      <c r="A1137">
        <v>1136</v>
      </c>
      <c r="B1137" s="1">
        <v>45650</v>
      </c>
      <c r="C1137" s="8" t="str">
        <f>TEXT(Table2[[#This Row],[OrderDate]],"mmm")</f>
        <v>Dec</v>
      </c>
      <c r="D1137">
        <v>5</v>
      </c>
      <c r="E1137">
        <v>4</v>
      </c>
      <c r="F1137">
        <v>10</v>
      </c>
      <c r="G1137" s="3">
        <v>79784</v>
      </c>
      <c r="H1137" s="3">
        <f t="shared" si="34"/>
        <v>797840</v>
      </c>
      <c r="I1137" s="5">
        <f>Table2[[#This Row],[Total Revenue]]*0.3</f>
        <v>239352</v>
      </c>
      <c r="J1137" s="6">
        <f t="shared" si="35"/>
        <v>0.3</v>
      </c>
      <c r="K1137" t="str">
        <f>VLOOKUP(Table2[[#This Row],[ProductID]],Products!$A$1:C1141,2)</f>
        <v>Monitor</v>
      </c>
      <c r="L1137" t="str">
        <f>VLOOKUP(D1137,Products!$A$1:C1141,3)</f>
        <v>Accessories</v>
      </c>
      <c r="M1137" t="str">
        <f>VLOOKUP(Table2[[#This Row],[AgentID]],Sales_Agents!$A$1:C1140,2)</f>
        <v>Zainab</v>
      </c>
      <c r="N1137" t="str">
        <f>VLOOKUP(Table2[[#This Row],[AgentID]],Sales_Agents!$A$1:C1140,3)</f>
        <v>North</v>
      </c>
    </row>
    <row r="1138" spans="1:14" x14ac:dyDescent="0.25">
      <c r="A1138">
        <v>1137</v>
      </c>
      <c r="B1138" s="1">
        <v>45606</v>
      </c>
      <c r="C1138" s="8" t="str">
        <f>TEXT(Table2[[#This Row],[OrderDate]],"mmm")</f>
        <v>Nov</v>
      </c>
      <c r="D1138">
        <v>4</v>
      </c>
      <c r="E1138">
        <v>3</v>
      </c>
      <c r="F1138">
        <v>14</v>
      </c>
      <c r="G1138" s="3">
        <v>307774</v>
      </c>
      <c r="H1138" s="3">
        <f t="shared" si="34"/>
        <v>4308836</v>
      </c>
      <c r="I1138" s="5">
        <f>Table2[[#This Row],[Total Revenue]]*0.3</f>
        <v>1292650.8</v>
      </c>
      <c r="J1138" s="6">
        <f t="shared" si="35"/>
        <v>0.3</v>
      </c>
      <c r="K1138" t="str">
        <f>VLOOKUP(Table2[[#This Row],[ProductID]],Products!$A$1:C1142,2)</f>
        <v>Printer</v>
      </c>
      <c r="L1138" t="str">
        <f>VLOOKUP(D1138,Products!$A$1:C1142,3)</f>
        <v>Accessories</v>
      </c>
      <c r="M1138" t="str">
        <f>VLOOKUP(Table2[[#This Row],[AgentID]],Sales_Agents!$A$1:C1141,2)</f>
        <v>Chinedu</v>
      </c>
      <c r="N1138" t="str">
        <f>VLOOKUP(Table2[[#This Row],[AgentID]],Sales_Agents!$A$1:C1141,3)</f>
        <v>South</v>
      </c>
    </row>
    <row r="1139" spans="1:14" x14ac:dyDescent="0.25">
      <c r="A1139">
        <v>1138</v>
      </c>
      <c r="B1139" s="1">
        <v>45309</v>
      </c>
      <c r="C1139" s="8" t="str">
        <f>TEXT(Table2[[#This Row],[OrderDate]],"mmm")</f>
        <v>Jan</v>
      </c>
      <c r="D1139">
        <v>1</v>
      </c>
      <c r="E1139">
        <v>2</v>
      </c>
      <c r="F1139">
        <v>13</v>
      </c>
      <c r="G1139" s="3">
        <v>97009</v>
      </c>
      <c r="H1139" s="3">
        <f t="shared" si="34"/>
        <v>1261117</v>
      </c>
      <c r="I1139" s="5">
        <f>Table2[[#This Row],[Total Revenue]]*0.3</f>
        <v>378335.1</v>
      </c>
      <c r="J1139" s="6">
        <f t="shared" si="35"/>
        <v>0.3</v>
      </c>
      <c r="K1139" t="str">
        <f>VLOOKUP(Table2[[#This Row],[ProductID]],Products!$A$1:C1143,2)</f>
        <v>Laptop</v>
      </c>
      <c r="L1139" t="str">
        <f>VLOOKUP(D1139,Products!$A$1:C1143,3)</f>
        <v>Electronics</v>
      </c>
      <c r="M1139" t="str">
        <f>VLOOKUP(Table2[[#This Row],[AgentID]],Sales_Agents!$A$1:C1142,2)</f>
        <v>Blessing</v>
      </c>
      <c r="N1139" t="str">
        <f>VLOOKUP(Table2[[#This Row],[AgentID]],Sales_Agents!$A$1:C1142,3)</f>
        <v>East</v>
      </c>
    </row>
    <row r="1140" spans="1:14" x14ac:dyDescent="0.25">
      <c r="A1140">
        <v>1139</v>
      </c>
      <c r="B1140" s="1">
        <v>45644</v>
      </c>
      <c r="C1140" s="8" t="str">
        <f>TEXT(Table2[[#This Row],[OrderDate]],"mmm")</f>
        <v>Dec</v>
      </c>
      <c r="D1140">
        <v>2</v>
      </c>
      <c r="E1140">
        <v>2</v>
      </c>
      <c r="F1140">
        <v>16</v>
      </c>
      <c r="G1140" s="3">
        <v>70676</v>
      </c>
      <c r="H1140" s="3">
        <f t="shared" si="34"/>
        <v>1130816</v>
      </c>
      <c r="I1140" s="5">
        <f>Table2[[#This Row],[Total Revenue]]*0.3</f>
        <v>339244.79999999999</v>
      </c>
      <c r="J1140" s="6">
        <f t="shared" si="35"/>
        <v>0.3</v>
      </c>
      <c r="K1140" t="str">
        <f>VLOOKUP(Table2[[#This Row],[ProductID]],Products!$A$1:C1144,2)</f>
        <v>Phone</v>
      </c>
      <c r="L1140" t="str">
        <f>VLOOKUP(D1140,Products!$A$1:C1144,3)</f>
        <v>Electronics</v>
      </c>
      <c r="M1140" t="str">
        <f>VLOOKUP(Table2[[#This Row],[AgentID]],Sales_Agents!$A$1:C1143,2)</f>
        <v>Blessing</v>
      </c>
      <c r="N1140" t="str">
        <f>VLOOKUP(Table2[[#This Row],[AgentID]],Sales_Agents!$A$1:C1143,3)</f>
        <v>East</v>
      </c>
    </row>
    <row r="1141" spans="1:14" x14ac:dyDescent="0.25">
      <c r="A1141">
        <v>1140</v>
      </c>
      <c r="B1141" s="1">
        <v>45620</v>
      </c>
      <c r="C1141" s="8" t="str">
        <f>TEXT(Table2[[#This Row],[OrderDate]],"mmm")</f>
        <v>Nov</v>
      </c>
      <c r="D1141">
        <v>4</v>
      </c>
      <c r="E1141">
        <v>2</v>
      </c>
      <c r="F1141">
        <v>10</v>
      </c>
      <c r="G1141" s="3">
        <v>301443</v>
      </c>
      <c r="H1141" s="3">
        <f t="shared" si="34"/>
        <v>3014430</v>
      </c>
      <c r="I1141" s="5">
        <f>Table2[[#This Row],[Total Revenue]]*0.3</f>
        <v>904329</v>
      </c>
      <c r="J1141" s="6">
        <f t="shared" si="35"/>
        <v>0.3</v>
      </c>
      <c r="K1141" t="str">
        <f>VLOOKUP(Table2[[#This Row],[ProductID]],Products!$A$1:C1145,2)</f>
        <v>Printer</v>
      </c>
      <c r="L1141" t="str">
        <f>VLOOKUP(D1141,Products!$A$1:C1145,3)</f>
        <v>Accessories</v>
      </c>
      <c r="M1141" t="str">
        <f>VLOOKUP(Table2[[#This Row],[AgentID]],Sales_Agents!$A$1:C1144,2)</f>
        <v>Blessing</v>
      </c>
      <c r="N1141" t="str">
        <f>VLOOKUP(Table2[[#This Row],[AgentID]],Sales_Agents!$A$1:C1144,3)</f>
        <v>East</v>
      </c>
    </row>
    <row r="1142" spans="1:14" x14ac:dyDescent="0.25">
      <c r="A1142">
        <v>1141</v>
      </c>
      <c r="B1142" s="1">
        <v>45626</v>
      </c>
      <c r="C1142" s="8" t="str">
        <f>TEXT(Table2[[#This Row],[OrderDate]],"mmm")</f>
        <v>Nov</v>
      </c>
      <c r="D1142">
        <v>3</v>
      </c>
      <c r="E1142">
        <v>1</v>
      </c>
      <c r="F1142">
        <v>7</v>
      </c>
      <c r="G1142" s="3">
        <v>278987</v>
      </c>
      <c r="H1142" s="3">
        <f t="shared" si="34"/>
        <v>1952909</v>
      </c>
      <c r="I1142" s="5">
        <f>Table2[[#This Row],[Total Revenue]]*0.3</f>
        <v>585872.69999999995</v>
      </c>
      <c r="J1142" s="6">
        <f t="shared" si="35"/>
        <v>0.3</v>
      </c>
      <c r="K1142" t="str">
        <f>VLOOKUP(Table2[[#This Row],[ProductID]],Products!$A$1:C1146,2)</f>
        <v>Tablet</v>
      </c>
      <c r="L1142" t="str">
        <f>VLOOKUP(D1142,Products!$A$1:C1146,3)</f>
        <v>Electronics</v>
      </c>
      <c r="M1142" t="str">
        <f>VLOOKUP(Table2[[#This Row],[AgentID]],Sales_Agents!$A$1:C1145,2)</f>
        <v>Akin</v>
      </c>
      <c r="N1142" t="str">
        <f>VLOOKUP(Table2[[#This Row],[AgentID]],Sales_Agents!$A$1:C1145,3)</f>
        <v>West</v>
      </c>
    </row>
    <row r="1143" spans="1:14" x14ac:dyDescent="0.25">
      <c r="A1143">
        <v>1142</v>
      </c>
      <c r="B1143" s="1">
        <v>45534</v>
      </c>
      <c r="C1143" s="8" t="str">
        <f>TEXT(Table2[[#This Row],[OrderDate]],"mmm")</f>
        <v>Aug</v>
      </c>
      <c r="D1143">
        <v>2</v>
      </c>
      <c r="E1143">
        <v>3</v>
      </c>
      <c r="F1143">
        <v>19</v>
      </c>
      <c r="G1143" s="3">
        <v>287262</v>
      </c>
      <c r="H1143" s="3">
        <f t="shared" si="34"/>
        <v>5457978</v>
      </c>
      <c r="I1143" s="5">
        <f>Table2[[#This Row],[Total Revenue]]*0.3</f>
        <v>1637393.4</v>
      </c>
      <c r="J1143" s="6">
        <f t="shared" si="35"/>
        <v>0.3</v>
      </c>
      <c r="K1143" t="str">
        <f>VLOOKUP(Table2[[#This Row],[ProductID]],Products!$A$1:C1147,2)</f>
        <v>Phone</v>
      </c>
      <c r="L1143" t="str">
        <f>VLOOKUP(D1143,Products!$A$1:C1147,3)</f>
        <v>Electronics</v>
      </c>
      <c r="M1143" t="str">
        <f>VLOOKUP(Table2[[#This Row],[AgentID]],Sales_Agents!$A$1:C1146,2)</f>
        <v>Chinedu</v>
      </c>
      <c r="N1143" t="str">
        <f>VLOOKUP(Table2[[#This Row],[AgentID]],Sales_Agents!$A$1:C1146,3)</f>
        <v>South</v>
      </c>
    </row>
    <row r="1144" spans="1:14" x14ac:dyDescent="0.25">
      <c r="A1144">
        <v>1143</v>
      </c>
      <c r="B1144" s="1">
        <v>45461</v>
      </c>
      <c r="C1144" s="8" t="str">
        <f>TEXT(Table2[[#This Row],[OrderDate]],"mmm")</f>
        <v>Jun</v>
      </c>
      <c r="D1144">
        <v>5</v>
      </c>
      <c r="E1144">
        <v>2</v>
      </c>
      <c r="F1144">
        <v>15</v>
      </c>
      <c r="G1144" s="3">
        <v>210959</v>
      </c>
      <c r="H1144" s="3">
        <f t="shared" si="34"/>
        <v>3164385</v>
      </c>
      <c r="I1144" s="5">
        <f>Table2[[#This Row],[Total Revenue]]*0.3</f>
        <v>949315.5</v>
      </c>
      <c r="J1144" s="6">
        <f t="shared" si="35"/>
        <v>0.3</v>
      </c>
      <c r="K1144" t="str">
        <f>VLOOKUP(Table2[[#This Row],[ProductID]],Products!$A$1:C1148,2)</f>
        <v>Monitor</v>
      </c>
      <c r="L1144" t="str">
        <f>VLOOKUP(D1144,Products!$A$1:C1148,3)</f>
        <v>Accessories</v>
      </c>
      <c r="M1144" t="str">
        <f>VLOOKUP(Table2[[#This Row],[AgentID]],Sales_Agents!$A$1:C1147,2)</f>
        <v>Blessing</v>
      </c>
      <c r="N1144" t="str">
        <f>VLOOKUP(Table2[[#This Row],[AgentID]],Sales_Agents!$A$1:C1147,3)</f>
        <v>East</v>
      </c>
    </row>
    <row r="1145" spans="1:14" x14ac:dyDescent="0.25">
      <c r="A1145">
        <v>1144</v>
      </c>
      <c r="B1145" s="1">
        <v>45523</v>
      </c>
      <c r="C1145" s="8" t="str">
        <f>TEXT(Table2[[#This Row],[OrderDate]],"mmm")</f>
        <v>Aug</v>
      </c>
      <c r="D1145">
        <v>5</v>
      </c>
      <c r="E1145">
        <v>3</v>
      </c>
      <c r="F1145">
        <v>5</v>
      </c>
      <c r="G1145" s="3">
        <v>90803</v>
      </c>
      <c r="H1145" s="3">
        <f t="shared" si="34"/>
        <v>454015</v>
      </c>
      <c r="I1145" s="5">
        <f>Table2[[#This Row],[Total Revenue]]*0.3</f>
        <v>136204.5</v>
      </c>
      <c r="J1145" s="6">
        <f t="shared" si="35"/>
        <v>0.3</v>
      </c>
      <c r="K1145" t="str">
        <f>VLOOKUP(Table2[[#This Row],[ProductID]],Products!$A$1:C1149,2)</f>
        <v>Monitor</v>
      </c>
      <c r="L1145" t="str">
        <f>VLOOKUP(D1145,Products!$A$1:C1149,3)</f>
        <v>Accessories</v>
      </c>
      <c r="M1145" t="str">
        <f>VLOOKUP(Table2[[#This Row],[AgentID]],Sales_Agents!$A$1:C1148,2)</f>
        <v>Chinedu</v>
      </c>
      <c r="N1145" t="str">
        <f>VLOOKUP(Table2[[#This Row],[AgentID]],Sales_Agents!$A$1:C1148,3)</f>
        <v>South</v>
      </c>
    </row>
    <row r="1146" spans="1:14" x14ac:dyDescent="0.25">
      <c r="A1146">
        <v>1145</v>
      </c>
      <c r="B1146" s="1">
        <v>45312</v>
      </c>
      <c r="C1146" s="8" t="str">
        <f>TEXT(Table2[[#This Row],[OrderDate]],"mmm")</f>
        <v>Jan</v>
      </c>
      <c r="D1146">
        <v>4</v>
      </c>
      <c r="E1146">
        <v>4</v>
      </c>
      <c r="F1146">
        <v>20</v>
      </c>
      <c r="G1146" s="3">
        <v>83494</v>
      </c>
      <c r="H1146" s="3">
        <f t="shared" si="34"/>
        <v>1669880</v>
      </c>
      <c r="I1146" s="5">
        <f>Table2[[#This Row],[Total Revenue]]*0.3</f>
        <v>500964</v>
      </c>
      <c r="J1146" s="6">
        <f t="shared" si="35"/>
        <v>0.3</v>
      </c>
      <c r="K1146" t="str">
        <f>VLOOKUP(Table2[[#This Row],[ProductID]],Products!$A$1:C1150,2)</f>
        <v>Printer</v>
      </c>
      <c r="L1146" t="str">
        <f>VLOOKUP(D1146,Products!$A$1:C1150,3)</f>
        <v>Accessories</v>
      </c>
      <c r="M1146" t="str">
        <f>VLOOKUP(Table2[[#This Row],[AgentID]],Sales_Agents!$A$1:C1149,2)</f>
        <v>Zainab</v>
      </c>
      <c r="N1146" t="str">
        <f>VLOOKUP(Table2[[#This Row],[AgentID]],Sales_Agents!$A$1:C1149,3)</f>
        <v>North</v>
      </c>
    </row>
    <row r="1147" spans="1:14" x14ac:dyDescent="0.25">
      <c r="A1147">
        <v>1146</v>
      </c>
      <c r="B1147" s="1">
        <v>45533</v>
      </c>
      <c r="C1147" s="8" t="str">
        <f>TEXT(Table2[[#This Row],[OrderDate]],"mmm")</f>
        <v>Aug</v>
      </c>
      <c r="D1147">
        <v>4</v>
      </c>
      <c r="E1147">
        <v>2</v>
      </c>
      <c r="F1147">
        <v>13</v>
      </c>
      <c r="G1147" s="3">
        <v>181873</v>
      </c>
      <c r="H1147" s="3">
        <f t="shared" si="34"/>
        <v>2364349</v>
      </c>
      <c r="I1147" s="5">
        <f>Table2[[#This Row],[Total Revenue]]*0.3</f>
        <v>709304.7</v>
      </c>
      <c r="J1147" s="6">
        <f t="shared" si="35"/>
        <v>0.3</v>
      </c>
      <c r="K1147" t="str">
        <f>VLOOKUP(Table2[[#This Row],[ProductID]],Products!$A$1:C1151,2)</f>
        <v>Printer</v>
      </c>
      <c r="L1147" t="str">
        <f>VLOOKUP(D1147,Products!$A$1:C1151,3)</f>
        <v>Accessories</v>
      </c>
      <c r="M1147" t="str">
        <f>VLOOKUP(Table2[[#This Row],[AgentID]],Sales_Agents!$A$1:C1150,2)</f>
        <v>Blessing</v>
      </c>
      <c r="N1147" t="str">
        <f>VLOOKUP(Table2[[#This Row],[AgentID]],Sales_Agents!$A$1:C1150,3)</f>
        <v>East</v>
      </c>
    </row>
    <row r="1148" spans="1:14" x14ac:dyDescent="0.25">
      <c r="A1148">
        <v>1147</v>
      </c>
      <c r="B1148" s="1">
        <v>45409</v>
      </c>
      <c r="C1148" s="8" t="str">
        <f>TEXT(Table2[[#This Row],[OrderDate]],"mmm")</f>
        <v>Apr</v>
      </c>
      <c r="D1148">
        <v>5</v>
      </c>
      <c r="E1148">
        <v>1</v>
      </c>
      <c r="F1148">
        <v>12</v>
      </c>
      <c r="G1148" s="3">
        <v>105859</v>
      </c>
      <c r="H1148" s="3">
        <f t="shared" si="34"/>
        <v>1270308</v>
      </c>
      <c r="I1148" s="5">
        <f>Table2[[#This Row],[Total Revenue]]*0.3</f>
        <v>381092.39999999997</v>
      </c>
      <c r="J1148" s="6">
        <f t="shared" si="35"/>
        <v>0.3</v>
      </c>
      <c r="K1148" t="str">
        <f>VLOOKUP(Table2[[#This Row],[ProductID]],Products!$A$1:C1152,2)</f>
        <v>Monitor</v>
      </c>
      <c r="L1148" t="str">
        <f>VLOOKUP(D1148,Products!$A$1:C1152,3)</f>
        <v>Accessories</v>
      </c>
      <c r="M1148" t="str">
        <f>VLOOKUP(Table2[[#This Row],[AgentID]],Sales_Agents!$A$1:C1151,2)</f>
        <v>Akin</v>
      </c>
      <c r="N1148" t="str">
        <f>VLOOKUP(Table2[[#This Row],[AgentID]],Sales_Agents!$A$1:C1151,3)</f>
        <v>West</v>
      </c>
    </row>
    <row r="1149" spans="1:14" x14ac:dyDescent="0.25">
      <c r="A1149">
        <v>1148</v>
      </c>
      <c r="B1149" s="1">
        <v>45345</v>
      </c>
      <c r="C1149" s="8" t="str">
        <f>TEXT(Table2[[#This Row],[OrderDate]],"mmm")</f>
        <v>Feb</v>
      </c>
      <c r="D1149">
        <v>3</v>
      </c>
      <c r="E1149">
        <v>2</v>
      </c>
      <c r="F1149">
        <v>12</v>
      </c>
      <c r="G1149" s="3">
        <v>52453</v>
      </c>
      <c r="H1149" s="3">
        <f t="shared" si="34"/>
        <v>629436</v>
      </c>
      <c r="I1149" s="5">
        <f>Table2[[#This Row],[Total Revenue]]*0.3</f>
        <v>188830.8</v>
      </c>
      <c r="J1149" s="6">
        <f t="shared" si="35"/>
        <v>0.3</v>
      </c>
      <c r="K1149" t="str">
        <f>VLOOKUP(Table2[[#This Row],[ProductID]],Products!$A$1:C1153,2)</f>
        <v>Tablet</v>
      </c>
      <c r="L1149" t="str">
        <f>VLOOKUP(D1149,Products!$A$1:C1153,3)</f>
        <v>Electronics</v>
      </c>
      <c r="M1149" t="str">
        <f>VLOOKUP(Table2[[#This Row],[AgentID]],Sales_Agents!$A$1:C1152,2)</f>
        <v>Blessing</v>
      </c>
      <c r="N1149" t="str">
        <f>VLOOKUP(Table2[[#This Row],[AgentID]],Sales_Agents!$A$1:C1152,3)</f>
        <v>East</v>
      </c>
    </row>
    <row r="1150" spans="1:14" x14ac:dyDescent="0.25">
      <c r="A1150">
        <v>1149</v>
      </c>
      <c r="B1150" s="1">
        <v>45441</v>
      </c>
      <c r="C1150" s="8" t="str">
        <f>TEXT(Table2[[#This Row],[OrderDate]],"mmm")</f>
        <v>May</v>
      </c>
      <c r="D1150">
        <v>2</v>
      </c>
      <c r="E1150">
        <v>3</v>
      </c>
      <c r="F1150">
        <v>9</v>
      </c>
      <c r="G1150" s="3">
        <v>244287</v>
      </c>
      <c r="H1150" s="3">
        <f t="shared" si="34"/>
        <v>2198583</v>
      </c>
      <c r="I1150" s="5">
        <f>Table2[[#This Row],[Total Revenue]]*0.3</f>
        <v>659574.9</v>
      </c>
      <c r="J1150" s="6">
        <f t="shared" si="35"/>
        <v>0.3</v>
      </c>
      <c r="K1150" t="str">
        <f>VLOOKUP(Table2[[#This Row],[ProductID]],Products!$A$1:C1154,2)</f>
        <v>Phone</v>
      </c>
      <c r="L1150" t="str">
        <f>VLOOKUP(D1150,Products!$A$1:C1154,3)</f>
        <v>Electronics</v>
      </c>
      <c r="M1150" t="str">
        <f>VLOOKUP(Table2[[#This Row],[AgentID]],Sales_Agents!$A$1:C1153,2)</f>
        <v>Chinedu</v>
      </c>
      <c r="N1150" t="str">
        <f>VLOOKUP(Table2[[#This Row],[AgentID]],Sales_Agents!$A$1:C1153,3)</f>
        <v>South</v>
      </c>
    </row>
    <row r="1151" spans="1:14" x14ac:dyDescent="0.25">
      <c r="A1151">
        <v>1150</v>
      </c>
      <c r="B1151" s="1">
        <v>45349</v>
      </c>
      <c r="C1151" s="8" t="str">
        <f>TEXT(Table2[[#This Row],[OrderDate]],"mmm")</f>
        <v>Feb</v>
      </c>
      <c r="D1151">
        <v>1</v>
      </c>
      <c r="E1151">
        <v>4</v>
      </c>
      <c r="F1151">
        <v>14</v>
      </c>
      <c r="G1151" s="3">
        <v>127149</v>
      </c>
      <c r="H1151" s="3">
        <f t="shared" si="34"/>
        <v>1780086</v>
      </c>
      <c r="I1151" s="5">
        <f>Table2[[#This Row],[Total Revenue]]*0.3</f>
        <v>534025.79999999993</v>
      </c>
      <c r="J1151" s="6">
        <f t="shared" si="35"/>
        <v>0.29999999999999993</v>
      </c>
      <c r="K1151" t="str">
        <f>VLOOKUP(Table2[[#This Row],[ProductID]],Products!$A$1:C1155,2)</f>
        <v>Laptop</v>
      </c>
      <c r="L1151" t="str">
        <f>VLOOKUP(D1151,Products!$A$1:C1155,3)</f>
        <v>Electronics</v>
      </c>
      <c r="M1151" t="str">
        <f>VLOOKUP(Table2[[#This Row],[AgentID]],Sales_Agents!$A$1:C1154,2)</f>
        <v>Zainab</v>
      </c>
      <c r="N1151" t="str">
        <f>VLOOKUP(Table2[[#This Row],[AgentID]],Sales_Agents!$A$1:C1154,3)</f>
        <v>North</v>
      </c>
    </row>
    <row r="1152" spans="1:14" x14ac:dyDescent="0.25">
      <c r="A1152">
        <v>1151</v>
      </c>
      <c r="B1152" s="1">
        <v>45607</v>
      </c>
      <c r="C1152" s="8" t="str">
        <f>TEXT(Table2[[#This Row],[OrderDate]],"mmm")</f>
        <v>Nov</v>
      </c>
      <c r="D1152">
        <v>2</v>
      </c>
      <c r="E1152">
        <v>1</v>
      </c>
      <c r="F1152">
        <v>20</v>
      </c>
      <c r="G1152" s="3">
        <v>328862</v>
      </c>
      <c r="H1152" s="3">
        <f t="shared" si="34"/>
        <v>6577240</v>
      </c>
      <c r="I1152" s="5">
        <f>Table2[[#This Row],[Total Revenue]]*0.3</f>
        <v>1973172</v>
      </c>
      <c r="J1152" s="6">
        <f t="shared" si="35"/>
        <v>0.3</v>
      </c>
      <c r="K1152" t="str">
        <f>VLOOKUP(Table2[[#This Row],[ProductID]],Products!$A$1:C1156,2)</f>
        <v>Phone</v>
      </c>
      <c r="L1152" t="str">
        <f>VLOOKUP(D1152,Products!$A$1:C1156,3)</f>
        <v>Electronics</v>
      </c>
      <c r="M1152" t="str">
        <f>VLOOKUP(Table2[[#This Row],[AgentID]],Sales_Agents!$A$1:C1155,2)</f>
        <v>Akin</v>
      </c>
      <c r="N1152" t="str">
        <f>VLOOKUP(Table2[[#This Row],[AgentID]],Sales_Agents!$A$1:C1155,3)</f>
        <v>West</v>
      </c>
    </row>
    <row r="1153" spans="1:14" x14ac:dyDescent="0.25">
      <c r="A1153">
        <v>1152</v>
      </c>
      <c r="B1153" s="1">
        <v>45397</v>
      </c>
      <c r="C1153" s="8" t="str">
        <f>TEXT(Table2[[#This Row],[OrderDate]],"mmm")</f>
        <v>Apr</v>
      </c>
      <c r="D1153">
        <v>3</v>
      </c>
      <c r="E1153">
        <v>2</v>
      </c>
      <c r="F1153">
        <v>12</v>
      </c>
      <c r="G1153" s="3">
        <v>286896</v>
      </c>
      <c r="H1153" s="3">
        <f t="shared" si="34"/>
        <v>3442752</v>
      </c>
      <c r="I1153" s="5">
        <f>Table2[[#This Row],[Total Revenue]]*0.3</f>
        <v>1032825.6</v>
      </c>
      <c r="J1153" s="6">
        <f t="shared" si="35"/>
        <v>0.3</v>
      </c>
      <c r="K1153" t="str">
        <f>VLOOKUP(Table2[[#This Row],[ProductID]],Products!$A$1:C1157,2)</f>
        <v>Tablet</v>
      </c>
      <c r="L1153" t="str">
        <f>VLOOKUP(D1153,Products!$A$1:C1157,3)</f>
        <v>Electronics</v>
      </c>
      <c r="M1153" t="str">
        <f>VLOOKUP(Table2[[#This Row],[AgentID]],Sales_Agents!$A$1:C1156,2)</f>
        <v>Blessing</v>
      </c>
      <c r="N1153" t="str">
        <f>VLOOKUP(Table2[[#This Row],[AgentID]],Sales_Agents!$A$1:C1156,3)</f>
        <v>East</v>
      </c>
    </row>
    <row r="1154" spans="1:14" x14ac:dyDescent="0.25">
      <c r="A1154">
        <v>1153</v>
      </c>
      <c r="B1154" s="1">
        <v>45437</v>
      </c>
      <c r="C1154" s="8" t="str">
        <f>TEXT(Table2[[#This Row],[OrderDate]],"mmm")</f>
        <v>May</v>
      </c>
      <c r="D1154">
        <v>4</v>
      </c>
      <c r="E1154">
        <v>3</v>
      </c>
      <c r="F1154">
        <v>16</v>
      </c>
      <c r="G1154" s="3">
        <v>234298</v>
      </c>
      <c r="H1154" s="3">
        <f t="shared" ref="H1154:H1201" si="36">G1154*F1154</f>
        <v>3748768</v>
      </c>
      <c r="I1154" s="5">
        <f>Table2[[#This Row],[Total Revenue]]*0.3</f>
        <v>1124630.3999999999</v>
      </c>
      <c r="J1154" s="6">
        <f t="shared" ref="J1154:J1201" si="37">I1154/H1154</f>
        <v>0.3</v>
      </c>
      <c r="K1154" t="str">
        <f>VLOOKUP(Table2[[#This Row],[ProductID]],Products!$A$1:C1158,2)</f>
        <v>Printer</v>
      </c>
      <c r="L1154" t="str">
        <f>VLOOKUP(D1154,Products!$A$1:C1158,3)</f>
        <v>Accessories</v>
      </c>
      <c r="M1154" t="str">
        <f>VLOOKUP(Table2[[#This Row],[AgentID]],Sales_Agents!$A$1:C1157,2)</f>
        <v>Chinedu</v>
      </c>
      <c r="N1154" t="str">
        <f>VLOOKUP(Table2[[#This Row],[AgentID]],Sales_Agents!$A$1:C1157,3)</f>
        <v>South</v>
      </c>
    </row>
    <row r="1155" spans="1:14" x14ac:dyDescent="0.25">
      <c r="A1155">
        <v>1154</v>
      </c>
      <c r="B1155" s="1">
        <v>45643</v>
      </c>
      <c r="C1155" s="8" t="str">
        <f>TEXT(Table2[[#This Row],[OrderDate]],"mmm")</f>
        <v>Dec</v>
      </c>
      <c r="D1155">
        <v>1</v>
      </c>
      <c r="E1155">
        <v>3</v>
      </c>
      <c r="F1155">
        <v>16</v>
      </c>
      <c r="G1155" s="3">
        <v>183863</v>
      </c>
      <c r="H1155" s="3">
        <f t="shared" si="36"/>
        <v>2941808</v>
      </c>
      <c r="I1155" s="5">
        <f>Table2[[#This Row],[Total Revenue]]*0.3</f>
        <v>882542.4</v>
      </c>
      <c r="J1155" s="6">
        <f t="shared" si="37"/>
        <v>0.3</v>
      </c>
      <c r="K1155" t="str">
        <f>VLOOKUP(Table2[[#This Row],[ProductID]],Products!$A$1:C1159,2)</f>
        <v>Laptop</v>
      </c>
      <c r="L1155" t="str">
        <f>VLOOKUP(D1155,Products!$A$1:C1159,3)</f>
        <v>Electronics</v>
      </c>
      <c r="M1155" t="str">
        <f>VLOOKUP(Table2[[#This Row],[AgentID]],Sales_Agents!$A$1:C1158,2)</f>
        <v>Chinedu</v>
      </c>
      <c r="N1155" t="str">
        <f>VLOOKUP(Table2[[#This Row],[AgentID]],Sales_Agents!$A$1:C1158,3)</f>
        <v>South</v>
      </c>
    </row>
    <row r="1156" spans="1:14" x14ac:dyDescent="0.25">
      <c r="A1156">
        <v>1155</v>
      </c>
      <c r="B1156" s="1">
        <v>45571</v>
      </c>
      <c r="C1156" s="8" t="str">
        <f>TEXT(Table2[[#This Row],[OrderDate]],"mmm")</f>
        <v>Oct</v>
      </c>
      <c r="D1156">
        <v>1</v>
      </c>
      <c r="E1156">
        <v>3</v>
      </c>
      <c r="F1156">
        <v>16</v>
      </c>
      <c r="G1156" s="3">
        <v>85479</v>
      </c>
      <c r="H1156" s="3">
        <f t="shared" si="36"/>
        <v>1367664</v>
      </c>
      <c r="I1156" s="5">
        <f>Table2[[#This Row],[Total Revenue]]*0.3</f>
        <v>410299.2</v>
      </c>
      <c r="J1156" s="6">
        <f t="shared" si="37"/>
        <v>0.3</v>
      </c>
      <c r="K1156" t="str">
        <f>VLOOKUP(Table2[[#This Row],[ProductID]],Products!$A$1:C1160,2)</f>
        <v>Laptop</v>
      </c>
      <c r="L1156" t="str">
        <f>VLOOKUP(D1156,Products!$A$1:C1160,3)</f>
        <v>Electronics</v>
      </c>
      <c r="M1156" t="str">
        <f>VLOOKUP(Table2[[#This Row],[AgentID]],Sales_Agents!$A$1:C1159,2)</f>
        <v>Chinedu</v>
      </c>
      <c r="N1156" t="str">
        <f>VLOOKUP(Table2[[#This Row],[AgentID]],Sales_Agents!$A$1:C1159,3)</f>
        <v>South</v>
      </c>
    </row>
    <row r="1157" spans="1:14" x14ac:dyDescent="0.25">
      <c r="A1157">
        <v>1156</v>
      </c>
      <c r="B1157" s="1">
        <v>45555</v>
      </c>
      <c r="C1157" s="8" t="str">
        <f>TEXT(Table2[[#This Row],[OrderDate]],"mmm")</f>
        <v>Sept</v>
      </c>
      <c r="D1157">
        <v>4</v>
      </c>
      <c r="E1157">
        <v>2</v>
      </c>
      <c r="F1157">
        <v>18</v>
      </c>
      <c r="G1157" s="3">
        <v>256085</v>
      </c>
      <c r="H1157" s="3">
        <f t="shared" si="36"/>
        <v>4609530</v>
      </c>
      <c r="I1157" s="5">
        <f>Table2[[#This Row],[Total Revenue]]*0.3</f>
        <v>1382859</v>
      </c>
      <c r="J1157" s="6">
        <f t="shared" si="37"/>
        <v>0.3</v>
      </c>
      <c r="K1157" t="str">
        <f>VLOOKUP(Table2[[#This Row],[ProductID]],Products!$A$1:C1161,2)</f>
        <v>Printer</v>
      </c>
      <c r="L1157" t="str">
        <f>VLOOKUP(D1157,Products!$A$1:C1161,3)</f>
        <v>Accessories</v>
      </c>
      <c r="M1157" t="str">
        <f>VLOOKUP(Table2[[#This Row],[AgentID]],Sales_Agents!$A$1:C1160,2)</f>
        <v>Blessing</v>
      </c>
      <c r="N1157" t="str">
        <f>VLOOKUP(Table2[[#This Row],[AgentID]],Sales_Agents!$A$1:C1160,3)</f>
        <v>East</v>
      </c>
    </row>
    <row r="1158" spans="1:14" x14ac:dyDescent="0.25">
      <c r="A1158">
        <v>1157</v>
      </c>
      <c r="B1158" s="1">
        <v>45545</v>
      </c>
      <c r="C1158" s="8" t="str">
        <f>TEXT(Table2[[#This Row],[OrderDate]],"mmm")</f>
        <v>Sept</v>
      </c>
      <c r="D1158">
        <v>1</v>
      </c>
      <c r="E1158">
        <v>2</v>
      </c>
      <c r="F1158">
        <v>19</v>
      </c>
      <c r="G1158" s="3">
        <v>234075</v>
      </c>
      <c r="H1158" s="3">
        <f t="shared" si="36"/>
        <v>4447425</v>
      </c>
      <c r="I1158" s="5">
        <f>Table2[[#This Row],[Total Revenue]]*0.3</f>
        <v>1334227.5</v>
      </c>
      <c r="J1158" s="6">
        <f t="shared" si="37"/>
        <v>0.3</v>
      </c>
      <c r="K1158" t="str">
        <f>VLOOKUP(Table2[[#This Row],[ProductID]],Products!$A$1:C1162,2)</f>
        <v>Laptop</v>
      </c>
      <c r="L1158" t="str">
        <f>VLOOKUP(D1158,Products!$A$1:C1162,3)</f>
        <v>Electronics</v>
      </c>
      <c r="M1158" t="str">
        <f>VLOOKUP(Table2[[#This Row],[AgentID]],Sales_Agents!$A$1:C1161,2)</f>
        <v>Blessing</v>
      </c>
      <c r="N1158" t="str">
        <f>VLOOKUP(Table2[[#This Row],[AgentID]],Sales_Agents!$A$1:C1161,3)</f>
        <v>East</v>
      </c>
    </row>
    <row r="1159" spans="1:14" x14ac:dyDescent="0.25">
      <c r="A1159">
        <v>1158</v>
      </c>
      <c r="B1159" s="1">
        <v>45378</v>
      </c>
      <c r="C1159" s="8" t="str">
        <f>TEXT(Table2[[#This Row],[OrderDate]],"mmm")</f>
        <v>Mar</v>
      </c>
      <c r="D1159">
        <v>5</v>
      </c>
      <c r="E1159">
        <v>3</v>
      </c>
      <c r="F1159">
        <v>11</v>
      </c>
      <c r="G1159" s="3">
        <v>180404</v>
      </c>
      <c r="H1159" s="3">
        <f t="shared" si="36"/>
        <v>1984444</v>
      </c>
      <c r="I1159" s="5">
        <f>Table2[[#This Row],[Total Revenue]]*0.3</f>
        <v>595333.19999999995</v>
      </c>
      <c r="J1159" s="6">
        <f t="shared" si="37"/>
        <v>0.3</v>
      </c>
      <c r="K1159" t="str">
        <f>VLOOKUP(Table2[[#This Row],[ProductID]],Products!$A$1:C1163,2)</f>
        <v>Monitor</v>
      </c>
      <c r="L1159" t="str">
        <f>VLOOKUP(D1159,Products!$A$1:C1163,3)</f>
        <v>Accessories</v>
      </c>
      <c r="M1159" t="str">
        <f>VLOOKUP(Table2[[#This Row],[AgentID]],Sales_Agents!$A$1:C1162,2)</f>
        <v>Chinedu</v>
      </c>
      <c r="N1159" t="str">
        <f>VLOOKUP(Table2[[#This Row],[AgentID]],Sales_Agents!$A$1:C1162,3)</f>
        <v>South</v>
      </c>
    </row>
    <row r="1160" spans="1:14" x14ac:dyDescent="0.25">
      <c r="A1160">
        <v>1159</v>
      </c>
      <c r="B1160" s="1">
        <v>45640</v>
      </c>
      <c r="C1160" s="8" t="str">
        <f>TEXT(Table2[[#This Row],[OrderDate]],"mmm")</f>
        <v>Dec</v>
      </c>
      <c r="D1160">
        <v>3</v>
      </c>
      <c r="E1160">
        <v>4</v>
      </c>
      <c r="F1160">
        <v>15</v>
      </c>
      <c r="G1160" s="3">
        <v>213926</v>
      </c>
      <c r="H1160" s="3">
        <f t="shared" si="36"/>
        <v>3208890</v>
      </c>
      <c r="I1160" s="5">
        <f>Table2[[#This Row],[Total Revenue]]*0.3</f>
        <v>962667</v>
      </c>
      <c r="J1160" s="6">
        <f t="shared" si="37"/>
        <v>0.3</v>
      </c>
      <c r="K1160" t="str">
        <f>VLOOKUP(Table2[[#This Row],[ProductID]],Products!$A$1:C1164,2)</f>
        <v>Tablet</v>
      </c>
      <c r="L1160" t="str">
        <f>VLOOKUP(D1160,Products!$A$1:C1164,3)</f>
        <v>Electronics</v>
      </c>
      <c r="M1160" t="str">
        <f>VLOOKUP(Table2[[#This Row],[AgentID]],Sales_Agents!$A$1:C1163,2)</f>
        <v>Zainab</v>
      </c>
      <c r="N1160" t="str">
        <f>VLOOKUP(Table2[[#This Row],[AgentID]],Sales_Agents!$A$1:C1163,3)</f>
        <v>North</v>
      </c>
    </row>
    <row r="1161" spans="1:14" x14ac:dyDescent="0.25">
      <c r="A1161">
        <v>1160</v>
      </c>
      <c r="B1161" s="1">
        <v>45377</v>
      </c>
      <c r="C1161" s="8" t="str">
        <f>TEXT(Table2[[#This Row],[OrderDate]],"mmm")</f>
        <v>Mar</v>
      </c>
      <c r="D1161">
        <v>3</v>
      </c>
      <c r="E1161">
        <v>2</v>
      </c>
      <c r="F1161">
        <v>7</v>
      </c>
      <c r="G1161" s="3">
        <v>233800</v>
      </c>
      <c r="H1161" s="3">
        <f t="shared" si="36"/>
        <v>1636600</v>
      </c>
      <c r="I1161" s="5">
        <f>Table2[[#This Row],[Total Revenue]]*0.3</f>
        <v>490980</v>
      </c>
      <c r="J1161" s="6">
        <f t="shared" si="37"/>
        <v>0.3</v>
      </c>
      <c r="K1161" t="str">
        <f>VLOOKUP(Table2[[#This Row],[ProductID]],Products!$A$1:C1165,2)</f>
        <v>Tablet</v>
      </c>
      <c r="L1161" t="str">
        <f>VLOOKUP(D1161,Products!$A$1:C1165,3)</f>
        <v>Electronics</v>
      </c>
      <c r="M1161" t="str">
        <f>VLOOKUP(Table2[[#This Row],[AgentID]],Sales_Agents!$A$1:C1164,2)</f>
        <v>Blessing</v>
      </c>
      <c r="N1161" t="str">
        <f>VLOOKUP(Table2[[#This Row],[AgentID]],Sales_Agents!$A$1:C1164,3)</f>
        <v>East</v>
      </c>
    </row>
    <row r="1162" spans="1:14" x14ac:dyDescent="0.25">
      <c r="A1162">
        <v>1161</v>
      </c>
      <c r="B1162" s="1">
        <v>45408</v>
      </c>
      <c r="C1162" s="8" t="str">
        <f>TEXT(Table2[[#This Row],[OrderDate]],"mmm")</f>
        <v>Apr</v>
      </c>
      <c r="D1162">
        <v>5</v>
      </c>
      <c r="E1162">
        <v>3</v>
      </c>
      <c r="F1162">
        <v>15</v>
      </c>
      <c r="G1162" s="3">
        <v>351913</v>
      </c>
      <c r="H1162" s="3">
        <f t="shared" si="36"/>
        <v>5278695</v>
      </c>
      <c r="I1162" s="5">
        <f>Table2[[#This Row],[Total Revenue]]*0.3</f>
        <v>1583608.5</v>
      </c>
      <c r="J1162" s="6">
        <f t="shared" si="37"/>
        <v>0.3</v>
      </c>
      <c r="K1162" t="str">
        <f>VLOOKUP(Table2[[#This Row],[ProductID]],Products!$A$1:C1166,2)</f>
        <v>Monitor</v>
      </c>
      <c r="L1162" t="str">
        <f>VLOOKUP(D1162,Products!$A$1:C1166,3)</f>
        <v>Accessories</v>
      </c>
      <c r="M1162" t="str">
        <f>VLOOKUP(Table2[[#This Row],[AgentID]],Sales_Agents!$A$1:C1165,2)</f>
        <v>Chinedu</v>
      </c>
      <c r="N1162" t="str">
        <f>VLOOKUP(Table2[[#This Row],[AgentID]],Sales_Agents!$A$1:C1165,3)</f>
        <v>South</v>
      </c>
    </row>
    <row r="1163" spans="1:14" x14ac:dyDescent="0.25">
      <c r="A1163">
        <v>1162</v>
      </c>
      <c r="B1163" s="1">
        <v>45460</v>
      </c>
      <c r="C1163" s="8" t="str">
        <f>TEXT(Table2[[#This Row],[OrderDate]],"mmm")</f>
        <v>Jun</v>
      </c>
      <c r="D1163">
        <v>2</v>
      </c>
      <c r="E1163">
        <v>3</v>
      </c>
      <c r="F1163">
        <v>5</v>
      </c>
      <c r="G1163" s="3">
        <v>388003</v>
      </c>
      <c r="H1163" s="3">
        <f t="shared" si="36"/>
        <v>1940015</v>
      </c>
      <c r="I1163" s="5">
        <f>Table2[[#This Row],[Total Revenue]]*0.3</f>
        <v>582004.5</v>
      </c>
      <c r="J1163" s="6">
        <f t="shared" si="37"/>
        <v>0.3</v>
      </c>
      <c r="K1163" t="str">
        <f>VLOOKUP(Table2[[#This Row],[ProductID]],Products!$A$1:C1167,2)</f>
        <v>Phone</v>
      </c>
      <c r="L1163" t="str">
        <f>VLOOKUP(D1163,Products!$A$1:C1167,3)</f>
        <v>Electronics</v>
      </c>
      <c r="M1163" t="str">
        <f>VLOOKUP(Table2[[#This Row],[AgentID]],Sales_Agents!$A$1:C1166,2)</f>
        <v>Chinedu</v>
      </c>
      <c r="N1163" t="str">
        <f>VLOOKUP(Table2[[#This Row],[AgentID]],Sales_Agents!$A$1:C1166,3)</f>
        <v>South</v>
      </c>
    </row>
    <row r="1164" spans="1:14" x14ac:dyDescent="0.25">
      <c r="A1164">
        <v>1163</v>
      </c>
      <c r="B1164" s="1">
        <v>45309</v>
      </c>
      <c r="C1164" s="8" t="str">
        <f>TEXT(Table2[[#This Row],[OrderDate]],"mmm")</f>
        <v>Jan</v>
      </c>
      <c r="D1164">
        <v>3</v>
      </c>
      <c r="E1164">
        <v>3</v>
      </c>
      <c r="F1164">
        <v>2</v>
      </c>
      <c r="G1164" s="3">
        <v>241250</v>
      </c>
      <c r="H1164" s="3">
        <f t="shared" si="36"/>
        <v>482500</v>
      </c>
      <c r="I1164" s="5">
        <f>Table2[[#This Row],[Total Revenue]]*0.3</f>
        <v>144750</v>
      </c>
      <c r="J1164" s="6">
        <f t="shared" si="37"/>
        <v>0.3</v>
      </c>
      <c r="K1164" t="str">
        <f>VLOOKUP(Table2[[#This Row],[ProductID]],Products!$A$1:C1168,2)</f>
        <v>Tablet</v>
      </c>
      <c r="L1164" t="str">
        <f>VLOOKUP(D1164,Products!$A$1:C1168,3)</f>
        <v>Electronics</v>
      </c>
      <c r="M1164" t="str">
        <f>VLOOKUP(Table2[[#This Row],[AgentID]],Sales_Agents!$A$1:C1167,2)</f>
        <v>Chinedu</v>
      </c>
      <c r="N1164" t="str">
        <f>VLOOKUP(Table2[[#This Row],[AgentID]],Sales_Agents!$A$1:C1167,3)</f>
        <v>South</v>
      </c>
    </row>
    <row r="1165" spans="1:14" x14ac:dyDescent="0.25">
      <c r="A1165">
        <v>1164</v>
      </c>
      <c r="B1165" s="1">
        <v>45370</v>
      </c>
      <c r="C1165" s="8" t="str">
        <f>TEXT(Table2[[#This Row],[OrderDate]],"mmm")</f>
        <v>Mar</v>
      </c>
      <c r="D1165">
        <v>2</v>
      </c>
      <c r="E1165">
        <v>3</v>
      </c>
      <c r="F1165">
        <v>14</v>
      </c>
      <c r="G1165" s="3">
        <v>205737</v>
      </c>
      <c r="H1165" s="3">
        <f t="shared" si="36"/>
        <v>2880318</v>
      </c>
      <c r="I1165" s="5">
        <f>Table2[[#This Row],[Total Revenue]]*0.3</f>
        <v>864095.4</v>
      </c>
      <c r="J1165" s="6">
        <f t="shared" si="37"/>
        <v>0.3</v>
      </c>
      <c r="K1165" t="str">
        <f>VLOOKUP(Table2[[#This Row],[ProductID]],Products!$A$1:C1169,2)</f>
        <v>Phone</v>
      </c>
      <c r="L1165" t="str">
        <f>VLOOKUP(D1165,Products!$A$1:C1169,3)</f>
        <v>Electronics</v>
      </c>
      <c r="M1165" t="str">
        <f>VLOOKUP(Table2[[#This Row],[AgentID]],Sales_Agents!$A$1:C1168,2)</f>
        <v>Chinedu</v>
      </c>
      <c r="N1165" t="str">
        <f>VLOOKUP(Table2[[#This Row],[AgentID]],Sales_Agents!$A$1:C1168,3)</f>
        <v>South</v>
      </c>
    </row>
    <row r="1166" spans="1:14" x14ac:dyDescent="0.25">
      <c r="A1166">
        <v>1165</v>
      </c>
      <c r="B1166" s="1">
        <v>45426</v>
      </c>
      <c r="C1166" s="8" t="str">
        <f>TEXT(Table2[[#This Row],[OrderDate]],"mmm")</f>
        <v>May</v>
      </c>
      <c r="D1166">
        <v>1</v>
      </c>
      <c r="E1166">
        <v>3</v>
      </c>
      <c r="F1166">
        <v>18</v>
      </c>
      <c r="G1166" s="3">
        <v>68901</v>
      </c>
      <c r="H1166" s="3">
        <f t="shared" si="36"/>
        <v>1240218</v>
      </c>
      <c r="I1166" s="5">
        <f>Table2[[#This Row],[Total Revenue]]*0.3</f>
        <v>372065.39999999997</v>
      </c>
      <c r="J1166" s="6">
        <f t="shared" si="37"/>
        <v>0.3</v>
      </c>
      <c r="K1166" t="str">
        <f>VLOOKUP(Table2[[#This Row],[ProductID]],Products!$A$1:C1170,2)</f>
        <v>Laptop</v>
      </c>
      <c r="L1166" t="str">
        <f>VLOOKUP(D1166,Products!$A$1:C1170,3)</f>
        <v>Electronics</v>
      </c>
      <c r="M1166" t="str">
        <f>VLOOKUP(Table2[[#This Row],[AgentID]],Sales_Agents!$A$1:C1169,2)</f>
        <v>Chinedu</v>
      </c>
      <c r="N1166" t="str">
        <f>VLOOKUP(Table2[[#This Row],[AgentID]],Sales_Agents!$A$1:C1169,3)</f>
        <v>South</v>
      </c>
    </row>
    <row r="1167" spans="1:14" x14ac:dyDescent="0.25">
      <c r="A1167">
        <v>1166</v>
      </c>
      <c r="B1167" s="1">
        <v>45404</v>
      </c>
      <c r="C1167" s="8" t="str">
        <f>TEXT(Table2[[#This Row],[OrderDate]],"mmm")</f>
        <v>Apr</v>
      </c>
      <c r="D1167">
        <v>4</v>
      </c>
      <c r="E1167">
        <v>4</v>
      </c>
      <c r="F1167">
        <v>2</v>
      </c>
      <c r="G1167" s="3">
        <v>263870</v>
      </c>
      <c r="H1167" s="3">
        <f t="shared" si="36"/>
        <v>527740</v>
      </c>
      <c r="I1167" s="5">
        <f>Table2[[#This Row],[Total Revenue]]*0.3</f>
        <v>158322</v>
      </c>
      <c r="J1167" s="6">
        <f t="shared" si="37"/>
        <v>0.3</v>
      </c>
      <c r="K1167" t="str">
        <f>VLOOKUP(Table2[[#This Row],[ProductID]],Products!$A$1:C1171,2)</f>
        <v>Printer</v>
      </c>
      <c r="L1167" t="str">
        <f>VLOOKUP(D1167,Products!$A$1:C1171,3)</f>
        <v>Accessories</v>
      </c>
      <c r="M1167" t="str">
        <f>VLOOKUP(Table2[[#This Row],[AgentID]],Sales_Agents!$A$1:C1170,2)</f>
        <v>Zainab</v>
      </c>
      <c r="N1167" t="str">
        <f>VLOOKUP(Table2[[#This Row],[AgentID]],Sales_Agents!$A$1:C1170,3)</f>
        <v>North</v>
      </c>
    </row>
    <row r="1168" spans="1:14" x14ac:dyDescent="0.25">
      <c r="A1168">
        <v>1167</v>
      </c>
      <c r="B1168" s="1">
        <v>45483</v>
      </c>
      <c r="C1168" s="8" t="str">
        <f>TEXT(Table2[[#This Row],[OrderDate]],"mmm")</f>
        <v>Jul</v>
      </c>
      <c r="D1168">
        <v>4</v>
      </c>
      <c r="E1168">
        <v>1</v>
      </c>
      <c r="F1168">
        <v>12</v>
      </c>
      <c r="G1168" s="3">
        <v>270847</v>
      </c>
      <c r="H1168" s="3">
        <f t="shared" si="36"/>
        <v>3250164</v>
      </c>
      <c r="I1168" s="5">
        <f>Table2[[#This Row],[Total Revenue]]*0.3</f>
        <v>975049.2</v>
      </c>
      <c r="J1168" s="6">
        <f t="shared" si="37"/>
        <v>0.3</v>
      </c>
      <c r="K1168" t="str">
        <f>VLOOKUP(Table2[[#This Row],[ProductID]],Products!$A$1:C1172,2)</f>
        <v>Printer</v>
      </c>
      <c r="L1168" t="str">
        <f>VLOOKUP(D1168,Products!$A$1:C1172,3)</f>
        <v>Accessories</v>
      </c>
      <c r="M1168" t="str">
        <f>VLOOKUP(Table2[[#This Row],[AgentID]],Sales_Agents!$A$1:C1171,2)</f>
        <v>Akin</v>
      </c>
      <c r="N1168" t="str">
        <f>VLOOKUP(Table2[[#This Row],[AgentID]],Sales_Agents!$A$1:C1171,3)</f>
        <v>West</v>
      </c>
    </row>
    <row r="1169" spans="1:14" x14ac:dyDescent="0.25">
      <c r="A1169">
        <v>1168</v>
      </c>
      <c r="B1169" s="1">
        <v>45406</v>
      </c>
      <c r="C1169" s="8" t="str">
        <f>TEXT(Table2[[#This Row],[OrderDate]],"mmm")</f>
        <v>Apr</v>
      </c>
      <c r="D1169">
        <v>2</v>
      </c>
      <c r="E1169">
        <v>1</v>
      </c>
      <c r="F1169">
        <v>15</v>
      </c>
      <c r="G1169" s="3">
        <v>61671</v>
      </c>
      <c r="H1169" s="3">
        <f t="shared" si="36"/>
        <v>925065</v>
      </c>
      <c r="I1169" s="5">
        <f>Table2[[#This Row],[Total Revenue]]*0.3</f>
        <v>277519.5</v>
      </c>
      <c r="J1169" s="6">
        <f t="shared" si="37"/>
        <v>0.3</v>
      </c>
      <c r="K1169" t="str">
        <f>VLOOKUP(Table2[[#This Row],[ProductID]],Products!$A$1:C1173,2)</f>
        <v>Phone</v>
      </c>
      <c r="L1169" t="str">
        <f>VLOOKUP(D1169,Products!$A$1:C1173,3)</f>
        <v>Electronics</v>
      </c>
      <c r="M1169" t="str">
        <f>VLOOKUP(Table2[[#This Row],[AgentID]],Sales_Agents!$A$1:C1172,2)</f>
        <v>Akin</v>
      </c>
      <c r="N1169" t="str">
        <f>VLOOKUP(Table2[[#This Row],[AgentID]],Sales_Agents!$A$1:C1172,3)</f>
        <v>West</v>
      </c>
    </row>
    <row r="1170" spans="1:14" x14ac:dyDescent="0.25">
      <c r="A1170">
        <v>1169</v>
      </c>
      <c r="B1170" s="1">
        <v>45580</v>
      </c>
      <c r="C1170" s="8" t="str">
        <f>TEXT(Table2[[#This Row],[OrderDate]],"mmm")</f>
        <v>Oct</v>
      </c>
      <c r="D1170">
        <v>1</v>
      </c>
      <c r="E1170">
        <v>4</v>
      </c>
      <c r="F1170">
        <v>19</v>
      </c>
      <c r="G1170" s="3">
        <v>163433</v>
      </c>
      <c r="H1170" s="3">
        <f t="shared" si="36"/>
        <v>3105227</v>
      </c>
      <c r="I1170" s="5">
        <f>Table2[[#This Row],[Total Revenue]]*0.3</f>
        <v>931568.1</v>
      </c>
      <c r="J1170" s="6">
        <f t="shared" si="37"/>
        <v>0.3</v>
      </c>
      <c r="K1170" t="str">
        <f>VLOOKUP(Table2[[#This Row],[ProductID]],Products!$A$1:C1174,2)</f>
        <v>Laptop</v>
      </c>
      <c r="L1170" t="str">
        <f>VLOOKUP(D1170,Products!$A$1:C1174,3)</f>
        <v>Electronics</v>
      </c>
      <c r="M1170" t="str">
        <f>VLOOKUP(Table2[[#This Row],[AgentID]],Sales_Agents!$A$1:C1173,2)</f>
        <v>Zainab</v>
      </c>
      <c r="N1170" t="str">
        <f>VLOOKUP(Table2[[#This Row],[AgentID]],Sales_Agents!$A$1:C1173,3)</f>
        <v>North</v>
      </c>
    </row>
    <row r="1171" spans="1:14" x14ac:dyDescent="0.25">
      <c r="A1171">
        <v>1170</v>
      </c>
      <c r="B1171" s="1">
        <v>45323</v>
      </c>
      <c r="C1171" s="8" t="str">
        <f>TEXT(Table2[[#This Row],[OrderDate]],"mmm")</f>
        <v>Feb</v>
      </c>
      <c r="D1171">
        <v>4</v>
      </c>
      <c r="E1171">
        <v>2</v>
      </c>
      <c r="F1171">
        <v>18</v>
      </c>
      <c r="G1171" s="3">
        <v>247852</v>
      </c>
      <c r="H1171" s="3">
        <f t="shared" si="36"/>
        <v>4461336</v>
      </c>
      <c r="I1171" s="5">
        <f>Table2[[#This Row],[Total Revenue]]*0.3</f>
        <v>1338400.8</v>
      </c>
      <c r="J1171" s="6">
        <f t="shared" si="37"/>
        <v>0.3</v>
      </c>
      <c r="K1171" t="str">
        <f>VLOOKUP(Table2[[#This Row],[ProductID]],Products!$A$1:C1175,2)</f>
        <v>Printer</v>
      </c>
      <c r="L1171" t="str">
        <f>VLOOKUP(D1171,Products!$A$1:C1175,3)</f>
        <v>Accessories</v>
      </c>
      <c r="M1171" t="str">
        <f>VLOOKUP(Table2[[#This Row],[AgentID]],Sales_Agents!$A$1:C1174,2)</f>
        <v>Blessing</v>
      </c>
      <c r="N1171" t="str">
        <f>VLOOKUP(Table2[[#This Row],[AgentID]],Sales_Agents!$A$1:C1174,3)</f>
        <v>East</v>
      </c>
    </row>
    <row r="1172" spans="1:14" x14ac:dyDescent="0.25">
      <c r="A1172">
        <v>1171</v>
      </c>
      <c r="B1172" s="1">
        <v>45649</v>
      </c>
      <c r="C1172" s="8" t="str">
        <f>TEXT(Table2[[#This Row],[OrderDate]],"mmm")</f>
        <v>Dec</v>
      </c>
      <c r="D1172">
        <v>5</v>
      </c>
      <c r="E1172">
        <v>3</v>
      </c>
      <c r="F1172">
        <v>12</v>
      </c>
      <c r="G1172" s="3">
        <v>81253</v>
      </c>
      <c r="H1172" s="3">
        <f t="shared" si="36"/>
        <v>975036</v>
      </c>
      <c r="I1172" s="5">
        <f>Table2[[#This Row],[Total Revenue]]*0.3</f>
        <v>292510.8</v>
      </c>
      <c r="J1172" s="6">
        <f t="shared" si="37"/>
        <v>0.3</v>
      </c>
      <c r="K1172" t="str">
        <f>VLOOKUP(Table2[[#This Row],[ProductID]],Products!$A$1:C1176,2)</f>
        <v>Monitor</v>
      </c>
      <c r="L1172" t="str">
        <f>VLOOKUP(D1172,Products!$A$1:C1176,3)</f>
        <v>Accessories</v>
      </c>
      <c r="M1172" t="str">
        <f>VLOOKUP(Table2[[#This Row],[AgentID]],Sales_Agents!$A$1:C1175,2)</f>
        <v>Chinedu</v>
      </c>
      <c r="N1172" t="str">
        <f>VLOOKUP(Table2[[#This Row],[AgentID]],Sales_Agents!$A$1:C1175,3)</f>
        <v>South</v>
      </c>
    </row>
    <row r="1173" spans="1:14" x14ac:dyDescent="0.25">
      <c r="A1173">
        <v>1172</v>
      </c>
      <c r="B1173" s="1">
        <v>45410</v>
      </c>
      <c r="C1173" s="8" t="str">
        <f>TEXT(Table2[[#This Row],[OrderDate]],"mmm")</f>
        <v>Apr</v>
      </c>
      <c r="D1173">
        <v>4</v>
      </c>
      <c r="E1173">
        <v>1</v>
      </c>
      <c r="F1173">
        <v>14</v>
      </c>
      <c r="G1173" s="3">
        <v>324355</v>
      </c>
      <c r="H1173" s="3">
        <f t="shared" si="36"/>
        <v>4540970</v>
      </c>
      <c r="I1173" s="5">
        <f>Table2[[#This Row],[Total Revenue]]*0.3</f>
        <v>1362291</v>
      </c>
      <c r="J1173" s="6">
        <f t="shared" si="37"/>
        <v>0.3</v>
      </c>
      <c r="K1173" t="str">
        <f>VLOOKUP(Table2[[#This Row],[ProductID]],Products!$A$1:C1177,2)</f>
        <v>Printer</v>
      </c>
      <c r="L1173" t="str">
        <f>VLOOKUP(D1173,Products!$A$1:C1177,3)</f>
        <v>Accessories</v>
      </c>
      <c r="M1173" t="str">
        <f>VLOOKUP(Table2[[#This Row],[AgentID]],Sales_Agents!$A$1:C1176,2)</f>
        <v>Akin</v>
      </c>
      <c r="N1173" t="str">
        <f>VLOOKUP(Table2[[#This Row],[AgentID]],Sales_Agents!$A$1:C1176,3)</f>
        <v>West</v>
      </c>
    </row>
    <row r="1174" spans="1:14" x14ac:dyDescent="0.25">
      <c r="A1174">
        <v>1173</v>
      </c>
      <c r="B1174" s="1">
        <v>45398</v>
      </c>
      <c r="C1174" s="8" t="str">
        <f>TEXT(Table2[[#This Row],[OrderDate]],"mmm")</f>
        <v>Apr</v>
      </c>
      <c r="D1174">
        <v>1</v>
      </c>
      <c r="E1174">
        <v>4</v>
      </c>
      <c r="F1174">
        <v>11</v>
      </c>
      <c r="G1174" s="3">
        <v>349610</v>
      </c>
      <c r="H1174" s="3">
        <f t="shared" si="36"/>
        <v>3845710</v>
      </c>
      <c r="I1174" s="5">
        <f>Table2[[#This Row],[Total Revenue]]*0.3</f>
        <v>1153713</v>
      </c>
      <c r="J1174" s="6">
        <f t="shared" si="37"/>
        <v>0.3</v>
      </c>
      <c r="K1174" t="str">
        <f>VLOOKUP(Table2[[#This Row],[ProductID]],Products!$A$1:C1178,2)</f>
        <v>Laptop</v>
      </c>
      <c r="L1174" t="str">
        <f>VLOOKUP(D1174,Products!$A$1:C1178,3)</f>
        <v>Electronics</v>
      </c>
      <c r="M1174" t="str">
        <f>VLOOKUP(Table2[[#This Row],[AgentID]],Sales_Agents!$A$1:C1177,2)</f>
        <v>Zainab</v>
      </c>
      <c r="N1174" t="str">
        <f>VLOOKUP(Table2[[#This Row],[AgentID]],Sales_Agents!$A$1:C1177,3)</f>
        <v>North</v>
      </c>
    </row>
    <row r="1175" spans="1:14" x14ac:dyDescent="0.25">
      <c r="A1175">
        <v>1174</v>
      </c>
      <c r="B1175" s="1">
        <v>45413</v>
      </c>
      <c r="C1175" s="8" t="str">
        <f>TEXT(Table2[[#This Row],[OrderDate]],"mmm")</f>
        <v>May</v>
      </c>
      <c r="D1175">
        <v>5</v>
      </c>
      <c r="E1175">
        <v>2</v>
      </c>
      <c r="F1175">
        <v>4</v>
      </c>
      <c r="G1175" s="3">
        <v>298306</v>
      </c>
      <c r="H1175" s="3">
        <f t="shared" si="36"/>
        <v>1193224</v>
      </c>
      <c r="I1175" s="5">
        <f>Table2[[#This Row],[Total Revenue]]*0.3</f>
        <v>357967.2</v>
      </c>
      <c r="J1175" s="6">
        <f t="shared" si="37"/>
        <v>0.3</v>
      </c>
      <c r="K1175" t="str">
        <f>VLOOKUP(Table2[[#This Row],[ProductID]],Products!$A$1:C1179,2)</f>
        <v>Monitor</v>
      </c>
      <c r="L1175" t="str">
        <f>VLOOKUP(D1175,Products!$A$1:C1179,3)</f>
        <v>Accessories</v>
      </c>
      <c r="M1175" t="str">
        <f>VLOOKUP(Table2[[#This Row],[AgentID]],Sales_Agents!$A$1:C1178,2)</f>
        <v>Blessing</v>
      </c>
      <c r="N1175" t="str">
        <f>VLOOKUP(Table2[[#This Row],[AgentID]],Sales_Agents!$A$1:C1178,3)</f>
        <v>East</v>
      </c>
    </row>
    <row r="1176" spans="1:14" x14ac:dyDescent="0.25">
      <c r="A1176">
        <v>1175</v>
      </c>
      <c r="B1176" s="1">
        <v>45451</v>
      </c>
      <c r="C1176" s="8" t="str">
        <f>TEXT(Table2[[#This Row],[OrderDate]],"mmm")</f>
        <v>Jun</v>
      </c>
      <c r="D1176">
        <v>1</v>
      </c>
      <c r="E1176">
        <v>3</v>
      </c>
      <c r="F1176">
        <v>17</v>
      </c>
      <c r="G1176" s="3">
        <v>217844</v>
      </c>
      <c r="H1176" s="3">
        <f t="shared" si="36"/>
        <v>3703348</v>
      </c>
      <c r="I1176" s="5">
        <f>Table2[[#This Row],[Total Revenue]]*0.3</f>
        <v>1111004.3999999999</v>
      </c>
      <c r="J1176" s="6">
        <f t="shared" si="37"/>
        <v>0.3</v>
      </c>
      <c r="K1176" t="str">
        <f>VLOOKUP(Table2[[#This Row],[ProductID]],Products!$A$1:C1180,2)</f>
        <v>Laptop</v>
      </c>
      <c r="L1176" t="str">
        <f>VLOOKUP(D1176,Products!$A$1:C1180,3)</f>
        <v>Electronics</v>
      </c>
      <c r="M1176" t="str">
        <f>VLOOKUP(Table2[[#This Row],[AgentID]],Sales_Agents!$A$1:C1179,2)</f>
        <v>Chinedu</v>
      </c>
      <c r="N1176" t="str">
        <f>VLOOKUP(Table2[[#This Row],[AgentID]],Sales_Agents!$A$1:C1179,3)</f>
        <v>South</v>
      </c>
    </row>
    <row r="1177" spans="1:14" x14ac:dyDescent="0.25">
      <c r="A1177">
        <v>1176</v>
      </c>
      <c r="B1177" s="1">
        <v>45457</v>
      </c>
      <c r="C1177" s="8" t="str">
        <f>TEXT(Table2[[#This Row],[OrderDate]],"mmm")</f>
        <v>Jun</v>
      </c>
      <c r="D1177">
        <v>1</v>
      </c>
      <c r="E1177">
        <v>1</v>
      </c>
      <c r="F1177">
        <v>14</v>
      </c>
      <c r="G1177" s="3">
        <v>128011</v>
      </c>
      <c r="H1177" s="3">
        <f t="shared" si="36"/>
        <v>1792154</v>
      </c>
      <c r="I1177" s="5">
        <f>Table2[[#This Row],[Total Revenue]]*0.3</f>
        <v>537646.19999999995</v>
      </c>
      <c r="J1177" s="6">
        <f t="shared" si="37"/>
        <v>0.3</v>
      </c>
      <c r="K1177" t="str">
        <f>VLOOKUP(Table2[[#This Row],[ProductID]],Products!$A$1:C1181,2)</f>
        <v>Laptop</v>
      </c>
      <c r="L1177" t="str">
        <f>VLOOKUP(D1177,Products!$A$1:C1181,3)</f>
        <v>Electronics</v>
      </c>
      <c r="M1177" t="str">
        <f>VLOOKUP(Table2[[#This Row],[AgentID]],Sales_Agents!$A$1:C1180,2)</f>
        <v>Akin</v>
      </c>
      <c r="N1177" t="str">
        <f>VLOOKUP(Table2[[#This Row],[AgentID]],Sales_Agents!$A$1:C1180,3)</f>
        <v>West</v>
      </c>
    </row>
    <row r="1178" spans="1:14" x14ac:dyDescent="0.25">
      <c r="A1178">
        <v>1177</v>
      </c>
      <c r="B1178" s="1">
        <v>45554</v>
      </c>
      <c r="C1178" s="8" t="str">
        <f>TEXT(Table2[[#This Row],[OrderDate]],"mmm")</f>
        <v>Sept</v>
      </c>
      <c r="D1178">
        <v>5</v>
      </c>
      <c r="E1178">
        <v>4</v>
      </c>
      <c r="F1178">
        <v>7</v>
      </c>
      <c r="G1178" s="3">
        <v>194659</v>
      </c>
      <c r="H1178" s="3">
        <f t="shared" si="36"/>
        <v>1362613</v>
      </c>
      <c r="I1178" s="5">
        <f>Table2[[#This Row],[Total Revenue]]*0.3</f>
        <v>408783.89999999997</v>
      </c>
      <c r="J1178" s="6">
        <f t="shared" si="37"/>
        <v>0.3</v>
      </c>
      <c r="K1178" t="str">
        <f>VLOOKUP(Table2[[#This Row],[ProductID]],Products!$A$1:C1182,2)</f>
        <v>Monitor</v>
      </c>
      <c r="L1178" t="str">
        <f>VLOOKUP(D1178,Products!$A$1:C1182,3)</f>
        <v>Accessories</v>
      </c>
      <c r="M1178" t="str">
        <f>VLOOKUP(Table2[[#This Row],[AgentID]],Sales_Agents!$A$1:C1181,2)</f>
        <v>Zainab</v>
      </c>
      <c r="N1178" t="str">
        <f>VLOOKUP(Table2[[#This Row],[AgentID]],Sales_Agents!$A$1:C1181,3)</f>
        <v>North</v>
      </c>
    </row>
    <row r="1179" spans="1:14" x14ac:dyDescent="0.25">
      <c r="A1179">
        <v>1178</v>
      </c>
      <c r="B1179" s="1">
        <v>45518</v>
      </c>
      <c r="C1179" s="8" t="str">
        <f>TEXT(Table2[[#This Row],[OrderDate]],"mmm")</f>
        <v>Aug</v>
      </c>
      <c r="D1179">
        <v>4</v>
      </c>
      <c r="E1179">
        <v>4</v>
      </c>
      <c r="F1179">
        <v>16</v>
      </c>
      <c r="G1179" s="3">
        <v>75194</v>
      </c>
      <c r="H1179" s="3">
        <f t="shared" si="36"/>
        <v>1203104</v>
      </c>
      <c r="I1179" s="5">
        <f>Table2[[#This Row],[Total Revenue]]*0.3</f>
        <v>360931.2</v>
      </c>
      <c r="J1179" s="6">
        <f t="shared" si="37"/>
        <v>0.3</v>
      </c>
      <c r="K1179" t="str">
        <f>VLOOKUP(Table2[[#This Row],[ProductID]],Products!$A$1:C1183,2)</f>
        <v>Printer</v>
      </c>
      <c r="L1179" t="str">
        <f>VLOOKUP(D1179,Products!$A$1:C1183,3)</f>
        <v>Accessories</v>
      </c>
      <c r="M1179" t="str">
        <f>VLOOKUP(Table2[[#This Row],[AgentID]],Sales_Agents!$A$1:C1182,2)</f>
        <v>Zainab</v>
      </c>
      <c r="N1179" t="str">
        <f>VLOOKUP(Table2[[#This Row],[AgentID]],Sales_Agents!$A$1:C1182,3)</f>
        <v>North</v>
      </c>
    </row>
    <row r="1180" spans="1:14" x14ac:dyDescent="0.25">
      <c r="A1180">
        <v>1179</v>
      </c>
      <c r="B1180" s="1">
        <v>45483</v>
      </c>
      <c r="C1180" s="8" t="str">
        <f>TEXT(Table2[[#This Row],[OrderDate]],"mmm")</f>
        <v>Jul</v>
      </c>
      <c r="D1180">
        <v>3</v>
      </c>
      <c r="E1180">
        <v>4</v>
      </c>
      <c r="F1180">
        <v>6</v>
      </c>
      <c r="G1180" s="3">
        <v>130324</v>
      </c>
      <c r="H1180" s="3">
        <f t="shared" si="36"/>
        <v>781944</v>
      </c>
      <c r="I1180" s="5">
        <f>Table2[[#This Row],[Total Revenue]]*0.3</f>
        <v>234583.19999999998</v>
      </c>
      <c r="J1180" s="6">
        <f t="shared" si="37"/>
        <v>0.3</v>
      </c>
      <c r="K1180" t="str">
        <f>VLOOKUP(Table2[[#This Row],[ProductID]],Products!$A$1:C1184,2)</f>
        <v>Tablet</v>
      </c>
      <c r="L1180" t="str">
        <f>VLOOKUP(D1180,Products!$A$1:C1184,3)</f>
        <v>Electronics</v>
      </c>
      <c r="M1180" t="str">
        <f>VLOOKUP(Table2[[#This Row],[AgentID]],Sales_Agents!$A$1:C1183,2)</f>
        <v>Zainab</v>
      </c>
      <c r="N1180" t="str">
        <f>VLOOKUP(Table2[[#This Row],[AgentID]],Sales_Agents!$A$1:C1183,3)</f>
        <v>North</v>
      </c>
    </row>
    <row r="1181" spans="1:14" x14ac:dyDescent="0.25">
      <c r="A1181">
        <v>1180</v>
      </c>
      <c r="B1181" s="1">
        <v>45371</v>
      </c>
      <c r="C1181" s="8" t="str">
        <f>TEXT(Table2[[#This Row],[OrderDate]],"mmm")</f>
        <v>Mar</v>
      </c>
      <c r="D1181">
        <v>1</v>
      </c>
      <c r="E1181">
        <v>3</v>
      </c>
      <c r="F1181">
        <v>1</v>
      </c>
      <c r="G1181" s="3">
        <v>213951</v>
      </c>
      <c r="H1181" s="3">
        <f t="shared" si="36"/>
        <v>213951</v>
      </c>
      <c r="I1181" s="5">
        <f>Table2[[#This Row],[Total Revenue]]*0.3</f>
        <v>64185.299999999996</v>
      </c>
      <c r="J1181" s="6">
        <f t="shared" si="37"/>
        <v>0.3</v>
      </c>
      <c r="K1181" t="str">
        <f>VLOOKUP(Table2[[#This Row],[ProductID]],Products!$A$1:C1185,2)</f>
        <v>Laptop</v>
      </c>
      <c r="L1181" t="str">
        <f>VLOOKUP(D1181,Products!$A$1:C1185,3)</f>
        <v>Electronics</v>
      </c>
      <c r="M1181" t="str">
        <f>VLOOKUP(Table2[[#This Row],[AgentID]],Sales_Agents!$A$1:C1184,2)</f>
        <v>Chinedu</v>
      </c>
      <c r="N1181" t="str">
        <f>VLOOKUP(Table2[[#This Row],[AgentID]],Sales_Agents!$A$1:C1184,3)</f>
        <v>South</v>
      </c>
    </row>
    <row r="1182" spans="1:14" x14ac:dyDescent="0.25">
      <c r="A1182">
        <v>1181</v>
      </c>
      <c r="B1182" s="1">
        <v>45635</v>
      </c>
      <c r="C1182" s="8" t="str">
        <f>TEXT(Table2[[#This Row],[OrderDate]],"mmm")</f>
        <v>Dec</v>
      </c>
      <c r="D1182">
        <v>3</v>
      </c>
      <c r="E1182">
        <v>2</v>
      </c>
      <c r="F1182">
        <v>2</v>
      </c>
      <c r="G1182" s="3">
        <v>130592</v>
      </c>
      <c r="H1182" s="3">
        <f t="shared" si="36"/>
        <v>261184</v>
      </c>
      <c r="I1182" s="5">
        <f>Table2[[#This Row],[Total Revenue]]*0.3</f>
        <v>78355.199999999997</v>
      </c>
      <c r="J1182" s="6">
        <f t="shared" si="37"/>
        <v>0.3</v>
      </c>
      <c r="K1182" t="str">
        <f>VLOOKUP(Table2[[#This Row],[ProductID]],Products!$A$1:C1186,2)</f>
        <v>Tablet</v>
      </c>
      <c r="L1182" t="str">
        <f>VLOOKUP(D1182,Products!$A$1:C1186,3)</f>
        <v>Electronics</v>
      </c>
      <c r="M1182" t="str">
        <f>VLOOKUP(Table2[[#This Row],[AgentID]],Sales_Agents!$A$1:C1185,2)</f>
        <v>Blessing</v>
      </c>
      <c r="N1182" t="str">
        <f>VLOOKUP(Table2[[#This Row],[AgentID]],Sales_Agents!$A$1:C1185,3)</f>
        <v>East</v>
      </c>
    </row>
    <row r="1183" spans="1:14" x14ac:dyDescent="0.25">
      <c r="A1183">
        <v>1182</v>
      </c>
      <c r="B1183" s="1">
        <v>45522</v>
      </c>
      <c r="C1183" s="8" t="str">
        <f>TEXT(Table2[[#This Row],[OrderDate]],"mmm")</f>
        <v>Aug</v>
      </c>
      <c r="D1183">
        <v>5</v>
      </c>
      <c r="E1183">
        <v>1</v>
      </c>
      <c r="F1183">
        <v>14</v>
      </c>
      <c r="G1183" s="3">
        <v>333802</v>
      </c>
      <c r="H1183" s="3">
        <f t="shared" si="36"/>
        <v>4673228</v>
      </c>
      <c r="I1183" s="5">
        <f>Table2[[#This Row],[Total Revenue]]*0.3</f>
        <v>1401968.4</v>
      </c>
      <c r="J1183" s="6">
        <f t="shared" si="37"/>
        <v>0.3</v>
      </c>
      <c r="K1183" t="str">
        <f>VLOOKUP(Table2[[#This Row],[ProductID]],Products!$A$1:C1187,2)</f>
        <v>Monitor</v>
      </c>
      <c r="L1183" t="str">
        <f>VLOOKUP(D1183,Products!$A$1:C1187,3)</f>
        <v>Accessories</v>
      </c>
      <c r="M1183" t="str">
        <f>VLOOKUP(Table2[[#This Row],[AgentID]],Sales_Agents!$A$1:C1186,2)</f>
        <v>Akin</v>
      </c>
      <c r="N1183" t="str">
        <f>VLOOKUP(Table2[[#This Row],[AgentID]],Sales_Agents!$A$1:C1186,3)</f>
        <v>West</v>
      </c>
    </row>
    <row r="1184" spans="1:14" x14ac:dyDescent="0.25">
      <c r="A1184">
        <v>1183</v>
      </c>
      <c r="B1184" s="1">
        <v>45412</v>
      </c>
      <c r="C1184" s="8" t="str">
        <f>TEXT(Table2[[#This Row],[OrderDate]],"mmm")</f>
        <v>Apr</v>
      </c>
      <c r="D1184">
        <v>2</v>
      </c>
      <c r="E1184">
        <v>2</v>
      </c>
      <c r="F1184">
        <v>17</v>
      </c>
      <c r="G1184" s="3">
        <v>373496</v>
      </c>
      <c r="H1184" s="3">
        <f t="shared" si="36"/>
        <v>6349432</v>
      </c>
      <c r="I1184" s="5">
        <f>Table2[[#This Row],[Total Revenue]]*0.3</f>
        <v>1904829.5999999999</v>
      </c>
      <c r="J1184" s="6">
        <f t="shared" si="37"/>
        <v>0.3</v>
      </c>
      <c r="K1184" t="str">
        <f>VLOOKUP(Table2[[#This Row],[ProductID]],Products!$A$1:C1188,2)</f>
        <v>Phone</v>
      </c>
      <c r="L1184" t="str">
        <f>VLOOKUP(D1184,Products!$A$1:C1188,3)</f>
        <v>Electronics</v>
      </c>
      <c r="M1184" t="str">
        <f>VLOOKUP(Table2[[#This Row],[AgentID]],Sales_Agents!$A$1:C1187,2)</f>
        <v>Blessing</v>
      </c>
      <c r="N1184" t="str">
        <f>VLOOKUP(Table2[[#This Row],[AgentID]],Sales_Agents!$A$1:C1187,3)</f>
        <v>East</v>
      </c>
    </row>
    <row r="1185" spans="1:14" x14ac:dyDescent="0.25">
      <c r="A1185">
        <v>1184</v>
      </c>
      <c r="B1185" s="1">
        <v>45485</v>
      </c>
      <c r="C1185" s="8" t="str">
        <f>TEXT(Table2[[#This Row],[OrderDate]],"mmm")</f>
        <v>Jul</v>
      </c>
      <c r="D1185">
        <v>2</v>
      </c>
      <c r="E1185">
        <v>1</v>
      </c>
      <c r="F1185">
        <v>9</v>
      </c>
      <c r="G1185" s="3">
        <v>389837</v>
      </c>
      <c r="H1185" s="3">
        <f t="shared" si="36"/>
        <v>3508533</v>
      </c>
      <c r="I1185" s="5">
        <f>Table2[[#This Row],[Total Revenue]]*0.3</f>
        <v>1052559.8999999999</v>
      </c>
      <c r="J1185" s="6">
        <f t="shared" si="37"/>
        <v>0.3</v>
      </c>
      <c r="K1185" t="str">
        <f>VLOOKUP(Table2[[#This Row],[ProductID]],Products!$A$1:C1189,2)</f>
        <v>Phone</v>
      </c>
      <c r="L1185" t="str">
        <f>VLOOKUP(D1185,Products!$A$1:C1189,3)</f>
        <v>Electronics</v>
      </c>
      <c r="M1185" t="str">
        <f>VLOOKUP(Table2[[#This Row],[AgentID]],Sales_Agents!$A$1:C1188,2)</f>
        <v>Akin</v>
      </c>
      <c r="N1185" t="str">
        <f>VLOOKUP(Table2[[#This Row],[AgentID]],Sales_Agents!$A$1:C1188,3)</f>
        <v>West</v>
      </c>
    </row>
    <row r="1186" spans="1:14" x14ac:dyDescent="0.25">
      <c r="A1186">
        <v>1185</v>
      </c>
      <c r="B1186" s="1">
        <v>45629</v>
      </c>
      <c r="C1186" s="8" t="str">
        <f>TEXT(Table2[[#This Row],[OrderDate]],"mmm")</f>
        <v>Dec</v>
      </c>
      <c r="D1186">
        <v>3</v>
      </c>
      <c r="E1186">
        <v>2</v>
      </c>
      <c r="F1186">
        <v>19</v>
      </c>
      <c r="G1186" s="3">
        <v>117894</v>
      </c>
      <c r="H1186" s="3">
        <f t="shared" si="36"/>
        <v>2239986</v>
      </c>
      <c r="I1186" s="5">
        <f>Table2[[#This Row],[Total Revenue]]*0.3</f>
        <v>671995.79999999993</v>
      </c>
      <c r="J1186" s="6">
        <f t="shared" si="37"/>
        <v>0.3</v>
      </c>
      <c r="K1186" t="str">
        <f>VLOOKUP(Table2[[#This Row],[ProductID]],Products!$A$1:C1190,2)</f>
        <v>Tablet</v>
      </c>
      <c r="L1186" t="str">
        <f>VLOOKUP(D1186,Products!$A$1:C1190,3)</f>
        <v>Electronics</v>
      </c>
      <c r="M1186" t="str">
        <f>VLOOKUP(Table2[[#This Row],[AgentID]],Sales_Agents!$A$1:C1189,2)</f>
        <v>Blessing</v>
      </c>
      <c r="N1186" t="str">
        <f>VLOOKUP(Table2[[#This Row],[AgentID]],Sales_Agents!$A$1:C1189,3)</f>
        <v>East</v>
      </c>
    </row>
    <row r="1187" spans="1:14" x14ac:dyDescent="0.25">
      <c r="A1187">
        <v>1186</v>
      </c>
      <c r="B1187" s="1">
        <v>45523</v>
      </c>
      <c r="C1187" s="8" t="str">
        <f>TEXT(Table2[[#This Row],[OrderDate]],"mmm")</f>
        <v>Aug</v>
      </c>
      <c r="D1187">
        <v>3</v>
      </c>
      <c r="E1187">
        <v>3</v>
      </c>
      <c r="F1187">
        <v>14</v>
      </c>
      <c r="G1187" s="3">
        <v>217631</v>
      </c>
      <c r="H1187" s="3">
        <f t="shared" si="36"/>
        <v>3046834</v>
      </c>
      <c r="I1187" s="5">
        <f>Table2[[#This Row],[Total Revenue]]*0.3</f>
        <v>914050.2</v>
      </c>
      <c r="J1187" s="6">
        <f t="shared" si="37"/>
        <v>0.3</v>
      </c>
      <c r="K1187" t="str">
        <f>VLOOKUP(Table2[[#This Row],[ProductID]],Products!$A$1:C1191,2)</f>
        <v>Tablet</v>
      </c>
      <c r="L1187" t="str">
        <f>VLOOKUP(D1187,Products!$A$1:C1191,3)</f>
        <v>Electronics</v>
      </c>
      <c r="M1187" t="str">
        <f>VLOOKUP(Table2[[#This Row],[AgentID]],Sales_Agents!$A$1:C1190,2)</f>
        <v>Chinedu</v>
      </c>
      <c r="N1187" t="str">
        <f>VLOOKUP(Table2[[#This Row],[AgentID]],Sales_Agents!$A$1:C1190,3)</f>
        <v>South</v>
      </c>
    </row>
    <row r="1188" spans="1:14" x14ac:dyDescent="0.25">
      <c r="A1188">
        <v>1187</v>
      </c>
      <c r="B1188" s="1">
        <v>45539</v>
      </c>
      <c r="C1188" s="8" t="str">
        <f>TEXT(Table2[[#This Row],[OrderDate]],"mmm")</f>
        <v>Sept</v>
      </c>
      <c r="D1188">
        <v>4</v>
      </c>
      <c r="E1188">
        <v>3</v>
      </c>
      <c r="F1188">
        <v>5</v>
      </c>
      <c r="G1188" s="3">
        <v>214686</v>
      </c>
      <c r="H1188" s="3">
        <f t="shared" si="36"/>
        <v>1073430</v>
      </c>
      <c r="I1188" s="5">
        <f>Table2[[#This Row],[Total Revenue]]*0.3</f>
        <v>322029</v>
      </c>
      <c r="J1188" s="6">
        <f t="shared" si="37"/>
        <v>0.3</v>
      </c>
      <c r="K1188" t="str">
        <f>VLOOKUP(Table2[[#This Row],[ProductID]],Products!$A$1:C1192,2)</f>
        <v>Printer</v>
      </c>
      <c r="L1188" t="str">
        <f>VLOOKUP(D1188,Products!$A$1:C1192,3)</f>
        <v>Accessories</v>
      </c>
      <c r="M1188" t="str">
        <f>VLOOKUP(Table2[[#This Row],[AgentID]],Sales_Agents!$A$1:C1191,2)</f>
        <v>Chinedu</v>
      </c>
      <c r="N1188" t="str">
        <f>VLOOKUP(Table2[[#This Row],[AgentID]],Sales_Agents!$A$1:C1191,3)</f>
        <v>South</v>
      </c>
    </row>
    <row r="1189" spans="1:14" x14ac:dyDescent="0.25">
      <c r="A1189">
        <v>1188</v>
      </c>
      <c r="B1189" s="1">
        <v>45454</v>
      </c>
      <c r="C1189" s="8" t="str">
        <f>TEXT(Table2[[#This Row],[OrderDate]],"mmm")</f>
        <v>Jun</v>
      </c>
      <c r="D1189">
        <v>1</v>
      </c>
      <c r="E1189">
        <v>3</v>
      </c>
      <c r="F1189">
        <v>10</v>
      </c>
      <c r="G1189" s="3">
        <v>61683</v>
      </c>
      <c r="H1189" s="3">
        <f t="shared" si="36"/>
        <v>616830</v>
      </c>
      <c r="I1189" s="5">
        <f>Table2[[#This Row],[Total Revenue]]*0.3</f>
        <v>185049</v>
      </c>
      <c r="J1189" s="6">
        <f t="shared" si="37"/>
        <v>0.3</v>
      </c>
      <c r="K1189" t="str">
        <f>VLOOKUP(Table2[[#This Row],[ProductID]],Products!$A$1:C1193,2)</f>
        <v>Laptop</v>
      </c>
      <c r="L1189" t="str">
        <f>VLOOKUP(D1189,Products!$A$1:C1193,3)</f>
        <v>Electronics</v>
      </c>
      <c r="M1189" t="str">
        <f>VLOOKUP(Table2[[#This Row],[AgentID]],Sales_Agents!$A$1:C1192,2)</f>
        <v>Chinedu</v>
      </c>
      <c r="N1189" t="str">
        <f>VLOOKUP(Table2[[#This Row],[AgentID]],Sales_Agents!$A$1:C1192,3)</f>
        <v>South</v>
      </c>
    </row>
    <row r="1190" spans="1:14" x14ac:dyDescent="0.25">
      <c r="A1190">
        <v>1189</v>
      </c>
      <c r="B1190" s="1">
        <v>45342</v>
      </c>
      <c r="C1190" s="8" t="str">
        <f>TEXT(Table2[[#This Row],[OrderDate]],"mmm")</f>
        <v>Feb</v>
      </c>
      <c r="D1190">
        <v>2</v>
      </c>
      <c r="E1190">
        <v>2</v>
      </c>
      <c r="F1190">
        <v>3</v>
      </c>
      <c r="G1190" s="3">
        <v>332453</v>
      </c>
      <c r="H1190" s="3">
        <f t="shared" si="36"/>
        <v>997359</v>
      </c>
      <c r="I1190" s="5">
        <f>Table2[[#This Row],[Total Revenue]]*0.3</f>
        <v>299207.7</v>
      </c>
      <c r="J1190" s="6">
        <f t="shared" si="37"/>
        <v>0.3</v>
      </c>
      <c r="K1190" t="str">
        <f>VLOOKUP(Table2[[#This Row],[ProductID]],Products!$A$1:C1194,2)</f>
        <v>Phone</v>
      </c>
      <c r="L1190" t="str">
        <f>VLOOKUP(D1190,Products!$A$1:C1194,3)</f>
        <v>Electronics</v>
      </c>
      <c r="M1190" t="str">
        <f>VLOOKUP(Table2[[#This Row],[AgentID]],Sales_Agents!$A$1:C1193,2)</f>
        <v>Blessing</v>
      </c>
      <c r="N1190" t="str">
        <f>VLOOKUP(Table2[[#This Row],[AgentID]],Sales_Agents!$A$1:C1193,3)</f>
        <v>East</v>
      </c>
    </row>
    <row r="1191" spans="1:14" x14ac:dyDescent="0.25">
      <c r="A1191">
        <v>1190</v>
      </c>
      <c r="B1191" s="1">
        <v>45625</v>
      </c>
      <c r="C1191" s="8" t="str">
        <f>TEXT(Table2[[#This Row],[OrderDate]],"mmm")</f>
        <v>Nov</v>
      </c>
      <c r="D1191">
        <v>2</v>
      </c>
      <c r="E1191">
        <v>1</v>
      </c>
      <c r="F1191">
        <v>5</v>
      </c>
      <c r="G1191" s="3">
        <v>223935</v>
      </c>
      <c r="H1191" s="3">
        <f t="shared" si="36"/>
        <v>1119675</v>
      </c>
      <c r="I1191" s="5">
        <f>Table2[[#This Row],[Total Revenue]]*0.3</f>
        <v>335902.5</v>
      </c>
      <c r="J1191" s="6">
        <f t="shared" si="37"/>
        <v>0.3</v>
      </c>
      <c r="K1191" t="str">
        <f>VLOOKUP(Table2[[#This Row],[ProductID]],Products!$A$1:C1195,2)</f>
        <v>Phone</v>
      </c>
      <c r="L1191" t="str">
        <f>VLOOKUP(D1191,Products!$A$1:C1195,3)</f>
        <v>Electronics</v>
      </c>
      <c r="M1191" t="str">
        <f>VLOOKUP(Table2[[#This Row],[AgentID]],Sales_Agents!$A$1:C1194,2)</f>
        <v>Akin</v>
      </c>
      <c r="N1191" t="str">
        <f>VLOOKUP(Table2[[#This Row],[AgentID]],Sales_Agents!$A$1:C1194,3)</f>
        <v>West</v>
      </c>
    </row>
    <row r="1192" spans="1:14" x14ac:dyDescent="0.25">
      <c r="A1192">
        <v>1191</v>
      </c>
      <c r="B1192" s="1">
        <v>45485</v>
      </c>
      <c r="C1192" s="8" t="str">
        <f>TEXT(Table2[[#This Row],[OrderDate]],"mmm")</f>
        <v>Jul</v>
      </c>
      <c r="D1192">
        <v>4</v>
      </c>
      <c r="E1192">
        <v>2</v>
      </c>
      <c r="F1192">
        <v>15</v>
      </c>
      <c r="G1192" s="3">
        <v>223882</v>
      </c>
      <c r="H1192" s="3">
        <f t="shared" si="36"/>
        <v>3358230</v>
      </c>
      <c r="I1192" s="5">
        <f>Table2[[#This Row],[Total Revenue]]*0.3</f>
        <v>1007469</v>
      </c>
      <c r="J1192" s="6">
        <f t="shared" si="37"/>
        <v>0.3</v>
      </c>
      <c r="K1192" t="str">
        <f>VLOOKUP(Table2[[#This Row],[ProductID]],Products!$A$1:C1196,2)</f>
        <v>Printer</v>
      </c>
      <c r="L1192" t="str">
        <f>VLOOKUP(D1192,Products!$A$1:C1196,3)</f>
        <v>Accessories</v>
      </c>
      <c r="M1192" t="str">
        <f>VLOOKUP(Table2[[#This Row],[AgentID]],Sales_Agents!$A$1:C1195,2)</f>
        <v>Blessing</v>
      </c>
      <c r="N1192" t="str">
        <f>VLOOKUP(Table2[[#This Row],[AgentID]],Sales_Agents!$A$1:C1195,3)</f>
        <v>East</v>
      </c>
    </row>
    <row r="1193" spans="1:14" x14ac:dyDescent="0.25">
      <c r="A1193">
        <v>1192</v>
      </c>
      <c r="B1193" s="1">
        <v>45515</v>
      </c>
      <c r="C1193" s="8" t="str">
        <f>TEXT(Table2[[#This Row],[OrderDate]],"mmm")</f>
        <v>Aug</v>
      </c>
      <c r="D1193">
        <v>5</v>
      </c>
      <c r="E1193">
        <v>3</v>
      </c>
      <c r="F1193">
        <v>19</v>
      </c>
      <c r="G1193" s="3">
        <v>235022</v>
      </c>
      <c r="H1193" s="3">
        <f t="shared" si="36"/>
        <v>4465418</v>
      </c>
      <c r="I1193" s="5">
        <f>Table2[[#This Row],[Total Revenue]]*0.3</f>
        <v>1339625.3999999999</v>
      </c>
      <c r="J1193" s="6">
        <f t="shared" si="37"/>
        <v>0.3</v>
      </c>
      <c r="K1193" t="str">
        <f>VLOOKUP(Table2[[#This Row],[ProductID]],Products!$A$1:C1197,2)</f>
        <v>Monitor</v>
      </c>
      <c r="L1193" t="str">
        <f>VLOOKUP(D1193,Products!$A$1:C1197,3)</f>
        <v>Accessories</v>
      </c>
      <c r="M1193" t="str">
        <f>VLOOKUP(Table2[[#This Row],[AgentID]],Sales_Agents!$A$1:C1196,2)</f>
        <v>Chinedu</v>
      </c>
      <c r="N1193" t="str">
        <f>VLOOKUP(Table2[[#This Row],[AgentID]],Sales_Agents!$A$1:C1196,3)</f>
        <v>South</v>
      </c>
    </row>
    <row r="1194" spans="1:14" x14ac:dyDescent="0.25">
      <c r="A1194">
        <v>1193</v>
      </c>
      <c r="B1194" s="1">
        <v>45502</v>
      </c>
      <c r="C1194" s="8" t="str">
        <f>TEXT(Table2[[#This Row],[OrderDate]],"mmm")</f>
        <v>Jul</v>
      </c>
      <c r="D1194">
        <v>4</v>
      </c>
      <c r="E1194">
        <v>3</v>
      </c>
      <c r="F1194">
        <v>4</v>
      </c>
      <c r="G1194" s="3">
        <v>302340</v>
      </c>
      <c r="H1194" s="3">
        <f t="shared" si="36"/>
        <v>1209360</v>
      </c>
      <c r="I1194" s="5">
        <f>Table2[[#This Row],[Total Revenue]]*0.3</f>
        <v>362808</v>
      </c>
      <c r="J1194" s="6">
        <f t="shared" si="37"/>
        <v>0.3</v>
      </c>
      <c r="K1194" t="str">
        <f>VLOOKUP(Table2[[#This Row],[ProductID]],Products!$A$1:C1198,2)</f>
        <v>Printer</v>
      </c>
      <c r="L1194" t="str">
        <f>VLOOKUP(D1194,Products!$A$1:C1198,3)</f>
        <v>Accessories</v>
      </c>
      <c r="M1194" t="str">
        <f>VLOOKUP(Table2[[#This Row],[AgentID]],Sales_Agents!$A$1:C1197,2)</f>
        <v>Chinedu</v>
      </c>
      <c r="N1194" t="str">
        <f>VLOOKUP(Table2[[#This Row],[AgentID]],Sales_Agents!$A$1:C1197,3)</f>
        <v>South</v>
      </c>
    </row>
    <row r="1195" spans="1:14" x14ac:dyDescent="0.25">
      <c r="A1195">
        <v>1194</v>
      </c>
      <c r="B1195" s="1">
        <v>45530</v>
      </c>
      <c r="C1195" s="8" t="str">
        <f>TEXT(Table2[[#This Row],[OrderDate]],"mmm")</f>
        <v>Aug</v>
      </c>
      <c r="D1195">
        <v>2</v>
      </c>
      <c r="E1195">
        <v>3</v>
      </c>
      <c r="F1195">
        <v>10</v>
      </c>
      <c r="G1195" s="3">
        <v>108599</v>
      </c>
      <c r="H1195" s="3">
        <f t="shared" si="36"/>
        <v>1085990</v>
      </c>
      <c r="I1195" s="5">
        <f>Table2[[#This Row],[Total Revenue]]*0.3</f>
        <v>325797</v>
      </c>
      <c r="J1195" s="6">
        <f t="shared" si="37"/>
        <v>0.3</v>
      </c>
      <c r="K1195" t="str">
        <f>VLOOKUP(Table2[[#This Row],[ProductID]],Products!$A$1:C1199,2)</f>
        <v>Phone</v>
      </c>
      <c r="L1195" t="str">
        <f>VLOOKUP(D1195,Products!$A$1:C1199,3)</f>
        <v>Electronics</v>
      </c>
      <c r="M1195" t="str">
        <f>VLOOKUP(Table2[[#This Row],[AgentID]],Sales_Agents!$A$1:C1198,2)</f>
        <v>Chinedu</v>
      </c>
      <c r="N1195" t="str">
        <f>VLOOKUP(Table2[[#This Row],[AgentID]],Sales_Agents!$A$1:C1198,3)</f>
        <v>South</v>
      </c>
    </row>
    <row r="1196" spans="1:14" x14ac:dyDescent="0.25">
      <c r="A1196">
        <v>1195</v>
      </c>
      <c r="B1196" s="1">
        <v>45619</v>
      </c>
      <c r="C1196" s="8" t="str">
        <f>TEXT(Table2[[#This Row],[OrderDate]],"mmm")</f>
        <v>Nov</v>
      </c>
      <c r="D1196">
        <v>2</v>
      </c>
      <c r="E1196">
        <v>3</v>
      </c>
      <c r="F1196">
        <v>15</v>
      </c>
      <c r="G1196" s="3">
        <v>151644</v>
      </c>
      <c r="H1196" s="3">
        <f t="shared" si="36"/>
        <v>2274660</v>
      </c>
      <c r="I1196" s="5">
        <f>Table2[[#This Row],[Total Revenue]]*0.3</f>
        <v>682398</v>
      </c>
      <c r="J1196" s="6">
        <f t="shared" si="37"/>
        <v>0.3</v>
      </c>
      <c r="K1196" t="str">
        <f>VLOOKUP(Table2[[#This Row],[ProductID]],Products!$A$1:C1200,2)</f>
        <v>Phone</v>
      </c>
      <c r="L1196" t="str">
        <f>VLOOKUP(D1196,Products!$A$1:C1200,3)</f>
        <v>Electronics</v>
      </c>
      <c r="M1196" t="str">
        <f>VLOOKUP(Table2[[#This Row],[AgentID]],Sales_Agents!$A$1:C1199,2)</f>
        <v>Chinedu</v>
      </c>
      <c r="N1196" t="str">
        <f>VLOOKUP(Table2[[#This Row],[AgentID]],Sales_Agents!$A$1:C1199,3)</f>
        <v>South</v>
      </c>
    </row>
    <row r="1197" spans="1:14" x14ac:dyDescent="0.25">
      <c r="A1197">
        <v>1196</v>
      </c>
      <c r="B1197" s="1">
        <v>45478</v>
      </c>
      <c r="C1197" s="8" t="str">
        <f>TEXT(Table2[[#This Row],[OrderDate]],"mmm")</f>
        <v>Jul</v>
      </c>
      <c r="D1197">
        <v>2</v>
      </c>
      <c r="E1197">
        <v>2</v>
      </c>
      <c r="F1197">
        <v>7</v>
      </c>
      <c r="G1197" s="3">
        <v>398282</v>
      </c>
      <c r="H1197" s="3">
        <f t="shared" si="36"/>
        <v>2787974</v>
      </c>
      <c r="I1197" s="5">
        <f>Table2[[#This Row],[Total Revenue]]*0.3</f>
        <v>836392.2</v>
      </c>
      <c r="J1197" s="6">
        <f t="shared" si="37"/>
        <v>0.3</v>
      </c>
      <c r="K1197" t="str">
        <f>VLOOKUP(Table2[[#This Row],[ProductID]],Products!$A$1:C1201,2)</f>
        <v>Phone</v>
      </c>
      <c r="L1197" t="str">
        <f>VLOOKUP(D1197,Products!$A$1:C1201,3)</f>
        <v>Electronics</v>
      </c>
      <c r="M1197" t="str">
        <f>VLOOKUP(Table2[[#This Row],[AgentID]],Sales_Agents!$A$1:C1200,2)</f>
        <v>Blessing</v>
      </c>
      <c r="N1197" t="str">
        <f>VLOOKUP(Table2[[#This Row],[AgentID]],Sales_Agents!$A$1:C1200,3)</f>
        <v>East</v>
      </c>
    </row>
    <row r="1198" spans="1:14" x14ac:dyDescent="0.25">
      <c r="A1198">
        <v>1197</v>
      </c>
      <c r="B1198" s="1">
        <v>45367</v>
      </c>
      <c r="C1198" s="8" t="str">
        <f>TEXT(Table2[[#This Row],[OrderDate]],"mmm")</f>
        <v>Mar</v>
      </c>
      <c r="D1198">
        <v>4</v>
      </c>
      <c r="E1198">
        <v>1</v>
      </c>
      <c r="F1198">
        <v>14</v>
      </c>
      <c r="G1198" s="3">
        <v>319391</v>
      </c>
      <c r="H1198" s="3">
        <f t="shared" si="36"/>
        <v>4471474</v>
      </c>
      <c r="I1198" s="5">
        <f>Table2[[#This Row],[Total Revenue]]*0.3</f>
        <v>1341442.2</v>
      </c>
      <c r="J1198" s="6">
        <f t="shared" si="37"/>
        <v>0.3</v>
      </c>
      <c r="K1198" t="str">
        <f>VLOOKUP(Table2[[#This Row],[ProductID]],Products!$A$1:C1202,2)</f>
        <v>Printer</v>
      </c>
      <c r="L1198" t="str">
        <f>VLOOKUP(D1198,Products!$A$1:C1202,3)</f>
        <v>Accessories</v>
      </c>
      <c r="M1198" t="str">
        <f>VLOOKUP(Table2[[#This Row],[AgentID]],Sales_Agents!$A$1:C1201,2)</f>
        <v>Akin</v>
      </c>
      <c r="N1198" t="str">
        <f>VLOOKUP(Table2[[#This Row],[AgentID]],Sales_Agents!$A$1:C1201,3)</f>
        <v>West</v>
      </c>
    </row>
    <row r="1199" spans="1:14" x14ac:dyDescent="0.25">
      <c r="A1199">
        <v>1198</v>
      </c>
      <c r="B1199" s="1">
        <v>45572</v>
      </c>
      <c r="C1199" s="8" t="str">
        <f>TEXT(Table2[[#This Row],[OrderDate]],"mmm")</f>
        <v>Oct</v>
      </c>
      <c r="D1199">
        <v>1</v>
      </c>
      <c r="E1199">
        <v>4</v>
      </c>
      <c r="F1199">
        <v>8</v>
      </c>
      <c r="G1199" s="3">
        <v>207873</v>
      </c>
      <c r="H1199" s="3">
        <f t="shared" si="36"/>
        <v>1662984</v>
      </c>
      <c r="I1199" s="5">
        <f>Table2[[#This Row],[Total Revenue]]*0.3</f>
        <v>498895.19999999995</v>
      </c>
      <c r="J1199" s="6">
        <f t="shared" si="37"/>
        <v>0.3</v>
      </c>
      <c r="K1199" t="str">
        <f>VLOOKUP(Table2[[#This Row],[ProductID]],Products!$A$1:C1203,2)</f>
        <v>Laptop</v>
      </c>
      <c r="L1199" t="str">
        <f>VLOOKUP(D1199,Products!$A$1:C1203,3)</f>
        <v>Electronics</v>
      </c>
      <c r="M1199" t="str">
        <f>VLOOKUP(Table2[[#This Row],[AgentID]],Sales_Agents!$A$1:C1202,2)</f>
        <v>Zainab</v>
      </c>
      <c r="N1199" t="str">
        <f>VLOOKUP(Table2[[#This Row],[AgentID]],Sales_Agents!$A$1:C1202,3)</f>
        <v>North</v>
      </c>
    </row>
    <row r="1200" spans="1:14" x14ac:dyDescent="0.25">
      <c r="A1200">
        <v>1199</v>
      </c>
      <c r="B1200" s="1">
        <v>45642</v>
      </c>
      <c r="C1200" s="8" t="str">
        <f>TEXT(Table2[[#This Row],[OrderDate]],"mmm")</f>
        <v>Dec</v>
      </c>
      <c r="D1200">
        <v>1</v>
      </c>
      <c r="E1200">
        <v>1</v>
      </c>
      <c r="F1200">
        <v>4</v>
      </c>
      <c r="G1200" s="3">
        <v>380256</v>
      </c>
      <c r="H1200" s="3">
        <f t="shared" si="36"/>
        <v>1521024</v>
      </c>
      <c r="I1200" s="5">
        <f>Table2[[#This Row],[Total Revenue]]*0.3</f>
        <v>456307.20000000001</v>
      </c>
      <c r="J1200" s="6">
        <f t="shared" si="37"/>
        <v>0.3</v>
      </c>
      <c r="K1200" t="str">
        <f>VLOOKUP(Table2[[#This Row],[ProductID]],Products!$A$1:C1204,2)</f>
        <v>Laptop</v>
      </c>
      <c r="L1200" t="str">
        <f>VLOOKUP(D1200,Products!$A$1:C1204,3)</f>
        <v>Electronics</v>
      </c>
      <c r="M1200" t="str">
        <f>VLOOKUP(Table2[[#This Row],[AgentID]],Sales_Agents!$A$1:C1203,2)</f>
        <v>Akin</v>
      </c>
      <c r="N1200" t="str">
        <f>VLOOKUP(Table2[[#This Row],[AgentID]],Sales_Agents!$A$1:C1203,3)</f>
        <v>West</v>
      </c>
    </row>
    <row r="1201" spans="1:14" x14ac:dyDescent="0.25">
      <c r="A1201">
        <v>1200</v>
      </c>
      <c r="B1201" s="1">
        <v>45623</v>
      </c>
      <c r="C1201" s="8" t="str">
        <f>TEXT(Table2[[#This Row],[OrderDate]],"mmm")</f>
        <v>Nov</v>
      </c>
      <c r="D1201">
        <v>1</v>
      </c>
      <c r="E1201">
        <v>2</v>
      </c>
      <c r="F1201">
        <v>12</v>
      </c>
      <c r="G1201" s="3">
        <v>202886</v>
      </c>
      <c r="H1201" s="3">
        <f t="shared" si="36"/>
        <v>2434632</v>
      </c>
      <c r="I1201" s="5">
        <f>Table2[[#This Row],[Total Revenue]]*0.3</f>
        <v>730389.6</v>
      </c>
      <c r="J1201" s="6">
        <f t="shared" si="37"/>
        <v>0.3</v>
      </c>
      <c r="K1201" t="str">
        <f>VLOOKUP(Table2[[#This Row],[ProductID]],Products!$A$1:C1205,2)</f>
        <v>Laptop</v>
      </c>
      <c r="L1201" t="str">
        <f>VLOOKUP(D1201,Products!$A$1:C1205,3)</f>
        <v>Electronics</v>
      </c>
      <c r="M1201" t="str">
        <f>VLOOKUP(Table2[[#This Row],[AgentID]],Sales_Agents!$A$1:C1204,2)</f>
        <v>Blessing</v>
      </c>
      <c r="N1201" t="str">
        <f>VLOOKUP(Table2[[#This Row],[AgentID]],Sales_Agents!$A$1:C1204,3)</f>
        <v>East</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C6"/>
  <sheetViews>
    <sheetView workbookViewId="0">
      <selection sqref="A1:C6"/>
    </sheetView>
  </sheetViews>
  <sheetFormatPr defaultRowHeight="15" x14ac:dyDescent="0.25"/>
  <cols>
    <col min="1" max="1" width="11.85546875" customWidth="1"/>
    <col min="2" max="2" width="15.28515625" customWidth="1"/>
    <col min="3" max="3" width="11" customWidth="1"/>
  </cols>
  <sheetData>
    <row r="1" spans="1:3" x14ac:dyDescent="0.25">
      <c r="A1" t="s">
        <v>2</v>
      </c>
      <c r="B1" t="s">
        <v>6</v>
      </c>
      <c r="C1" t="s">
        <v>7</v>
      </c>
    </row>
    <row r="2" spans="1:3" x14ac:dyDescent="0.25">
      <c r="A2">
        <v>1</v>
      </c>
      <c r="B2" t="s">
        <v>8</v>
      </c>
      <c r="C2" t="s">
        <v>9</v>
      </c>
    </row>
    <row r="3" spans="1:3" x14ac:dyDescent="0.25">
      <c r="A3">
        <v>2</v>
      </c>
      <c r="B3" t="s">
        <v>10</v>
      </c>
      <c r="C3" t="s">
        <v>9</v>
      </c>
    </row>
    <row r="4" spans="1:3" x14ac:dyDescent="0.25">
      <c r="A4">
        <v>3</v>
      </c>
      <c r="B4" t="s">
        <v>11</v>
      </c>
      <c r="C4" t="s">
        <v>9</v>
      </c>
    </row>
    <row r="5" spans="1:3" x14ac:dyDescent="0.25">
      <c r="A5">
        <v>4</v>
      </c>
      <c r="B5" t="s">
        <v>12</v>
      </c>
      <c r="C5" t="s">
        <v>13</v>
      </c>
    </row>
    <row r="6" spans="1:3" x14ac:dyDescent="0.25">
      <c r="A6">
        <v>5</v>
      </c>
      <c r="B6" t="s">
        <v>14</v>
      </c>
      <c r="C6"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C5"/>
  <sheetViews>
    <sheetView tabSelected="1" workbookViewId="0">
      <selection sqref="A1:C5"/>
    </sheetView>
  </sheetViews>
  <sheetFormatPr defaultRowHeight="15" x14ac:dyDescent="0.25"/>
  <cols>
    <col min="1" max="1" width="10.28515625" customWidth="1"/>
    <col min="2" max="2" width="13.7109375" customWidth="1"/>
    <col min="3" max="3" width="9.28515625" customWidth="1"/>
  </cols>
  <sheetData>
    <row r="1" spans="1:3" x14ac:dyDescent="0.25">
      <c r="A1" t="s">
        <v>3</v>
      </c>
      <c r="B1" t="s">
        <v>15</v>
      </c>
      <c r="C1" t="s">
        <v>16</v>
      </c>
    </row>
    <row r="2" spans="1:3" x14ac:dyDescent="0.25">
      <c r="A2">
        <v>1</v>
      </c>
      <c r="B2" t="s">
        <v>17</v>
      </c>
      <c r="C2" t="s">
        <v>18</v>
      </c>
    </row>
    <row r="3" spans="1:3" x14ac:dyDescent="0.25">
      <c r="A3">
        <v>2</v>
      </c>
      <c r="B3" t="s">
        <v>19</v>
      </c>
      <c r="C3" t="s">
        <v>20</v>
      </c>
    </row>
    <row r="4" spans="1:3" x14ac:dyDescent="0.25">
      <c r="A4">
        <v>3</v>
      </c>
      <c r="B4" t="s">
        <v>21</v>
      </c>
      <c r="C4" t="s">
        <v>22</v>
      </c>
    </row>
    <row r="5" spans="1:3" x14ac:dyDescent="0.25">
      <c r="A5">
        <v>4</v>
      </c>
      <c r="B5" t="s">
        <v>23</v>
      </c>
      <c r="C5" t="s">
        <v>24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5819-D359-4609-8DDB-645052C15BC5}">
  <sheetPr>
    <tabColor theme="4" tint="0.39997558519241921"/>
  </sheetPr>
  <dimension ref="A2:S57"/>
  <sheetViews>
    <sheetView zoomScale="52" zoomScaleNormal="103" workbookViewId="0">
      <selection activeCell="W9" sqref="W9"/>
    </sheetView>
  </sheetViews>
  <sheetFormatPr defaultRowHeight="15" x14ac:dyDescent="0.25"/>
  <cols>
    <col min="1" max="1" width="21" bestFit="1" customWidth="1"/>
    <col min="2" max="2" width="29.28515625" bestFit="1" customWidth="1"/>
    <col min="3" max="3" width="25.140625" bestFit="1" customWidth="1"/>
    <col min="4" max="4" width="38.28515625" bestFit="1" customWidth="1"/>
    <col min="5" max="5" width="13" bestFit="1" customWidth="1"/>
    <col min="6" max="6" width="17.140625" bestFit="1" customWidth="1"/>
  </cols>
  <sheetData>
    <row r="2" spans="1:19" x14ac:dyDescent="0.25">
      <c r="A2" t="s">
        <v>49</v>
      </c>
    </row>
    <row r="3" spans="1:19" x14ac:dyDescent="0.25">
      <c r="A3" s="9" t="s">
        <v>45</v>
      </c>
      <c r="B3" s="9" t="s">
        <v>48</v>
      </c>
      <c r="O3" s="11" t="s">
        <v>61</v>
      </c>
      <c r="P3" s="11"/>
      <c r="Q3" s="11"/>
      <c r="R3" s="11"/>
      <c r="S3" s="11"/>
    </row>
    <row r="4" spans="1:19" x14ac:dyDescent="0.25">
      <c r="A4" s="9" t="s">
        <v>46</v>
      </c>
      <c r="B4" t="s">
        <v>20</v>
      </c>
      <c r="C4" t="s">
        <v>24</v>
      </c>
      <c r="D4" t="s">
        <v>22</v>
      </c>
      <c r="E4" t="s">
        <v>18</v>
      </c>
      <c r="F4" t="s">
        <v>47</v>
      </c>
    </row>
    <row r="5" spans="1:19" x14ac:dyDescent="0.25">
      <c r="A5" s="10" t="s">
        <v>8</v>
      </c>
      <c r="B5" s="13">
        <v>135114248</v>
      </c>
      <c r="C5" s="13">
        <v>135348898</v>
      </c>
      <c r="D5" s="13">
        <v>110747873</v>
      </c>
      <c r="E5" s="13">
        <v>194940779</v>
      </c>
      <c r="F5" s="13">
        <v>576151798</v>
      </c>
    </row>
    <row r="6" spans="1:19" x14ac:dyDescent="0.25">
      <c r="A6" s="10" t="s">
        <v>14</v>
      </c>
      <c r="B6" s="13">
        <v>171264183</v>
      </c>
      <c r="C6" s="13">
        <v>143218230</v>
      </c>
      <c r="D6" s="13">
        <v>123945634</v>
      </c>
      <c r="E6" s="13">
        <v>82211287</v>
      </c>
      <c r="F6" s="13">
        <v>520639334</v>
      </c>
    </row>
    <row r="7" spans="1:19" x14ac:dyDescent="0.25">
      <c r="A7" s="10" t="s">
        <v>10</v>
      </c>
      <c r="B7" s="13">
        <v>147645626</v>
      </c>
      <c r="C7" s="13">
        <v>133735871</v>
      </c>
      <c r="D7" s="13">
        <v>128323943</v>
      </c>
      <c r="E7" s="13">
        <v>143029406</v>
      </c>
      <c r="F7" s="13">
        <v>552734846</v>
      </c>
    </row>
    <row r="8" spans="1:19" x14ac:dyDescent="0.25">
      <c r="A8" s="10" t="s">
        <v>12</v>
      </c>
      <c r="B8" s="13">
        <v>190194034</v>
      </c>
      <c r="C8" s="13">
        <v>126851887</v>
      </c>
      <c r="D8" s="13">
        <v>137660869</v>
      </c>
      <c r="E8" s="13">
        <v>179323048</v>
      </c>
      <c r="F8" s="13">
        <v>634029838</v>
      </c>
    </row>
    <row r="9" spans="1:19" x14ac:dyDescent="0.25">
      <c r="A9" s="10" t="s">
        <v>11</v>
      </c>
      <c r="B9" s="13">
        <v>137392068</v>
      </c>
      <c r="C9" s="13">
        <v>136583452</v>
      </c>
      <c r="D9" s="13">
        <v>113315361</v>
      </c>
      <c r="E9" s="13">
        <v>160344422</v>
      </c>
      <c r="F9" s="13">
        <v>547635303</v>
      </c>
    </row>
    <row r="10" spans="1:19" x14ac:dyDescent="0.25">
      <c r="A10" s="10" t="s">
        <v>47</v>
      </c>
      <c r="B10" s="13">
        <v>781610159</v>
      </c>
      <c r="C10" s="13">
        <v>675738338</v>
      </c>
      <c r="D10" s="13">
        <v>613993680</v>
      </c>
      <c r="E10" s="13">
        <v>759848942</v>
      </c>
      <c r="F10" s="13">
        <v>2831191119</v>
      </c>
    </row>
    <row r="14" spans="1:19" x14ac:dyDescent="0.25">
      <c r="A14" t="s">
        <v>62</v>
      </c>
    </row>
    <row r="15" spans="1:19" x14ac:dyDescent="0.25">
      <c r="A15" s="9" t="s">
        <v>46</v>
      </c>
      <c r="B15" t="s">
        <v>45</v>
      </c>
    </row>
    <row r="16" spans="1:19" x14ac:dyDescent="0.25">
      <c r="A16" s="10" t="s">
        <v>19</v>
      </c>
      <c r="B16" s="13">
        <v>781610159</v>
      </c>
    </row>
    <row r="17" spans="1:2" x14ac:dyDescent="0.25">
      <c r="A17" s="10" t="s">
        <v>17</v>
      </c>
      <c r="B17" s="13">
        <v>759848942</v>
      </c>
    </row>
    <row r="18" spans="1:2" x14ac:dyDescent="0.25">
      <c r="A18" s="10" t="s">
        <v>23</v>
      </c>
      <c r="B18" s="13">
        <v>675738338</v>
      </c>
    </row>
    <row r="19" spans="1:2" x14ac:dyDescent="0.25">
      <c r="A19" s="10" t="s">
        <v>21</v>
      </c>
      <c r="B19" s="13">
        <v>613993680</v>
      </c>
    </row>
    <row r="20" spans="1:2" x14ac:dyDescent="0.25">
      <c r="A20" s="10" t="s">
        <v>47</v>
      </c>
      <c r="B20" s="13">
        <v>2831191119</v>
      </c>
    </row>
    <row r="23" spans="1:2" x14ac:dyDescent="0.25">
      <c r="A23" s="10" t="s">
        <v>63</v>
      </c>
    </row>
    <row r="24" spans="1:2" x14ac:dyDescent="0.25">
      <c r="A24" s="9" t="s">
        <v>46</v>
      </c>
      <c r="B24" t="s">
        <v>45</v>
      </c>
    </row>
    <row r="25" spans="1:2" x14ac:dyDescent="0.25">
      <c r="A25" s="10" t="s">
        <v>52</v>
      </c>
      <c r="B25" s="13">
        <v>232061636</v>
      </c>
    </row>
    <row r="26" spans="1:2" x14ac:dyDescent="0.25">
      <c r="A26" s="10" t="s">
        <v>57</v>
      </c>
      <c r="B26" s="13">
        <v>234067539</v>
      </c>
    </row>
    <row r="27" spans="1:2" x14ac:dyDescent="0.25">
      <c r="A27" s="10" t="s">
        <v>60</v>
      </c>
      <c r="B27" s="13">
        <v>242474596</v>
      </c>
    </row>
    <row r="28" spans="1:2" x14ac:dyDescent="0.25">
      <c r="A28" s="10" t="s">
        <v>53</v>
      </c>
      <c r="B28" s="13">
        <v>280748080</v>
      </c>
    </row>
    <row r="29" spans="1:2" x14ac:dyDescent="0.25">
      <c r="A29" s="10" t="s">
        <v>32</v>
      </c>
      <c r="B29" s="13">
        <v>222073801</v>
      </c>
    </row>
    <row r="30" spans="1:2" x14ac:dyDescent="0.25">
      <c r="A30" s="10" t="s">
        <v>59</v>
      </c>
      <c r="B30" s="13">
        <v>232851945</v>
      </c>
    </row>
    <row r="31" spans="1:2" x14ac:dyDescent="0.25">
      <c r="A31" s="10" t="s">
        <v>55</v>
      </c>
      <c r="B31" s="13">
        <v>236002916</v>
      </c>
    </row>
    <row r="32" spans="1:2" x14ac:dyDescent="0.25">
      <c r="A32" s="10" t="s">
        <v>56</v>
      </c>
      <c r="B32" s="13">
        <v>210466725</v>
      </c>
    </row>
    <row r="33" spans="1:2" x14ac:dyDescent="0.25">
      <c r="A33" s="10" t="s">
        <v>51</v>
      </c>
      <c r="B33" s="13">
        <v>234322535</v>
      </c>
    </row>
    <row r="34" spans="1:2" x14ac:dyDescent="0.25">
      <c r="A34" s="10" t="s">
        <v>58</v>
      </c>
      <c r="B34" s="13">
        <v>238591314</v>
      </c>
    </row>
    <row r="35" spans="1:2" x14ac:dyDescent="0.25">
      <c r="A35" s="10" t="s">
        <v>50</v>
      </c>
      <c r="B35" s="13">
        <v>235752047</v>
      </c>
    </row>
    <row r="36" spans="1:2" x14ac:dyDescent="0.25">
      <c r="A36" s="10" t="s">
        <v>54</v>
      </c>
      <c r="B36" s="13">
        <v>231777985</v>
      </c>
    </row>
    <row r="37" spans="1:2" x14ac:dyDescent="0.25">
      <c r="A37" s="10" t="s">
        <v>47</v>
      </c>
      <c r="B37" s="13">
        <v>2831191119</v>
      </c>
    </row>
    <row r="40" spans="1:2" x14ac:dyDescent="0.25">
      <c r="A40" s="10" t="s">
        <v>65</v>
      </c>
    </row>
    <row r="41" spans="1:2" x14ac:dyDescent="0.25">
      <c r="A41" s="9" t="s">
        <v>46</v>
      </c>
      <c r="B41" t="s">
        <v>64</v>
      </c>
    </row>
    <row r="42" spans="1:2" x14ac:dyDescent="0.25">
      <c r="A42" s="10" t="s">
        <v>12</v>
      </c>
      <c r="B42" s="12">
        <v>0.22394455596623408</v>
      </c>
    </row>
    <row r="43" spans="1:2" x14ac:dyDescent="0.25">
      <c r="A43" s="10" t="s">
        <v>8</v>
      </c>
      <c r="B43" s="12">
        <v>0.20350155598238159</v>
      </c>
    </row>
    <row r="44" spans="1:2" x14ac:dyDescent="0.25">
      <c r="A44" s="10" t="s">
        <v>10</v>
      </c>
      <c r="B44" s="12">
        <v>0.19523049584700258</v>
      </c>
    </row>
    <row r="45" spans="1:2" x14ac:dyDescent="0.25">
      <c r="A45" s="10" t="s">
        <v>11</v>
      </c>
      <c r="B45" s="12">
        <v>0.19342929529724895</v>
      </c>
    </row>
    <row r="46" spans="1:2" x14ac:dyDescent="0.25">
      <c r="A46" s="10" t="s">
        <v>14</v>
      </c>
      <c r="B46" s="12">
        <v>0.18389409690713285</v>
      </c>
    </row>
    <row r="47" spans="1:2" x14ac:dyDescent="0.25">
      <c r="A47" s="10" t="s">
        <v>47</v>
      </c>
      <c r="B47" s="12">
        <v>1</v>
      </c>
    </row>
    <row r="51" spans="1:4" x14ac:dyDescent="0.25">
      <c r="A51" s="9" t="s">
        <v>46</v>
      </c>
      <c r="B51" t="s">
        <v>66</v>
      </c>
      <c r="C51" t="s">
        <v>67</v>
      </c>
      <c r="D51" t="s">
        <v>64</v>
      </c>
    </row>
    <row r="52" spans="1:4" x14ac:dyDescent="0.25">
      <c r="A52" s="10" t="s">
        <v>8</v>
      </c>
      <c r="B52" s="12">
        <v>0.20583333333332784</v>
      </c>
      <c r="C52" s="14">
        <v>247</v>
      </c>
      <c r="D52" s="13">
        <v>172845539.40000001</v>
      </c>
    </row>
    <row r="53" spans="1:4" x14ac:dyDescent="0.25">
      <c r="A53" s="10" t="s">
        <v>14</v>
      </c>
      <c r="B53" s="12">
        <v>0.18583333333332849</v>
      </c>
      <c r="C53" s="14">
        <v>223</v>
      </c>
      <c r="D53" s="13">
        <v>156191800.19999996</v>
      </c>
    </row>
    <row r="54" spans="1:4" x14ac:dyDescent="0.25">
      <c r="A54" s="10" t="s">
        <v>10</v>
      </c>
      <c r="B54" s="12">
        <v>0.18916666666666171</v>
      </c>
      <c r="C54" s="14">
        <v>227</v>
      </c>
      <c r="D54" s="13">
        <v>165820453.80000001</v>
      </c>
    </row>
    <row r="55" spans="1:4" x14ac:dyDescent="0.25">
      <c r="A55" s="10" t="s">
        <v>12</v>
      </c>
      <c r="B55" s="12">
        <v>0.21333333333332763</v>
      </c>
      <c r="C55" s="14">
        <v>256</v>
      </c>
      <c r="D55" s="13">
        <v>190208951.4000001</v>
      </c>
    </row>
    <row r="56" spans="1:4" x14ac:dyDescent="0.25">
      <c r="A56" s="10" t="s">
        <v>11</v>
      </c>
      <c r="B56" s="12">
        <v>0.20583333333332784</v>
      </c>
      <c r="C56" s="14">
        <v>247</v>
      </c>
      <c r="D56" s="13">
        <v>164290590.89999989</v>
      </c>
    </row>
    <row r="57" spans="1:4" x14ac:dyDescent="0.25">
      <c r="A57" s="10" t="s">
        <v>47</v>
      </c>
      <c r="B57" s="12">
        <v>1</v>
      </c>
      <c r="C57" s="14">
        <v>1200</v>
      </c>
      <c r="D57" s="13">
        <v>849357335.70000017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25DE-0241-47A4-83D9-E3433EECB220}">
  <sheetPr>
    <tabColor rgb="FF4F0E19"/>
  </sheetPr>
  <dimension ref="A1:V34"/>
  <sheetViews>
    <sheetView showGridLines="0" showRowColHeaders="0" zoomScale="66" zoomScaleNormal="69" workbookViewId="0">
      <selection activeCell="V26" sqref="V26"/>
    </sheetView>
  </sheetViews>
  <sheetFormatPr defaultRowHeight="15" x14ac:dyDescent="0.25"/>
  <sheetData>
    <row r="1" spans="1:22" x14ac:dyDescent="0.25">
      <c r="A1" s="15"/>
      <c r="B1" s="15"/>
      <c r="C1" s="15"/>
      <c r="D1" s="15"/>
      <c r="E1" s="15"/>
      <c r="F1" s="15"/>
      <c r="G1" s="15"/>
      <c r="H1" s="15"/>
      <c r="I1" s="15"/>
      <c r="J1" s="15"/>
      <c r="K1" s="15"/>
      <c r="L1" s="15"/>
      <c r="M1" s="15"/>
      <c r="N1" s="15"/>
      <c r="O1" s="15"/>
      <c r="P1" s="15"/>
      <c r="Q1" s="15"/>
      <c r="R1" s="15"/>
      <c r="S1" s="15"/>
      <c r="T1" s="15"/>
      <c r="U1" s="15"/>
      <c r="V1" s="15"/>
    </row>
    <row r="2" spans="1:22" x14ac:dyDescent="0.25">
      <c r="A2" s="15"/>
      <c r="B2" s="15"/>
      <c r="C2" s="15"/>
      <c r="D2" s="15"/>
      <c r="E2" s="15"/>
      <c r="F2" s="15"/>
      <c r="G2" s="15"/>
      <c r="H2" s="15"/>
      <c r="I2" s="15"/>
      <c r="J2" s="15"/>
      <c r="K2" s="15"/>
      <c r="L2" s="15"/>
      <c r="M2" s="15"/>
      <c r="N2" s="15"/>
      <c r="O2" s="15"/>
      <c r="P2" s="15"/>
      <c r="Q2" s="15"/>
      <c r="R2" s="15"/>
      <c r="S2" s="15"/>
      <c r="T2" s="15"/>
      <c r="U2" s="15"/>
      <c r="V2" s="15"/>
    </row>
    <row r="3" spans="1:22" x14ac:dyDescent="0.25">
      <c r="A3" s="15"/>
      <c r="B3" s="15"/>
      <c r="C3" s="15"/>
      <c r="D3" s="15"/>
      <c r="E3" s="15"/>
      <c r="F3" s="15"/>
      <c r="G3" s="15"/>
      <c r="H3" s="15"/>
      <c r="I3" s="15"/>
      <c r="J3" s="15"/>
      <c r="K3" s="15"/>
      <c r="L3" s="15"/>
      <c r="M3" s="15"/>
      <c r="N3" s="15"/>
      <c r="O3" s="15"/>
      <c r="P3" s="15"/>
      <c r="Q3" s="15"/>
      <c r="R3" s="15"/>
      <c r="S3" s="15"/>
      <c r="T3" s="15"/>
      <c r="U3" s="15"/>
      <c r="V3" s="15"/>
    </row>
    <row r="4" spans="1:22" x14ac:dyDescent="0.25">
      <c r="A4" s="15"/>
      <c r="B4" s="15"/>
      <c r="C4" s="15"/>
      <c r="D4" s="15"/>
      <c r="E4" s="15"/>
      <c r="F4" s="15"/>
      <c r="G4" s="15"/>
      <c r="H4" s="15"/>
      <c r="I4" s="15"/>
      <c r="J4" s="15"/>
      <c r="K4" s="15"/>
      <c r="L4" s="15"/>
      <c r="M4" s="15"/>
      <c r="N4" s="15"/>
      <c r="O4" s="15"/>
      <c r="P4" s="15"/>
      <c r="Q4" s="15"/>
      <c r="R4" s="15"/>
      <c r="S4" s="15"/>
      <c r="T4" s="15"/>
      <c r="U4" s="15"/>
      <c r="V4" s="15"/>
    </row>
    <row r="5" spans="1:22" x14ac:dyDescent="0.25">
      <c r="A5" s="15"/>
      <c r="B5" s="15"/>
      <c r="C5" s="15"/>
      <c r="D5" s="15"/>
      <c r="E5" s="15"/>
      <c r="F5" s="15"/>
      <c r="G5" s="15"/>
      <c r="H5" s="15"/>
      <c r="I5" s="15"/>
      <c r="J5" s="15"/>
      <c r="K5" s="15"/>
      <c r="L5" s="15"/>
      <c r="M5" s="15"/>
      <c r="N5" s="15"/>
      <c r="O5" s="15"/>
      <c r="P5" s="15"/>
      <c r="Q5" s="15"/>
      <c r="R5" s="15"/>
      <c r="S5" s="15"/>
      <c r="T5" s="15"/>
      <c r="U5" s="15"/>
      <c r="V5" s="15"/>
    </row>
    <row r="6" spans="1:22" x14ac:dyDescent="0.25">
      <c r="A6" s="15"/>
      <c r="B6" s="15"/>
      <c r="C6" s="15"/>
      <c r="D6" s="15"/>
      <c r="E6" s="15"/>
      <c r="F6" s="15"/>
      <c r="G6" s="15"/>
      <c r="H6" s="15"/>
      <c r="I6" s="15"/>
      <c r="J6" s="15"/>
      <c r="K6" s="15"/>
      <c r="L6" s="15"/>
      <c r="M6" s="15"/>
      <c r="N6" s="15"/>
      <c r="O6" s="15"/>
      <c r="P6" s="15"/>
      <c r="Q6" s="15"/>
      <c r="R6" s="15"/>
      <c r="S6" s="15"/>
      <c r="T6" s="15"/>
      <c r="U6" s="15"/>
      <c r="V6" s="15"/>
    </row>
    <row r="7" spans="1:22" x14ac:dyDescent="0.25">
      <c r="A7" s="15"/>
      <c r="B7" s="15"/>
      <c r="C7" s="15"/>
      <c r="D7" s="15"/>
      <c r="E7" s="15"/>
      <c r="F7" s="15"/>
      <c r="G7" s="15"/>
      <c r="H7" s="15"/>
      <c r="I7" s="15"/>
      <c r="J7" s="15"/>
      <c r="K7" s="15"/>
      <c r="L7" s="15"/>
      <c r="M7" s="15"/>
      <c r="N7" s="15"/>
      <c r="O7" s="15"/>
      <c r="P7" s="15"/>
      <c r="Q7" s="15"/>
      <c r="R7" s="15"/>
      <c r="S7" s="15"/>
      <c r="T7" s="15"/>
      <c r="U7" s="15"/>
      <c r="V7" s="15"/>
    </row>
    <row r="8" spans="1:22" x14ac:dyDescent="0.25">
      <c r="A8" s="15"/>
      <c r="B8" s="15"/>
      <c r="C8" s="15"/>
      <c r="D8" s="15"/>
      <c r="E8" s="15"/>
      <c r="F8" s="15"/>
      <c r="G8" s="15"/>
      <c r="H8" s="15"/>
      <c r="I8" s="15"/>
      <c r="J8" s="15"/>
      <c r="K8" s="15"/>
      <c r="L8" s="15"/>
      <c r="M8" s="15"/>
      <c r="N8" s="15"/>
      <c r="O8" s="15"/>
      <c r="P8" s="15"/>
      <c r="Q8" s="15"/>
      <c r="R8" s="15"/>
      <c r="S8" s="15"/>
      <c r="T8" s="15"/>
      <c r="U8" s="15"/>
      <c r="V8" s="15"/>
    </row>
    <row r="9" spans="1:22" x14ac:dyDescent="0.25">
      <c r="A9" s="15"/>
      <c r="B9" s="15"/>
      <c r="C9" s="15"/>
      <c r="D9" s="15"/>
      <c r="E9" s="15"/>
      <c r="F9" s="15"/>
      <c r="G9" s="15"/>
      <c r="H9" s="15"/>
      <c r="I9" s="15"/>
      <c r="J9" s="15"/>
      <c r="K9" s="15"/>
      <c r="L9" s="15"/>
      <c r="M9" s="15"/>
      <c r="N9" s="15"/>
      <c r="O9" s="15"/>
      <c r="P9" s="15"/>
      <c r="Q9" s="15"/>
      <c r="R9" s="15"/>
      <c r="S9" s="15"/>
      <c r="T9" s="15"/>
      <c r="U9" s="15"/>
      <c r="V9" s="15"/>
    </row>
    <row r="10" spans="1:22" x14ac:dyDescent="0.25">
      <c r="A10" s="15"/>
      <c r="B10" s="15"/>
      <c r="C10" s="15"/>
      <c r="D10" s="15"/>
      <c r="E10" s="15"/>
      <c r="F10" s="15"/>
      <c r="G10" s="15"/>
      <c r="H10" s="15"/>
      <c r="I10" s="15"/>
      <c r="J10" s="15"/>
      <c r="K10" s="15"/>
      <c r="L10" s="15"/>
      <c r="M10" s="15"/>
      <c r="N10" s="15"/>
      <c r="O10" s="15"/>
      <c r="P10" s="15"/>
      <c r="Q10" s="15"/>
      <c r="R10" s="15"/>
      <c r="S10" s="15"/>
      <c r="T10" s="15"/>
      <c r="U10" s="15"/>
      <c r="V10" s="15"/>
    </row>
    <row r="11" spans="1:22" x14ac:dyDescent="0.25">
      <c r="A11" s="15"/>
      <c r="B11" s="15"/>
      <c r="C11" s="15"/>
      <c r="D11" s="15"/>
      <c r="E11" s="15"/>
      <c r="F11" s="15"/>
      <c r="G11" s="15"/>
      <c r="H11" s="15"/>
      <c r="I11" s="15"/>
      <c r="J11" s="15"/>
      <c r="K11" s="15"/>
      <c r="L11" s="15"/>
      <c r="M11" s="15"/>
      <c r="N11" s="15"/>
      <c r="O11" s="15"/>
      <c r="P11" s="15"/>
      <c r="Q11" s="15"/>
      <c r="R11" s="15"/>
      <c r="S11" s="15"/>
      <c r="T11" s="15"/>
      <c r="U11" s="15"/>
      <c r="V11" s="15"/>
    </row>
    <row r="12" spans="1:22" x14ac:dyDescent="0.25">
      <c r="A12" s="15"/>
      <c r="B12" s="15"/>
      <c r="C12" s="15"/>
      <c r="D12" s="15"/>
      <c r="E12" s="15"/>
      <c r="F12" s="15"/>
      <c r="G12" s="15"/>
      <c r="H12" s="15"/>
      <c r="I12" s="15"/>
      <c r="J12" s="15"/>
      <c r="K12" s="15"/>
      <c r="L12" s="15"/>
      <c r="M12" s="15"/>
      <c r="N12" s="15"/>
      <c r="O12" s="15"/>
      <c r="P12" s="15"/>
      <c r="Q12" s="15"/>
      <c r="R12" s="15"/>
      <c r="S12" s="15"/>
      <c r="T12" s="15"/>
      <c r="U12" s="15"/>
      <c r="V12" s="15"/>
    </row>
    <row r="13" spans="1:22" x14ac:dyDescent="0.25">
      <c r="A13" s="15"/>
      <c r="B13" s="15"/>
      <c r="C13" s="15"/>
      <c r="D13" s="15"/>
      <c r="E13" s="15"/>
      <c r="F13" s="15"/>
      <c r="G13" s="15"/>
      <c r="H13" s="15"/>
      <c r="I13" s="15"/>
      <c r="J13" s="15"/>
      <c r="K13" s="15"/>
      <c r="L13" s="15"/>
      <c r="M13" s="15"/>
      <c r="N13" s="15"/>
      <c r="O13" s="15"/>
      <c r="P13" s="15"/>
      <c r="Q13" s="15"/>
      <c r="R13" s="15"/>
      <c r="S13" s="15"/>
      <c r="T13" s="15"/>
      <c r="U13" s="15"/>
      <c r="V13" s="15"/>
    </row>
    <row r="14" spans="1:22" x14ac:dyDescent="0.25">
      <c r="A14" s="15"/>
      <c r="B14" s="15"/>
      <c r="C14" s="15"/>
      <c r="D14" s="15"/>
      <c r="E14" s="15"/>
      <c r="F14" s="15"/>
      <c r="G14" s="15"/>
      <c r="H14" s="15"/>
      <c r="I14" s="15"/>
      <c r="J14" s="15"/>
      <c r="K14" s="15"/>
      <c r="L14" s="15"/>
      <c r="M14" s="15"/>
      <c r="N14" s="15"/>
      <c r="O14" s="15"/>
      <c r="P14" s="15"/>
      <c r="Q14" s="15"/>
      <c r="R14" s="15"/>
      <c r="S14" s="15"/>
      <c r="T14" s="15"/>
      <c r="U14" s="15"/>
      <c r="V14" s="15"/>
    </row>
    <row r="15" spans="1:22" x14ac:dyDescent="0.25">
      <c r="A15" s="15"/>
      <c r="B15" s="15"/>
      <c r="C15" s="15"/>
      <c r="D15" s="15"/>
      <c r="E15" s="15"/>
      <c r="F15" s="15"/>
      <c r="G15" s="15"/>
      <c r="H15" s="15"/>
      <c r="I15" s="15"/>
      <c r="J15" s="15"/>
      <c r="K15" s="15"/>
      <c r="L15" s="15"/>
      <c r="M15" s="15"/>
      <c r="N15" s="15"/>
      <c r="O15" s="15"/>
      <c r="P15" s="15"/>
      <c r="Q15" s="15"/>
      <c r="R15" s="15"/>
      <c r="S15" s="15"/>
      <c r="T15" s="15"/>
      <c r="U15" s="15"/>
      <c r="V15" s="15"/>
    </row>
    <row r="16" spans="1:22" x14ac:dyDescent="0.25">
      <c r="A16" s="15"/>
      <c r="B16" s="15"/>
      <c r="C16" s="15"/>
      <c r="D16" s="15"/>
      <c r="E16" s="15"/>
      <c r="F16" s="15"/>
      <c r="G16" s="15"/>
      <c r="H16" s="15"/>
      <c r="I16" s="15"/>
      <c r="J16" s="15"/>
      <c r="K16" s="15"/>
      <c r="L16" s="15"/>
      <c r="M16" s="15"/>
      <c r="N16" s="15"/>
      <c r="O16" s="15"/>
      <c r="P16" s="15"/>
      <c r="Q16" s="15"/>
      <c r="R16" s="15"/>
      <c r="S16" s="15"/>
      <c r="T16" s="15"/>
      <c r="U16" s="15"/>
      <c r="V16" s="15"/>
    </row>
    <row r="17" spans="1:22" x14ac:dyDescent="0.25">
      <c r="A17" s="15"/>
      <c r="B17" s="15"/>
      <c r="C17" s="15"/>
      <c r="D17" s="15"/>
      <c r="E17" s="15"/>
      <c r="F17" s="15"/>
      <c r="G17" s="15"/>
      <c r="H17" s="15"/>
      <c r="I17" s="15"/>
      <c r="J17" s="15"/>
      <c r="K17" s="15"/>
      <c r="L17" s="15"/>
      <c r="M17" s="15"/>
      <c r="N17" s="15"/>
      <c r="O17" s="15"/>
      <c r="P17" s="15"/>
      <c r="Q17" s="15"/>
      <c r="R17" s="15"/>
      <c r="S17" s="15"/>
      <c r="T17" s="15"/>
      <c r="U17" s="15"/>
      <c r="V17" s="15"/>
    </row>
    <row r="18" spans="1:22" x14ac:dyDescent="0.25">
      <c r="A18" s="15"/>
      <c r="B18" s="15"/>
      <c r="C18" s="15"/>
      <c r="D18" s="15"/>
      <c r="E18" s="15"/>
      <c r="F18" s="15"/>
      <c r="G18" s="15"/>
      <c r="H18" s="15"/>
      <c r="I18" s="15"/>
      <c r="J18" s="15"/>
      <c r="K18" s="15"/>
      <c r="L18" s="15"/>
      <c r="M18" s="15"/>
      <c r="N18" s="15"/>
      <c r="O18" s="15"/>
      <c r="P18" s="15"/>
      <c r="Q18" s="15"/>
      <c r="R18" s="15"/>
      <c r="S18" s="15"/>
      <c r="T18" s="15"/>
      <c r="U18" s="15"/>
      <c r="V18" s="15"/>
    </row>
    <row r="19" spans="1:22" x14ac:dyDescent="0.25">
      <c r="A19" s="15"/>
      <c r="B19" s="15"/>
      <c r="C19" s="15"/>
      <c r="D19" s="15"/>
      <c r="E19" s="15"/>
      <c r="F19" s="15"/>
      <c r="G19" s="15"/>
      <c r="H19" s="15"/>
      <c r="I19" s="15"/>
      <c r="J19" s="15"/>
      <c r="K19" s="15"/>
      <c r="L19" s="15"/>
      <c r="M19" s="15"/>
      <c r="N19" s="15"/>
      <c r="O19" s="15"/>
      <c r="P19" s="15"/>
      <c r="Q19" s="15"/>
      <c r="R19" s="15"/>
      <c r="S19" s="15"/>
      <c r="T19" s="15"/>
      <c r="U19" s="15"/>
      <c r="V19" s="15"/>
    </row>
    <row r="20" spans="1:22" x14ac:dyDescent="0.25">
      <c r="A20" s="15"/>
      <c r="B20" s="15"/>
      <c r="C20" s="15"/>
      <c r="D20" s="15"/>
      <c r="E20" s="15"/>
      <c r="F20" s="15"/>
      <c r="G20" s="15"/>
      <c r="H20" s="15"/>
      <c r="I20" s="15"/>
      <c r="J20" s="15"/>
      <c r="K20" s="15"/>
      <c r="L20" s="15"/>
      <c r="M20" s="15"/>
      <c r="N20" s="15"/>
      <c r="O20" s="15"/>
      <c r="P20" s="15"/>
      <c r="Q20" s="15"/>
      <c r="R20" s="15"/>
      <c r="S20" s="15"/>
      <c r="T20" s="15"/>
      <c r="U20" s="15"/>
      <c r="V20" s="15"/>
    </row>
    <row r="21" spans="1:22" x14ac:dyDescent="0.25">
      <c r="A21" s="15"/>
      <c r="B21" s="15"/>
      <c r="C21" s="15"/>
      <c r="D21" s="15"/>
      <c r="E21" s="15"/>
      <c r="F21" s="15"/>
      <c r="G21" s="15"/>
      <c r="H21" s="15"/>
      <c r="I21" s="15"/>
      <c r="J21" s="15"/>
      <c r="K21" s="15"/>
      <c r="L21" s="15"/>
      <c r="M21" s="15"/>
      <c r="N21" s="15"/>
      <c r="O21" s="15"/>
      <c r="P21" s="15"/>
      <c r="Q21" s="15"/>
      <c r="R21" s="15"/>
      <c r="S21" s="15"/>
      <c r="T21" s="15"/>
      <c r="U21" s="15"/>
      <c r="V21" s="15"/>
    </row>
    <row r="22" spans="1:22" x14ac:dyDescent="0.25">
      <c r="A22" s="15"/>
      <c r="B22" s="15"/>
      <c r="C22" s="15"/>
      <c r="D22" s="15"/>
      <c r="E22" s="15"/>
      <c r="F22" s="15"/>
      <c r="G22" s="15"/>
      <c r="H22" s="15"/>
      <c r="I22" s="15"/>
      <c r="J22" s="15"/>
      <c r="K22" s="15"/>
      <c r="L22" s="15"/>
      <c r="M22" s="15"/>
      <c r="N22" s="15"/>
      <c r="O22" s="15"/>
      <c r="P22" s="15"/>
      <c r="Q22" s="15"/>
      <c r="R22" s="15"/>
      <c r="S22" s="15"/>
      <c r="T22" s="15"/>
      <c r="U22" s="15"/>
      <c r="V22" s="15"/>
    </row>
    <row r="23" spans="1:22" x14ac:dyDescent="0.25">
      <c r="A23" s="15"/>
      <c r="B23" s="15"/>
      <c r="C23" s="15"/>
      <c r="D23" s="15"/>
      <c r="E23" s="15"/>
      <c r="F23" s="15"/>
      <c r="G23" s="15"/>
      <c r="H23" s="15"/>
      <c r="I23" s="15"/>
      <c r="J23" s="15"/>
      <c r="K23" s="15"/>
      <c r="L23" s="15"/>
      <c r="M23" s="15"/>
      <c r="N23" s="15"/>
      <c r="O23" s="15"/>
      <c r="P23" s="15"/>
      <c r="Q23" s="15"/>
      <c r="R23" s="15"/>
      <c r="S23" s="15"/>
      <c r="T23" s="15"/>
      <c r="U23" s="15"/>
      <c r="V23" s="15"/>
    </row>
    <row r="24" spans="1:22" x14ac:dyDescent="0.25">
      <c r="A24" s="15"/>
      <c r="B24" s="15"/>
      <c r="C24" s="15"/>
      <c r="D24" s="15"/>
      <c r="E24" s="15"/>
      <c r="F24" s="15"/>
      <c r="G24" s="15"/>
      <c r="H24" s="15"/>
      <c r="I24" s="15"/>
      <c r="J24" s="15"/>
      <c r="K24" s="15"/>
      <c r="L24" s="15"/>
      <c r="M24" s="15"/>
      <c r="N24" s="15"/>
      <c r="O24" s="15"/>
      <c r="P24" s="15"/>
      <c r="Q24" s="15"/>
      <c r="R24" s="15"/>
      <c r="S24" s="15"/>
      <c r="T24" s="15"/>
      <c r="U24" s="15"/>
      <c r="V24" s="15"/>
    </row>
    <row r="25" spans="1:22" x14ac:dyDescent="0.25">
      <c r="A25" s="15"/>
      <c r="B25" s="15"/>
      <c r="C25" s="15"/>
      <c r="D25" s="15"/>
      <c r="E25" s="15"/>
      <c r="F25" s="15"/>
      <c r="G25" s="15"/>
      <c r="H25" s="15"/>
      <c r="I25" s="15"/>
      <c r="J25" s="15"/>
      <c r="K25" s="15"/>
      <c r="L25" s="15"/>
      <c r="M25" s="15"/>
      <c r="N25" s="15"/>
      <c r="O25" s="15"/>
      <c r="P25" s="15"/>
      <c r="Q25" s="15"/>
      <c r="R25" s="15"/>
      <c r="S25" s="15"/>
      <c r="T25" s="15"/>
      <c r="U25" s="15"/>
      <c r="V25" s="15"/>
    </row>
    <row r="26" spans="1:22" x14ac:dyDescent="0.25">
      <c r="A26" s="15"/>
      <c r="B26" s="15"/>
      <c r="C26" s="15"/>
      <c r="D26" s="15"/>
      <c r="E26" s="15"/>
      <c r="F26" s="15"/>
      <c r="G26" s="15"/>
      <c r="H26" s="15"/>
      <c r="I26" s="15"/>
      <c r="J26" s="15"/>
      <c r="K26" s="15"/>
      <c r="L26" s="15"/>
      <c r="M26" s="15"/>
      <c r="N26" s="15"/>
      <c r="O26" s="15"/>
      <c r="P26" s="15"/>
      <c r="Q26" s="15"/>
      <c r="R26" s="15"/>
      <c r="S26" s="15"/>
      <c r="T26" s="15"/>
      <c r="U26" s="15"/>
      <c r="V26" s="15"/>
    </row>
    <row r="27" spans="1:22" x14ac:dyDescent="0.25">
      <c r="A27" s="15"/>
      <c r="B27" s="15"/>
      <c r="C27" s="15"/>
      <c r="D27" s="15"/>
      <c r="E27" s="15"/>
      <c r="F27" s="15"/>
      <c r="G27" s="15"/>
      <c r="H27" s="15"/>
      <c r="I27" s="15"/>
      <c r="J27" s="15"/>
      <c r="K27" s="15"/>
      <c r="L27" s="15"/>
      <c r="M27" s="15"/>
      <c r="N27" s="15"/>
      <c r="O27" s="15"/>
      <c r="P27" s="15"/>
      <c r="Q27" s="15"/>
      <c r="R27" s="15"/>
      <c r="S27" s="15"/>
      <c r="T27" s="15"/>
      <c r="U27" s="15"/>
      <c r="V27" s="15"/>
    </row>
    <row r="28" spans="1:22" x14ac:dyDescent="0.25">
      <c r="A28" s="15"/>
      <c r="B28" s="15"/>
      <c r="C28" s="15"/>
      <c r="D28" s="15"/>
      <c r="E28" s="15"/>
      <c r="F28" s="15"/>
      <c r="G28" s="15"/>
      <c r="H28" s="15"/>
      <c r="I28" s="15"/>
      <c r="J28" s="15"/>
      <c r="K28" s="15"/>
      <c r="L28" s="15"/>
      <c r="M28" s="15"/>
      <c r="N28" s="15"/>
      <c r="O28" s="15"/>
      <c r="P28" s="15"/>
      <c r="Q28" s="15"/>
      <c r="R28" s="15"/>
      <c r="S28" s="15"/>
      <c r="T28" s="15"/>
      <c r="U28" s="15"/>
      <c r="V28" s="15"/>
    </row>
    <row r="29" spans="1:22" x14ac:dyDescent="0.25">
      <c r="A29" s="15"/>
      <c r="B29" s="15"/>
      <c r="C29" s="15"/>
      <c r="D29" s="15"/>
      <c r="E29" s="15"/>
      <c r="F29" s="15"/>
      <c r="G29" s="15"/>
      <c r="H29" s="15"/>
      <c r="I29" s="15"/>
      <c r="J29" s="15"/>
      <c r="K29" s="15"/>
      <c r="L29" s="15"/>
      <c r="M29" s="15"/>
      <c r="N29" s="15"/>
      <c r="O29" s="15"/>
      <c r="P29" s="15"/>
      <c r="Q29" s="15"/>
      <c r="R29" s="15"/>
      <c r="S29" s="15"/>
      <c r="T29" s="15"/>
      <c r="U29" s="15"/>
      <c r="V29" s="15"/>
    </row>
    <row r="30" spans="1:22" x14ac:dyDescent="0.25">
      <c r="A30" s="15"/>
      <c r="B30" s="15"/>
      <c r="C30" s="15"/>
      <c r="D30" s="15"/>
      <c r="E30" s="15"/>
      <c r="F30" s="15"/>
      <c r="G30" s="15"/>
      <c r="H30" s="15"/>
      <c r="I30" s="15"/>
      <c r="J30" s="15"/>
      <c r="K30" s="15"/>
      <c r="L30" s="15"/>
      <c r="M30" s="15"/>
      <c r="N30" s="15"/>
      <c r="O30" s="15"/>
      <c r="P30" s="15"/>
      <c r="Q30" s="15"/>
      <c r="R30" s="15"/>
      <c r="S30" s="15"/>
      <c r="T30" s="15"/>
      <c r="U30" s="15"/>
      <c r="V30" s="15"/>
    </row>
    <row r="31" spans="1:22" x14ac:dyDescent="0.25">
      <c r="A31" s="15"/>
      <c r="B31" s="15"/>
      <c r="C31" s="15"/>
      <c r="D31" s="15"/>
      <c r="E31" s="15"/>
      <c r="F31" s="15"/>
      <c r="G31" s="15"/>
      <c r="H31" s="15"/>
      <c r="I31" s="15"/>
      <c r="J31" s="15"/>
      <c r="K31" s="15"/>
      <c r="L31" s="15"/>
      <c r="M31" s="15"/>
      <c r="N31" s="15"/>
      <c r="O31" s="15"/>
      <c r="P31" s="15"/>
      <c r="Q31" s="15"/>
      <c r="R31" s="15"/>
      <c r="S31" s="15"/>
      <c r="T31" s="15"/>
      <c r="U31" s="15"/>
      <c r="V31" s="15"/>
    </row>
    <row r="32" spans="1:22" x14ac:dyDescent="0.25">
      <c r="A32" s="15"/>
      <c r="B32" s="15"/>
      <c r="C32" s="15"/>
      <c r="D32" s="15"/>
      <c r="E32" s="15"/>
      <c r="F32" s="15"/>
      <c r="G32" s="15"/>
      <c r="H32" s="15"/>
      <c r="I32" s="15"/>
      <c r="J32" s="15"/>
      <c r="K32" s="15"/>
      <c r="L32" s="15"/>
      <c r="M32" s="15"/>
      <c r="N32" s="15"/>
      <c r="O32" s="15"/>
      <c r="P32" s="15"/>
      <c r="Q32" s="15"/>
      <c r="R32" s="15"/>
      <c r="S32" s="15"/>
      <c r="T32" s="15"/>
      <c r="U32" s="15"/>
      <c r="V32" s="15"/>
    </row>
    <row r="33" spans="1:22" x14ac:dyDescent="0.25">
      <c r="A33" s="15"/>
      <c r="B33" s="15"/>
      <c r="C33" s="15"/>
      <c r="D33" s="15"/>
      <c r="E33" s="15"/>
      <c r="F33" s="15"/>
      <c r="G33" s="15"/>
      <c r="H33" s="15"/>
      <c r="I33" s="15"/>
      <c r="J33" s="15"/>
      <c r="K33" s="15"/>
      <c r="L33" s="15"/>
      <c r="M33" s="15"/>
      <c r="N33" s="15"/>
      <c r="O33" s="15"/>
      <c r="P33" s="15"/>
      <c r="Q33" s="15"/>
      <c r="R33" s="15"/>
      <c r="S33" s="15"/>
      <c r="T33" s="15"/>
      <c r="U33" s="15"/>
      <c r="V33" s="15"/>
    </row>
    <row r="34" spans="1:22" x14ac:dyDescent="0.25">
      <c r="A34" s="15"/>
      <c r="B34" s="15"/>
      <c r="C34" s="15"/>
      <c r="D34" s="15"/>
      <c r="E34" s="15"/>
      <c r="F34" s="15"/>
      <c r="G34" s="15"/>
      <c r="H34" s="15"/>
      <c r="I34" s="15"/>
      <c r="J34" s="15"/>
      <c r="K34" s="15"/>
      <c r="L34" s="15"/>
      <c r="M34" s="15"/>
      <c r="N34" s="15"/>
      <c r="O34" s="15"/>
      <c r="P34" s="15"/>
      <c r="Q34" s="15"/>
      <c r="R34" s="15"/>
      <c r="S34" s="15"/>
      <c r="T34" s="15"/>
      <c r="U34" s="15"/>
      <c r="V34" s="15"/>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66"/>
  <sheetViews>
    <sheetView topLeftCell="A21" workbookViewId="0">
      <selection activeCell="D366" sqref="D366"/>
    </sheetView>
  </sheetViews>
  <sheetFormatPr defaultRowHeight="15" x14ac:dyDescent="0.25"/>
  <cols>
    <col min="1" max="1" width="10.42578125" bestFit="1" customWidth="1"/>
    <col min="2" max="2" width="10.85546875" bestFit="1" customWidth="1"/>
    <col min="3" max="3" width="5" bestFit="1" customWidth="1"/>
  </cols>
  <sheetData>
    <row r="1" spans="1:3" x14ac:dyDescent="0.25">
      <c r="A1" t="s">
        <v>25</v>
      </c>
      <c r="B1" t="s">
        <v>26</v>
      </c>
      <c r="C1" t="s">
        <v>27</v>
      </c>
    </row>
    <row r="2" spans="1:3" x14ac:dyDescent="0.25">
      <c r="A2" s="1">
        <v>45292</v>
      </c>
      <c r="B2" t="s">
        <v>28</v>
      </c>
      <c r="C2">
        <v>2024</v>
      </c>
    </row>
    <row r="3" spans="1:3" x14ac:dyDescent="0.25">
      <c r="A3" s="1">
        <v>45293</v>
      </c>
      <c r="B3" t="s">
        <v>28</v>
      </c>
      <c r="C3">
        <v>2024</v>
      </c>
    </row>
    <row r="4" spans="1:3" x14ac:dyDescent="0.25">
      <c r="A4" s="1">
        <v>45294</v>
      </c>
      <c r="B4" t="s">
        <v>28</v>
      </c>
      <c r="C4">
        <v>2024</v>
      </c>
    </row>
    <row r="5" spans="1:3" x14ac:dyDescent="0.25">
      <c r="A5" s="1">
        <v>45295</v>
      </c>
      <c r="B5" t="s">
        <v>28</v>
      </c>
      <c r="C5">
        <v>2024</v>
      </c>
    </row>
    <row r="6" spans="1:3" x14ac:dyDescent="0.25">
      <c r="A6" s="1">
        <v>45296</v>
      </c>
      <c r="B6" t="s">
        <v>28</v>
      </c>
      <c r="C6">
        <v>2024</v>
      </c>
    </row>
    <row r="7" spans="1:3" x14ac:dyDescent="0.25">
      <c r="A7" s="1">
        <v>45297</v>
      </c>
      <c r="B7" t="s">
        <v>28</v>
      </c>
      <c r="C7">
        <v>2024</v>
      </c>
    </row>
    <row r="8" spans="1:3" x14ac:dyDescent="0.25">
      <c r="A8" s="1">
        <v>45298</v>
      </c>
      <c r="B8" t="s">
        <v>28</v>
      </c>
      <c r="C8">
        <v>2024</v>
      </c>
    </row>
    <row r="9" spans="1:3" x14ac:dyDescent="0.25">
      <c r="A9" s="1">
        <v>45299</v>
      </c>
      <c r="B9" t="s">
        <v>28</v>
      </c>
      <c r="C9">
        <v>2024</v>
      </c>
    </row>
    <row r="10" spans="1:3" x14ac:dyDescent="0.25">
      <c r="A10" s="1">
        <v>45300</v>
      </c>
      <c r="B10" t="s">
        <v>28</v>
      </c>
      <c r="C10">
        <v>2024</v>
      </c>
    </row>
    <row r="11" spans="1:3" x14ac:dyDescent="0.25">
      <c r="A11" s="1">
        <v>45301</v>
      </c>
      <c r="B11" t="s">
        <v>28</v>
      </c>
      <c r="C11">
        <v>2024</v>
      </c>
    </row>
    <row r="12" spans="1:3" x14ac:dyDescent="0.25">
      <c r="A12" s="1">
        <v>45302</v>
      </c>
      <c r="B12" t="s">
        <v>28</v>
      </c>
      <c r="C12">
        <v>2024</v>
      </c>
    </row>
    <row r="13" spans="1:3" x14ac:dyDescent="0.25">
      <c r="A13" s="1">
        <v>45303</v>
      </c>
      <c r="B13" t="s">
        <v>28</v>
      </c>
      <c r="C13">
        <v>2024</v>
      </c>
    </row>
    <row r="14" spans="1:3" x14ac:dyDescent="0.25">
      <c r="A14" s="1">
        <v>45304</v>
      </c>
      <c r="B14" t="s">
        <v>28</v>
      </c>
      <c r="C14">
        <v>2024</v>
      </c>
    </row>
    <row r="15" spans="1:3" x14ac:dyDescent="0.25">
      <c r="A15" s="1">
        <v>45305</v>
      </c>
      <c r="B15" t="s">
        <v>28</v>
      </c>
      <c r="C15">
        <v>2024</v>
      </c>
    </row>
    <row r="16" spans="1:3" x14ac:dyDescent="0.25">
      <c r="A16" s="1">
        <v>45306</v>
      </c>
      <c r="B16" t="s">
        <v>28</v>
      </c>
      <c r="C16">
        <v>2024</v>
      </c>
    </row>
    <row r="17" spans="1:3" x14ac:dyDescent="0.25">
      <c r="A17" s="1">
        <v>45307</v>
      </c>
      <c r="B17" t="s">
        <v>28</v>
      </c>
      <c r="C17">
        <v>2024</v>
      </c>
    </row>
    <row r="18" spans="1:3" x14ac:dyDescent="0.25">
      <c r="A18" s="1">
        <v>45308</v>
      </c>
      <c r="B18" t="s">
        <v>28</v>
      </c>
      <c r="C18">
        <v>2024</v>
      </c>
    </row>
    <row r="19" spans="1:3" x14ac:dyDescent="0.25">
      <c r="A19" s="1">
        <v>45309</v>
      </c>
      <c r="B19" t="s">
        <v>28</v>
      </c>
      <c r="C19">
        <v>2024</v>
      </c>
    </row>
    <row r="20" spans="1:3" x14ac:dyDescent="0.25">
      <c r="A20" s="1">
        <v>45310</v>
      </c>
      <c r="B20" t="s">
        <v>28</v>
      </c>
      <c r="C20">
        <v>2024</v>
      </c>
    </row>
    <row r="21" spans="1:3" x14ac:dyDescent="0.25">
      <c r="A21" s="1">
        <v>45311</v>
      </c>
      <c r="B21" t="s">
        <v>28</v>
      </c>
      <c r="C21">
        <v>2024</v>
      </c>
    </row>
    <row r="22" spans="1:3" x14ac:dyDescent="0.25">
      <c r="A22" s="1">
        <v>45312</v>
      </c>
      <c r="B22" t="s">
        <v>28</v>
      </c>
      <c r="C22">
        <v>2024</v>
      </c>
    </row>
    <row r="23" spans="1:3" x14ac:dyDescent="0.25">
      <c r="A23" s="1">
        <v>45313</v>
      </c>
      <c r="B23" t="s">
        <v>28</v>
      </c>
      <c r="C23">
        <v>2024</v>
      </c>
    </row>
    <row r="24" spans="1:3" x14ac:dyDescent="0.25">
      <c r="A24" s="1">
        <v>45314</v>
      </c>
      <c r="B24" t="s">
        <v>28</v>
      </c>
      <c r="C24">
        <v>2024</v>
      </c>
    </row>
    <row r="25" spans="1:3" x14ac:dyDescent="0.25">
      <c r="A25" s="1">
        <v>45315</v>
      </c>
      <c r="B25" t="s">
        <v>28</v>
      </c>
      <c r="C25">
        <v>2024</v>
      </c>
    </row>
    <row r="26" spans="1:3" x14ac:dyDescent="0.25">
      <c r="A26" s="1">
        <v>45316</v>
      </c>
      <c r="B26" t="s">
        <v>28</v>
      </c>
      <c r="C26">
        <v>2024</v>
      </c>
    </row>
    <row r="27" spans="1:3" x14ac:dyDescent="0.25">
      <c r="A27" s="1">
        <v>45317</v>
      </c>
      <c r="B27" t="s">
        <v>28</v>
      </c>
      <c r="C27">
        <v>2024</v>
      </c>
    </row>
    <row r="28" spans="1:3" x14ac:dyDescent="0.25">
      <c r="A28" s="1">
        <v>45318</v>
      </c>
      <c r="B28" t="s">
        <v>28</v>
      </c>
      <c r="C28">
        <v>2024</v>
      </c>
    </row>
    <row r="29" spans="1:3" x14ac:dyDescent="0.25">
      <c r="A29" s="1">
        <v>45319</v>
      </c>
      <c r="B29" t="s">
        <v>28</v>
      </c>
      <c r="C29">
        <v>2024</v>
      </c>
    </row>
    <row r="30" spans="1:3" x14ac:dyDescent="0.25">
      <c r="A30" s="1">
        <v>45320</v>
      </c>
      <c r="B30" t="s">
        <v>28</v>
      </c>
      <c r="C30">
        <v>2024</v>
      </c>
    </row>
    <row r="31" spans="1:3" x14ac:dyDescent="0.25">
      <c r="A31" s="1">
        <v>45321</v>
      </c>
      <c r="B31" t="s">
        <v>28</v>
      </c>
      <c r="C31">
        <v>2024</v>
      </c>
    </row>
    <row r="32" spans="1:3" x14ac:dyDescent="0.25">
      <c r="A32" s="1">
        <v>45322</v>
      </c>
      <c r="B32" t="s">
        <v>28</v>
      </c>
      <c r="C32">
        <v>2024</v>
      </c>
    </row>
    <row r="33" spans="1:3" x14ac:dyDescent="0.25">
      <c r="A33" s="1">
        <v>45323</v>
      </c>
      <c r="B33" t="s">
        <v>29</v>
      </c>
      <c r="C33">
        <v>2024</v>
      </c>
    </row>
    <row r="34" spans="1:3" x14ac:dyDescent="0.25">
      <c r="A34" s="1">
        <v>45324</v>
      </c>
      <c r="B34" t="s">
        <v>29</v>
      </c>
      <c r="C34">
        <v>2024</v>
      </c>
    </row>
    <row r="35" spans="1:3" x14ac:dyDescent="0.25">
      <c r="A35" s="1">
        <v>45325</v>
      </c>
      <c r="B35" t="s">
        <v>29</v>
      </c>
      <c r="C35">
        <v>2024</v>
      </c>
    </row>
    <row r="36" spans="1:3" x14ac:dyDescent="0.25">
      <c r="A36" s="1">
        <v>45326</v>
      </c>
      <c r="B36" t="s">
        <v>29</v>
      </c>
      <c r="C36">
        <v>2024</v>
      </c>
    </row>
    <row r="37" spans="1:3" x14ac:dyDescent="0.25">
      <c r="A37" s="1">
        <v>45327</v>
      </c>
      <c r="B37" t="s">
        <v>29</v>
      </c>
      <c r="C37">
        <v>2024</v>
      </c>
    </row>
    <row r="38" spans="1:3" x14ac:dyDescent="0.25">
      <c r="A38" s="1">
        <v>45328</v>
      </c>
      <c r="B38" t="s">
        <v>29</v>
      </c>
      <c r="C38">
        <v>2024</v>
      </c>
    </row>
    <row r="39" spans="1:3" x14ac:dyDescent="0.25">
      <c r="A39" s="1">
        <v>45329</v>
      </c>
      <c r="B39" t="s">
        <v>29</v>
      </c>
      <c r="C39">
        <v>2024</v>
      </c>
    </row>
    <row r="40" spans="1:3" x14ac:dyDescent="0.25">
      <c r="A40" s="1">
        <v>45330</v>
      </c>
      <c r="B40" t="s">
        <v>29</v>
      </c>
      <c r="C40">
        <v>2024</v>
      </c>
    </row>
    <row r="41" spans="1:3" x14ac:dyDescent="0.25">
      <c r="A41" s="1">
        <v>45331</v>
      </c>
      <c r="B41" t="s">
        <v>29</v>
      </c>
      <c r="C41">
        <v>2024</v>
      </c>
    </row>
    <row r="42" spans="1:3" x14ac:dyDescent="0.25">
      <c r="A42" s="1">
        <v>45332</v>
      </c>
      <c r="B42" t="s">
        <v>29</v>
      </c>
      <c r="C42">
        <v>2024</v>
      </c>
    </row>
    <row r="43" spans="1:3" x14ac:dyDescent="0.25">
      <c r="A43" s="1">
        <v>45333</v>
      </c>
      <c r="B43" t="s">
        <v>29</v>
      </c>
      <c r="C43">
        <v>2024</v>
      </c>
    </row>
    <row r="44" spans="1:3" x14ac:dyDescent="0.25">
      <c r="A44" s="1">
        <v>45334</v>
      </c>
      <c r="B44" t="s">
        <v>29</v>
      </c>
      <c r="C44">
        <v>2024</v>
      </c>
    </row>
    <row r="45" spans="1:3" x14ac:dyDescent="0.25">
      <c r="A45" s="1">
        <v>45335</v>
      </c>
      <c r="B45" t="s">
        <v>29</v>
      </c>
      <c r="C45">
        <v>2024</v>
      </c>
    </row>
    <row r="46" spans="1:3" x14ac:dyDescent="0.25">
      <c r="A46" s="1">
        <v>45336</v>
      </c>
      <c r="B46" t="s">
        <v>29</v>
      </c>
      <c r="C46">
        <v>2024</v>
      </c>
    </row>
    <row r="47" spans="1:3" x14ac:dyDescent="0.25">
      <c r="A47" s="1">
        <v>45337</v>
      </c>
      <c r="B47" t="s">
        <v>29</v>
      </c>
      <c r="C47">
        <v>2024</v>
      </c>
    </row>
    <row r="48" spans="1:3" x14ac:dyDescent="0.25">
      <c r="A48" s="1">
        <v>45338</v>
      </c>
      <c r="B48" t="s">
        <v>29</v>
      </c>
      <c r="C48">
        <v>2024</v>
      </c>
    </row>
    <row r="49" spans="1:3" x14ac:dyDescent="0.25">
      <c r="A49" s="1">
        <v>45339</v>
      </c>
      <c r="B49" t="s">
        <v>29</v>
      </c>
      <c r="C49">
        <v>2024</v>
      </c>
    </row>
    <row r="50" spans="1:3" x14ac:dyDescent="0.25">
      <c r="A50" s="1">
        <v>45340</v>
      </c>
      <c r="B50" t="s">
        <v>29</v>
      </c>
      <c r="C50">
        <v>2024</v>
      </c>
    </row>
    <row r="51" spans="1:3" x14ac:dyDescent="0.25">
      <c r="A51" s="1">
        <v>45341</v>
      </c>
      <c r="B51" t="s">
        <v>29</v>
      </c>
      <c r="C51">
        <v>2024</v>
      </c>
    </row>
    <row r="52" spans="1:3" x14ac:dyDescent="0.25">
      <c r="A52" s="1">
        <v>45342</v>
      </c>
      <c r="B52" t="s">
        <v>29</v>
      </c>
      <c r="C52">
        <v>2024</v>
      </c>
    </row>
    <row r="53" spans="1:3" x14ac:dyDescent="0.25">
      <c r="A53" s="1">
        <v>45343</v>
      </c>
      <c r="B53" t="s">
        <v>29</v>
      </c>
      <c r="C53">
        <v>2024</v>
      </c>
    </row>
    <row r="54" spans="1:3" x14ac:dyDescent="0.25">
      <c r="A54" s="1">
        <v>45344</v>
      </c>
      <c r="B54" t="s">
        <v>29</v>
      </c>
      <c r="C54">
        <v>2024</v>
      </c>
    </row>
    <row r="55" spans="1:3" x14ac:dyDescent="0.25">
      <c r="A55" s="1">
        <v>45345</v>
      </c>
      <c r="B55" t="s">
        <v>29</v>
      </c>
      <c r="C55">
        <v>2024</v>
      </c>
    </row>
    <row r="56" spans="1:3" x14ac:dyDescent="0.25">
      <c r="A56" s="1">
        <v>45346</v>
      </c>
      <c r="B56" t="s">
        <v>29</v>
      </c>
      <c r="C56">
        <v>2024</v>
      </c>
    </row>
    <row r="57" spans="1:3" x14ac:dyDescent="0.25">
      <c r="A57" s="1">
        <v>45347</v>
      </c>
      <c r="B57" t="s">
        <v>29</v>
      </c>
      <c r="C57">
        <v>2024</v>
      </c>
    </row>
    <row r="58" spans="1:3" x14ac:dyDescent="0.25">
      <c r="A58" s="1">
        <v>45348</v>
      </c>
      <c r="B58" t="s">
        <v>29</v>
      </c>
      <c r="C58">
        <v>2024</v>
      </c>
    </row>
    <row r="59" spans="1:3" x14ac:dyDescent="0.25">
      <c r="A59" s="1">
        <v>45349</v>
      </c>
      <c r="B59" t="s">
        <v>29</v>
      </c>
      <c r="C59">
        <v>2024</v>
      </c>
    </row>
    <row r="60" spans="1:3" x14ac:dyDescent="0.25">
      <c r="A60" s="1">
        <v>45350</v>
      </c>
      <c r="B60" t="s">
        <v>29</v>
      </c>
      <c r="C60">
        <v>2024</v>
      </c>
    </row>
    <row r="61" spans="1:3" x14ac:dyDescent="0.25">
      <c r="A61" s="1">
        <v>45351</v>
      </c>
      <c r="B61" t="s">
        <v>29</v>
      </c>
      <c r="C61">
        <v>2024</v>
      </c>
    </row>
    <row r="62" spans="1:3" x14ac:dyDescent="0.25">
      <c r="A62" s="1">
        <v>45352</v>
      </c>
      <c r="B62" t="s">
        <v>30</v>
      </c>
      <c r="C62">
        <v>2024</v>
      </c>
    </row>
    <row r="63" spans="1:3" x14ac:dyDescent="0.25">
      <c r="A63" s="1">
        <v>45353</v>
      </c>
      <c r="B63" t="s">
        <v>30</v>
      </c>
      <c r="C63">
        <v>2024</v>
      </c>
    </row>
    <row r="64" spans="1:3" x14ac:dyDescent="0.25">
      <c r="A64" s="1">
        <v>45354</v>
      </c>
      <c r="B64" t="s">
        <v>30</v>
      </c>
      <c r="C64">
        <v>2024</v>
      </c>
    </row>
    <row r="65" spans="1:3" x14ac:dyDescent="0.25">
      <c r="A65" s="1">
        <v>45355</v>
      </c>
      <c r="B65" t="s">
        <v>30</v>
      </c>
      <c r="C65">
        <v>2024</v>
      </c>
    </row>
    <row r="66" spans="1:3" x14ac:dyDescent="0.25">
      <c r="A66" s="1">
        <v>45356</v>
      </c>
      <c r="B66" t="s">
        <v>30</v>
      </c>
      <c r="C66">
        <v>2024</v>
      </c>
    </row>
    <row r="67" spans="1:3" x14ac:dyDescent="0.25">
      <c r="A67" s="1">
        <v>45357</v>
      </c>
      <c r="B67" t="s">
        <v>30</v>
      </c>
      <c r="C67">
        <v>2024</v>
      </c>
    </row>
    <row r="68" spans="1:3" x14ac:dyDescent="0.25">
      <c r="A68" s="1">
        <v>45358</v>
      </c>
      <c r="B68" t="s">
        <v>30</v>
      </c>
      <c r="C68">
        <v>2024</v>
      </c>
    </row>
    <row r="69" spans="1:3" x14ac:dyDescent="0.25">
      <c r="A69" s="1">
        <v>45359</v>
      </c>
      <c r="B69" t="s">
        <v>30</v>
      </c>
      <c r="C69">
        <v>2024</v>
      </c>
    </row>
    <row r="70" spans="1:3" x14ac:dyDescent="0.25">
      <c r="A70" s="1">
        <v>45360</v>
      </c>
      <c r="B70" t="s">
        <v>30</v>
      </c>
      <c r="C70">
        <v>2024</v>
      </c>
    </row>
    <row r="71" spans="1:3" x14ac:dyDescent="0.25">
      <c r="A71" s="1">
        <v>45361</v>
      </c>
      <c r="B71" t="s">
        <v>30</v>
      </c>
      <c r="C71">
        <v>2024</v>
      </c>
    </row>
    <row r="72" spans="1:3" x14ac:dyDescent="0.25">
      <c r="A72" s="1">
        <v>45362</v>
      </c>
      <c r="B72" t="s">
        <v>30</v>
      </c>
      <c r="C72">
        <v>2024</v>
      </c>
    </row>
    <row r="73" spans="1:3" x14ac:dyDescent="0.25">
      <c r="A73" s="1">
        <v>45363</v>
      </c>
      <c r="B73" t="s">
        <v>30</v>
      </c>
      <c r="C73">
        <v>2024</v>
      </c>
    </row>
    <row r="74" spans="1:3" x14ac:dyDescent="0.25">
      <c r="A74" s="1">
        <v>45364</v>
      </c>
      <c r="B74" t="s">
        <v>30</v>
      </c>
      <c r="C74">
        <v>2024</v>
      </c>
    </row>
    <row r="75" spans="1:3" x14ac:dyDescent="0.25">
      <c r="A75" s="1">
        <v>45365</v>
      </c>
      <c r="B75" t="s">
        <v>30</v>
      </c>
      <c r="C75">
        <v>2024</v>
      </c>
    </row>
    <row r="76" spans="1:3" x14ac:dyDescent="0.25">
      <c r="A76" s="1">
        <v>45366</v>
      </c>
      <c r="B76" t="s">
        <v>30</v>
      </c>
      <c r="C76">
        <v>2024</v>
      </c>
    </row>
    <row r="77" spans="1:3" x14ac:dyDescent="0.25">
      <c r="A77" s="1">
        <v>45367</v>
      </c>
      <c r="B77" t="s">
        <v>30</v>
      </c>
      <c r="C77">
        <v>2024</v>
      </c>
    </row>
    <row r="78" spans="1:3" x14ac:dyDescent="0.25">
      <c r="A78" s="1">
        <v>45368</v>
      </c>
      <c r="B78" t="s">
        <v>30</v>
      </c>
      <c r="C78">
        <v>2024</v>
      </c>
    </row>
    <row r="79" spans="1:3" x14ac:dyDescent="0.25">
      <c r="A79" s="1">
        <v>45369</v>
      </c>
      <c r="B79" t="s">
        <v>30</v>
      </c>
      <c r="C79">
        <v>2024</v>
      </c>
    </row>
    <row r="80" spans="1:3" x14ac:dyDescent="0.25">
      <c r="A80" s="1">
        <v>45370</v>
      </c>
      <c r="B80" t="s">
        <v>30</v>
      </c>
      <c r="C80">
        <v>2024</v>
      </c>
    </row>
    <row r="81" spans="1:3" x14ac:dyDescent="0.25">
      <c r="A81" s="1">
        <v>45371</v>
      </c>
      <c r="B81" t="s">
        <v>30</v>
      </c>
      <c r="C81">
        <v>2024</v>
      </c>
    </row>
    <row r="82" spans="1:3" x14ac:dyDescent="0.25">
      <c r="A82" s="1">
        <v>45372</v>
      </c>
      <c r="B82" t="s">
        <v>30</v>
      </c>
      <c r="C82">
        <v>2024</v>
      </c>
    </row>
    <row r="83" spans="1:3" x14ac:dyDescent="0.25">
      <c r="A83" s="1">
        <v>45373</v>
      </c>
      <c r="B83" t="s">
        <v>30</v>
      </c>
      <c r="C83">
        <v>2024</v>
      </c>
    </row>
    <row r="84" spans="1:3" x14ac:dyDescent="0.25">
      <c r="A84" s="1">
        <v>45374</v>
      </c>
      <c r="B84" t="s">
        <v>30</v>
      </c>
      <c r="C84">
        <v>2024</v>
      </c>
    </row>
    <row r="85" spans="1:3" x14ac:dyDescent="0.25">
      <c r="A85" s="1">
        <v>45375</v>
      </c>
      <c r="B85" t="s">
        <v>30</v>
      </c>
      <c r="C85">
        <v>2024</v>
      </c>
    </row>
    <row r="86" spans="1:3" x14ac:dyDescent="0.25">
      <c r="A86" s="1">
        <v>45376</v>
      </c>
      <c r="B86" t="s">
        <v>30</v>
      </c>
      <c r="C86">
        <v>2024</v>
      </c>
    </row>
    <row r="87" spans="1:3" x14ac:dyDescent="0.25">
      <c r="A87" s="1">
        <v>45377</v>
      </c>
      <c r="B87" t="s">
        <v>30</v>
      </c>
      <c r="C87">
        <v>2024</v>
      </c>
    </row>
    <row r="88" spans="1:3" x14ac:dyDescent="0.25">
      <c r="A88" s="1">
        <v>45378</v>
      </c>
      <c r="B88" t="s">
        <v>30</v>
      </c>
      <c r="C88">
        <v>2024</v>
      </c>
    </row>
    <row r="89" spans="1:3" x14ac:dyDescent="0.25">
      <c r="A89" s="1">
        <v>45379</v>
      </c>
      <c r="B89" t="s">
        <v>30</v>
      </c>
      <c r="C89">
        <v>2024</v>
      </c>
    </row>
    <row r="90" spans="1:3" x14ac:dyDescent="0.25">
      <c r="A90" s="1">
        <v>45380</v>
      </c>
      <c r="B90" t="s">
        <v>30</v>
      </c>
      <c r="C90">
        <v>2024</v>
      </c>
    </row>
    <row r="91" spans="1:3" x14ac:dyDescent="0.25">
      <c r="A91" s="1">
        <v>45381</v>
      </c>
      <c r="B91" t="s">
        <v>30</v>
      </c>
      <c r="C91">
        <v>2024</v>
      </c>
    </row>
    <row r="92" spans="1:3" x14ac:dyDescent="0.25">
      <c r="A92" s="1">
        <v>45382</v>
      </c>
      <c r="B92" t="s">
        <v>30</v>
      </c>
      <c r="C92">
        <v>2024</v>
      </c>
    </row>
    <row r="93" spans="1:3" x14ac:dyDescent="0.25">
      <c r="A93" s="1">
        <v>45383</v>
      </c>
      <c r="B93" t="s">
        <v>31</v>
      </c>
      <c r="C93">
        <v>2024</v>
      </c>
    </row>
    <row r="94" spans="1:3" x14ac:dyDescent="0.25">
      <c r="A94" s="1">
        <v>45384</v>
      </c>
      <c r="B94" t="s">
        <v>31</v>
      </c>
      <c r="C94">
        <v>2024</v>
      </c>
    </row>
    <row r="95" spans="1:3" x14ac:dyDescent="0.25">
      <c r="A95" s="1">
        <v>45385</v>
      </c>
      <c r="B95" t="s">
        <v>31</v>
      </c>
      <c r="C95">
        <v>2024</v>
      </c>
    </row>
    <row r="96" spans="1:3" x14ac:dyDescent="0.25">
      <c r="A96" s="1">
        <v>45386</v>
      </c>
      <c r="B96" t="s">
        <v>31</v>
      </c>
      <c r="C96">
        <v>2024</v>
      </c>
    </row>
    <row r="97" spans="1:3" x14ac:dyDescent="0.25">
      <c r="A97" s="1">
        <v>45387</v>
      </c>
      <c r="B97" t="s">
        <v>31</v>
      </c>
      <c r="C97">
        <v>2024</v>
      </c>
    </row>
    <row r="98" spans="1:3" x14ac:dyDescent="0.25">
      <c r="A98" s="1">
        <v>45388</v>
      </c>
      <c r="B98" t="s">
        <v>31</v>
      </c>
      <c r="C98">
        <v>2024</v>
      </c>
    </row>
    <row r="99" spans="1:3" x14ac:dyDescent="0.25">
      <c r="A99" s="1">
        <v>45389</v>
      </c>
      <c r="B99" t="s">
        <v>31</v>
      </c>
      <c r="C99">
        <v>2024</v>
      </c>
    </row>
    <row r="100" spans="1:3" x14ac:dyDescent="0.25">
      <c r="A100" s="1">
        <v>45390</v>
      </c>
      <c r="B100" t="s">
        <v>31</v>
      </c>
      <c r="C100">
        <v>2024</v>
      </c>
    </row>
    <row r="101" spans="1:3" x14ac:dyDescent="0.25">
      <c r="A101" s="1">
        <v>45391</v>
      </c>
      <c r="B101" t="s">
        <v>31</v>
      </c>
      <c r="C101">
        <v>2024</v>
      </c>
    </row>
    <row r="102" spans="1:3" x14ac:dyDescent="0.25">
      <c r="A102" s="1">
        <v>45392</v>
      </c>
      <c r="B102" t="s">
        <v>31</v>
      </c>
      <c r="C102">
        <v>2024</v>
      </c>
    </row>
    <row r="103" spans="1:3" x14ac:dyDescent="0.25">
      <c r="A103" s="1">
        <v>45393</v>
      </c>
      <c r="B103" t="s">
        <v>31</v>
      </c>
      <c r="C103">
        <v>2024</v>
      </c>
    </row>
    <row r="104" spans="1:3" x14ac:dyDescent="0.25">
      <c r="A104" s="1">
        <v>45394</v>
      </c>
      <c r="B104" t="s">
        <v>31</v>
      </c>
      <c r="C104">
        <v>2024</v>
      </c>
    </row>
    <row r="105" spans="1:3" x14ac:dyDescent="0.25">
      <c r="A105" s="1">
        <v>45395</v>
      </c>
      <c r="B105" t="s">
        <v>31</v>
      </c>
      <c r="C105">
        <v>2024</v>
      </c>
    </row>
    <row r="106" spans="1:3" x14ac:dyDescent="0.25">
      <c r="A106" s="1">
        <v>45396</v>
      </c>
      <c r="B106" t="s">
        <v>31</v>
      </c>
      <c r="C106">
        <v>2024</v>
      </c>
    </row>
    <row r="107" spans="1:3" x14ac:dyDescent="0.25">
      <c r="A107" s="1">
        <v>45397</v>
      </c>
      <c r="B107" t="s">
        <v>31</v>
      </c>
      <c r="C107">
        <v>2024</v>
      </c>
    </row>
    <row r="108" spans="1:3" x14ac:dyDescent="0.25">
      <c r="A108" s="1">
        <v>45398</v>
      </c>
      <c r="B108" t="s">
        <v>31</v>
      </c>
      <c r="C108">
        <v>2024</v>
      </c>
    </row>
    <row r="109" spans="1:3" x14ac:dyDescent="0.25">
      <c r="A109" s="1">
        <v>45399</v>
      </c>
      <c r="B109" t="s">
        <v>31</v>
      </c>
      <c r="C109">
        <v>2024</v>
      </c>
    </row>
    <row r="110" spans="1:3" x14ac:dyDescent="0.25">
      <c r="A110" s="1">
        <v>45400</v>
      </c>
      <c r="B110" t="s">
        <v>31</v>
      </c>
      <c r="C110">
        <v>2024</v>
      </c>
    </row>
    <row r="111" spans="1:3" x14ac:dyDescent="0.25">
      <c r="A111" s="1">
        <v>45401</v>
      </c>
      <c r="B111" t="s">
        <v>31</v>
      </c>
      <c r="C111">
        <v>2024</v>
      </c>
    </row>
    <row r="112" spans="1:3" x14ac:dyDescent="0.25">
      <c r="A112" s="1">
        <v>45402</v>
      </c>
      <c r="B112" t="s">
        <v>31</v>
      </c>
      <c r="C112">
        <v>2024</v>
      </c>
    </row>
    <row r="113" spans="1:3" x14ac:dyDescent="0.25">
      <c r="A113" s="1">
        <v>45403</v>
      </c>
      <c r="B113" t="s">
        <v>31</v>
      </c>
      <c r="C113">
        <v>2024</v>
      </c>
    </row>
    <row r="114" spans="1:3" x14ac:dyDescent="0.25">
      <c r="A114" s="1">
        <v>45404</v>
      </c>
      <c r="B114" t="s">
        <v>31</v>
      </c>
      <c r="C114">
        <v>2024</v>
      </c>
    </row>
    <row r="115" spans="1:3" x14ac:dyDescent="0.25">
      <c r="A115" s="1">
        <v>45405</v>
      </c>
      <c r="B115" t="s">
        <v>31</v>
      </c>
      <c r="C115">
        <v>2024</v>
      </c>
    </row>
    <row r="116" spans="1:3" x14ac:dyDescent="0.25">
      <c r="A116" s="1">
        <v>45406</v>
      </c>
      <c r="B116" t="s">
        <v>31</v>
      </c>
      <c r="C116">
        <v>2024</v>
      </c>
    </row>
    <row r="117" spans="1:3" x14ac:dyDescent="0.25">
      <c r="A117" s="1">
        <v>45407</v>
      </c>
      <c r="B117" t="s">
        <v>31</v>
      </c>
      <c r="C117">
        <v>2024</v>
      </c>
    </row>
    <row r="118" spans="1:3" x14ac:dyDescent="0.25">
      <c r="A118" s="1">
        <v>45408</v>
      </c>
      <c r="B118" t="s">
        <v>31</v>
      </c>
      <c r="C118">
        <v>2024</v>
      </c>
    </row>
    <row r="119" spans="1:3" x14ac:dyDescent="0.25">
      <c r="A119" s="1">
        <v>45409</v>
      </c>
      <c r="B119" t="s">
        <v>31</v>
      </c>
      <c r="C119">
        <v>2024</v>
      </c>
    </row>
    <row r="120" spans="1:3" x14ac:dyDescent="0.25">
      <c r="A120" s="1">
        <v>45410</v>
      </c>
      <c r="B120" t="s">
        <v>31</v>
      </c>
      <c r="C120">
        <v>2024</v>
      </c>
    </row>
    <row r="121" spans="1:3" x14ac:dyDescent="0.25">
      <c r="A121" s="1">
        <v>45411</v>
      </c>
      <c r="B121" t="s">
        <v>31</v>
      </c>
      <c r="C121">
        <v>2024</v>
      </c>
    </row>
    <row r="122" spans="1:3" x14ac:dyDescent="0.25">
      <c r="A122" s="1">
        <v>45412</v>
      </c>
      <c r="B122" t="s">
        <v>31</v>
      </c>
      <c r="C122">
        <v>2024</v>
      </c>
    </row>
    <row r="123" spans="1:3" x14ac:dyDescent="0.25">
      <c r="A123" s="1">
        <v>45413</v>
      </c>
      <c r="B123" t="s">
        <v>32</v>
      </c>
      <c r="C123">
        <v>2024</v>
      </c>
    </row>
    <row r="124" spans="1:3" x14ac:dyDescent="0.25">
      <c r="A124" s="1">
        <v>45414</v>
      </c>
      <c r="B124" t="s">
        <v>32</v>
      </c>
      <c r="C124">
        <v>2024</v>
      </c>
    </row>
    <row r="125" spans="1:3" x14ac:dyDescent="0.25">
      <c r="A125" s="1">
        <v>45415</v>
      </c>
      <c r="B125" t="s">
        <v>32</v>
      </c>
      <c r="C125">
        <v>2024</v>
      </c>
    </row>
    <row r="126" spans="1:3" x14ac:dyDescent="0.25">
      <c r="A126" s="1">
        <v>45416</v>
      </c>
      <c r="B126" t="s">
        <v>32</v>
      </c>
      <c r="C126">
        <v>2024</v>
      </c>
    </row>
    <row r="127" spans="1:3" x14ac:dyDescent="0.25">
      <c r="A127" s="1">
        <v>45417</v>
      </c>
      <c r="B127" t="s">
        <v>32</v>
      </c>
      <c r="C127">
        <v>2024</v>
      </c>
    </row>
    <row r="128" spans="1:3" x14ac:dyDescent="0.25">
      <c r="A128" s="1">
        <v>45418</v>
      </c>
      <c r="B128" t="s">
        <v>32</v>
      </c>
      <c r="C128">
        <v>2024</v>
      </c>
    </row>
    <row r="129" spans="1:3" x14ac:dyDescent="0.25">
      <c r="A129" s="1">
        <v>45419</v>
      </c>
      <c r="B129" t="s">
        <v>32</v>
      </c>
      <c r="C129">
        <v>2024</v>
      </c>
    </row>
    <row r="130" spans="1:3" x14ac:dyDescent="0.25">
      <c r="A130" s="1">
        <v>45420</v>
      </c>
      <c r="B130" t="s">
        <v>32</v>
      </c>
      <c r="C130">
        <v>2024</v>
      </c>
    </row>
    <row r="131" spans="1:3" x14ac:dyDescent="0.25">
      <c r="A131" s="1">
        <v>45421</v>
      </c>
      <c r="B131" t="s">
        <v>32</v>
      </c>
      <c r="C131">
        <v>2024</v>
      </c>
    </row>
    <row r="132" spans="1:3" x14ac:dyDescent="0.25">
      <c r="A132" s="1">
        <v>45422</v>
      </c>
      <c r="B132" t="s">
        <v>32</v>
      </c>
      <c r="C132">
        <v>2024</v>
      </c>
    </row>
    <row r="133" spans="1:3" x14ac:dyDescent="0.25">
      <c r="A133" s="1">
        <v>45423</v>
      </c>
      <c r="B133" t="s">
        <v>32</v>
      </c>
      <c r="C133">
        <v>2024</v>
      </c>
    </row>
    <row r="134" spans="1:3" x14ac:dyDescent="0.25">
      <c r="A134" s="1">
        <v>45424</v>
      </c>
      <c r="B134" t="s">
        <v>32</v>
      </c>
      <c r="C134">
        <v>2024</v>
      </c>
    </row>
    <row r="135" spans="1:3" x14ac:dyDescent="0.25">
      <c r="A135" s="1">
        <v>45425</v>
      </c>
      <c r="B135" t="s">
        <v>32</v>
      </c>
      <c r="C135">
        <v>2024</v>
      </c>
    </row>
    <row r="136" spans="1:3" x14ac:dyDescent="0.25">
      <c r="A136" s="1">
        <v>45426</v>
      </c>
      <c r="B136" t="s">
        <v>32</v>
      </c>
      <c r="C136">
        <v>2024</v>
      </c>
    </row>
    <row r="137" spans="1:3" x14ac:dyDescent="0.25">
      <c r="A137" s="1">
        <v>45427</v>
      </c>
      <c r="B137" t="s">
        <v>32</v>
      </c>
      <c r="C137">
        <v>2024</v>
      </c>
    </row>
    <row r="138" spans="1:3" x14ac:dyDescent="0.25">
      <c r="A138" s="1">
        <v>45428</v>
      </c>
      <c r="B138" t="s">
        <v>32</v>
      </c>
      <c r="C138">
        <v>2024</v>
      </c>
    </row>
    <row r="139" spans="1:3" x14ac:dyDescent="0.25">
      <c r="A139" s="1">
        <v>45429</v>
      </c>
      <c r="B139" t="s">
        <v>32</v>
      </c>
      <c r="C139">
        <v>2024</v>
      </c>
    </row>
    <row r="140" spans="1:3" x14ac:dyDescent="0.25">
      <c r="A140" s="1">
        <v>45430</v>
      </c>
      <c r="B140" t="s">
        <v>32</v>
      </c>
      <c r="C140">
        <v>2024</v>
      </c>
    </row>
    <row r="141" spans="1:3" x14ac:dyDescent="0.25">
      <c r="A141" s="1">
        <v>45431</v>
      </c>
      <c r="B141" t="s">
        <v>32</v>
      </c>
      <c r="C141">
        <v>2024</v>
      </c>
    </row>
    <row r="142" spans="1:3" x14ac:dyDescent="0.25">
      <c r="A142" s="1">
        <v>45432</v>
      </c>
      <c r="B142" t="s">
        <v>32</v>
      </c>
      <c r="C142">
        <v>2024</v>
      </c>
    </row>
    <row r="143" spans="1:3" x14ac:dyDescent="0.25">
      <c r="A143" s="1">
        <v>45433</v>
      </c>
      <c r="B143" t="s">
        <v>32</v>
      </c>
      <c r="C143">
        <v>2024</v>
      </c>
    </row>
    <row r="144" spans="1:3" x14ac:dyDescent="0.25">
      <c r="A144" s="1">
        <v>45434</v>
      </c>
      <c r="B144" t="s">
        <v>32</v>
      </c>
      <c r="C144">
        <v>2024</v>
      </c>
    </row>
    <row r="145" spans="1:3" x14ac:dyDescent="0.25">
      <c r="A145" s="1">
        <v>45435</v>
      </c>
      <c r="B145" t="s">
        <v>32</v>
      </c>
      <c r="C145">
        <v>2024</v>
      </c>
    </row>
    <row r="146" spans="1:3" x14ac:dyDescent="0.25">
      <c r="A146" s="1">
        <v>45436</v>
      </c>
      <c r="B146" t="s">
        <v>32</v>
      </c>
      <c r="C146">
        <v>2024</v>
      </c>
    </row>
    <row r="147" spans="1:3" x14ac:dyDescent="0.25">
      <c r="A147" s="1">
        <v>45437</v>
      </c>
      <c r="B147" t="s">
        <v>32</v>
      </c>
      <c r="C147">
        <v>2024</v>
      </c>
    </row>
    <row r="148" spans="1:3" x14ac:dyDescent="0.25">
      <c r="A148" s="1">
        <v>45438</v>
      </c>
      <c r="B148" t="s">
        <v>32</v>
      </c>
      <c r="C148">
        <v>2024</v>
      </c>
    </row>
    <row r="149" spans="1:3" x14ac:dyDescent="0.25">
      <c r="A149" s="1">
        <v>45439</v>
      </c>
      <c r="B149" t="s">
        <v>32</v>
      </c>
      <c r="C149">
        <v>2024</v>
      </c>
    </row>
    <row r="150" spans="1:3" x14ac:dyDescent="0.25">
      <c r="A150" s="1">
        <v>45440</v>
      </c>
      <c r="B150" t="s">
        <v>32</v>
      </c>
      <c r="C150">
        <v>2024</v>
      </c>
    </row>
    <row r="151" spans="1:3" x14ac:dyDescent="0.25">
      <c r="A151" s="1">
        <v>45441</v>
      </c>
      <c r="B151" t="s">
        <v>32</v>
      </c>
      <c r="C151">
        <v>2024</v>
      </c>
    </row>
    <row r="152" spans="1:3" x14ac:dyDescent="0.25">
      <c r="A152" s="1">
        <v>45442</v>
      </c>
      <c r="B152" t="s">
        <v>32</v>
      </c>
      <c r="C152">
        <v>2024</v>
      </c>
    </row>
    <row r="153" spans="1:3" x14ac:dyDescent="0.25">
      <c r="A153" s="1">
        <v>45443</v>
      </c>
      <c r="B153" t="s">
        <v>32</v>
      </c>
      <c r="C153">
        <v>2024</v>
      </c>
    </row>
    <row r="154" spans="1:3" x14ac:dyDescent="0.25">
      <c r="A154" s="1">
        <v>45444</v>
      </c>
      <c r="B154" t="s">
        <v>33</v>
      </c>
      <c r="C154">
        <v>2024</v>
      </c>
    </row>
    <row r="155" spans="1:3" x14ac:dyDescent="0.25">
      <c r="A155" s="1">
        <v>45445</v>
      </c>
      <c r="B155" t="s">
        <v>33</v>
      </c>
      <c r="C155">
        <v>2024</v>
      </c>
    </row>
    <row r="156" spans="1:3" x14ac:dyDescent="0.25">
      <c r="A156" s="1">
        <v>45446</v>
      </c>
      <c r="B156" t="s">
        <v>33</v>
      </c>
      <c r="C156">
        <v>2024</v>
      </c>
    </row>
    <row r="157" spans="1:3" x14ac:dyDescent="0.25">
      <c r="A157" s="1">
        <v>45447</v>
      </c>
      <c r="B157" t="s">
        <v>33</v>
      </c>
      <c r="C157">
        <v>2024</v>
      </c>
    </row>
    <row r="158" spans="1:3" x14ac:dyDescent="0.25">
      <c r="A158" s="1">
        <v>45448</v>
      </c>
      <c r="B158" t="s">
        <v>33</v>
      </c>
      <c r="C158">
        <v>2024</v>
      </c>
    </row>
    <row r="159" spans="1:3" x14ac:dyDescent="0.25">
      <c r="A159" s="1">
        <v>45449</v>
      </c>
      <c r="B159" t="s">
        <v>33</v>
      </c>
      <c r="C159">
        <v>2024</v>
      </c>
    </row>
    <row r="160" spans="1:3" x14ac:dyDescent="0.25">
      <c r="A160" s="1">
        <v>45450</v>
      </c>
      <c r="B160" t="s">
        <v>33</v>
      </c>
      <c r="C160">
        <v>2024</v>
      </c>
    </row>
    <row r="161" spans="1:3" x14ac:dyDescent="0.25">
      <c r="A161" s="1">
        <v>45451</v>
      </c>
      <c r="B161" t="s">
        <v>33</v>
      </c>
      <c r="C161">
        <v>2024</v>
      </c>
    </row>
    <row r="162" spans="1:3" x14ac:dyDescent="0.25">
      <c r="A162" s="1">
        <v>45452</v>
      </c>
      <c r="B162" t="s">
        <v>33</v>
      </c>
      <c r="C162">
        <v>2024</v>
      </c>
    </row>
    <row r="163" spans="1:3" x14ac:dyDescent="0.25">
      <c r="A163" s="1">
        <v>45453</v>
      </c>
      <c r="B163" t="s">
        <v>33</v>
      </c>
      <c r="C163">
        <v>2024</v>
      </c>
    </row>
    <row r="164" spans="1:3" x14ac:dyDescent="0.25">
      <c r="A164" s="1">
        <v>45454</v>
      </c>
      <c r="B164" t="s">
        <v>33</v>
      </c>
      <c r="C164">
        <v>2024</v>
      </c>
    </row>
    <row r="165" spans="1:3" x14ac:dyDescent="0.25">
      <c r="A165" s="1">
        <v>45455</v>
      </c>
      <c r="B165" t="s">
        <v>33</v>
      </c>
      <c r="C165">
        <v>2024</v>
      </c>
    </row>
    <row r="166" spans="1:3" x14ac:dyDescent="0.25">
      <c r="A166" s="1">
        <v>45456</v>
      </c>
      <c r="B166" t="s">
        <v>33</v>
      </c>
      <c r="C166">
        <v>2024</v>
      </c>
    </row>
    <row r="167" spans="1:3" x14ac:dyDescent="0.25">
      <c r="A167" s="1">
        <v>45457</v>
      </c>
      <c r="B167" t="s">
        <v>33</v>
      </c>
      <c r="C167">
        <v>2024</v>
      </c>
    </row>
    <row r="168" spans="1:3" x14ac:dyDescent="0.25">
      <c r="A168" s="1">
        <v>45458</v>
      </c>
      <c r="B168" t="s">
        <v>33</v>
      </c>
      <c r="C168">
        <v>2024</v>
      </c>
    </row>
    <row r="169" spans="1:3" x14ac:dyDescent="0.25">
      <c r="A169" s="1">
        <v>45459</v>
      </c>
      <c r="B169" t="s">
        <v>33</v>
      </c>
      <c r="C169">
        <v>2024</v>
      </c>
    </row>
    <row r="170" spans="1:3" x14ac:dyDescent="0.25">
      <c r="A170" s="1">
        <v>45460</v>
      </c>
      <c r="B170" t="s">
        <v>33</v>
      </c>
      <c r="C170">
        <v>2024</v>
      </c>
    </row>
    <row r="171" spans="1:3" x14ac:dyDescent="0.25">
      <c r="A171" s="1">
        <v>45461</v>
      </c>
      <c r="B171" t="s">
        <v>33</v>
      </c>
      <c r="C171">
        <v>2024</v>
      </c>
    </row>
    <row r="172" spans="1:3" x14ac:dyDescent="0.25">
      <c r="A172" s="1">
        <v>45462</v>
      </c>
      <c r="B172" t="s">
        <v>33</v>
      </c>
      <c r="C172">
        <v>2024</v>
      </c>
    </row>
    <row r="173" spans="1:3" x14ac:dyDescent="0.25">
      <c r="A173" s="1">
        <v>45463</v>
      </c>
      <c r="B173" t="s">
        <v>33</v>
      </c>
      <c r="C173">
        <v>2024</v>
      </c>
    </row>
    <row r="174" spans="1:3" x14ac:dyDescent="0.25">
      <c r="A174" s="1">
        <v>45464</v>
      </c>
      <c r="B174" t="s">
        <v>33</v>
      </c>
      <c r="C174">
        <v>2024</v>
      </c>
    </row>
    <row r="175" spans="1:3" x14ac:dyDescent="0.25">
      <c r="A175" s="1">
        <v>45465</v>
      </c>
      <c r="B175" t="s">
        <v>33</v>
      </c>
      <c r="C175">
        <v>2024</v>
      </c>
    </row>
    <row r="176" spans="1:3" x14ac:dyDescent="0.25">
      <c r="A176" s="1">
        <v>45466</v>
      </c>
      <c r="B176" t="s">
        <v>33</v>
      </c>
      <c r="C176">
        <v>2024</v>
      </c>
    </row>
    <row r="177" spans="1:3" x14ac:dyDescent="0.25">
      <c r="A177" s="1">
        <v>45467</v>
      </c>
      <c r="B177" t="s">
        <v>33</v>
      </c>
      <c r="C177">
        <v>2024</v>
      </c>
    </row>
    <row r="178" spans="1:3" x14ac:dyDescent="0.25">
      <c r="A178" s="1">
        <v>45468</v>
      </c>
      <c r="B178" t="s">
        <v>33</v>
      </c>
      <c r="C178">
        <v>2024</v>
      </c>
    </row>
    <row r="179" spans="1:3" x14ac:dyDescent="0.25">
      <c r="A179" s="1">
        <v>45469</v>
      </c>
      <c r="B179" t="s">
        <v>33</v>
      </c>
      <c r="C179">
        <v>2024</v>
      </c>
    </row>
    <row r="180" spans="1:3" x14ac:dyDescent="0.25">
      <c r="A180" s="1">
        <v>45470</v>
      </c>
      <c r="B180" t="s">
        <v>33</v>
      </c>
      <c r="C180">
        <v>2024</v>
      </c>
    </row>
    <row r="181" spans="1:3" x14ac:dyDescent="0.25">
      <c r="A181" s="1">
        <v>45471</v>
      </c>
      <c r="B181" t="s">
        <v>33</v>
      </c>
      <c r="C181">
        <v>2024</v>
      </c>
    </row>
    <row r="182" spans="1:3" x14ac:dyDescent="0.25">
      <c r="A182" s="1">
        <v>45472</v>
      </c>
      <c r="B182" t="s">
        <v>33</v>
      </c>
      <c r="C182">
        <v>2024</v>
      </c>
    </row>
    <row r="183" spans="1:3" x14ac:dyDescent="0.25">
      <c r="A183" s="1">
        <v>45473</v>
      </c>
      <c r="B183" t="s">
        <v>33</v>
      </c>
      <c r="C183">
        <v>2024</v>
      </c>
    </row>
    <row r="184" spans="1:3" x14ac:dyDescent="0.25">
      <c r="A184" s="1">
        <v>45474</v>
      </c>
      <c r="B184" t="s">
        <v>34</v>
      </c>
      <c r="C184">
        <v>2024</v>
      </c>
    </row>
    <row r="185" spans="1:3" x14ac:dyDescent="0.25">
      <c r="A185" s="1">
        <v>45475</v>
      </c>
      <c r="B185" t="s">
        <v>34</v>
      </c>
      <c r="C185">
        <v>2024</v>
      </c>
    </row>
    <row r="186" spans="1:3" x14ac:dyDescent="0.25">
      <c r="A186" s="1">
        <v>45476</v>
      </c>
      <c r="B186" t="s">
        <v>34</v>
      </c>
      <c r="C186">
        <v>2024</v>
      </c>
    </row>
    <row r="187" spans="1:3" x14ac:dyDescent="0.25">
      <c r="A187" s="1">
        <v>45477</v>
      </c>
      <c r="B187" t="s">
        <v>34</v>
      </c>
      <c r="C187">
        <v>2024</v>
      </c>
    </row>
    <row r="188" spans="1:3" x14ac:dyDescent="0.25">
      <c r="A188" s="1">
        <v>45478</v>
      </c>
      <c r="B188" t="s">
        <v>34</v>
      </c>
      <c r="C188">
        <v>2024</v>
      </c>
    </row>
    <row r="189" spans="1:3" x14ac:dyDescent="0.25">
      <c r="A189" s="1">
        <v>45479</v>
      </c>
      <c r="B189" t="s">
        <v>34</v>
      </c>
      <c r="C189">
        <v>2024</v>
      </c>
    </row>
    <row r="190" spans="1:3" x14ac:dyDescent="0.25">
      <c r="A190" s="1">
        <v>45480</v>
      </c>
      <c r="B190" t="s">
        <v>34</v>
      </c>
      <c r="C190">
        <v>2024</v>
      </c>
    </row>
    <row r="191" spans="1:3" x14ac:dyDescent="0.25">
      <c r="A191" s="1">
        <v>45481</v>
      </c>
      <c r="B191" t="s">
        <v>34</v>
      </c>
      <c r="C191">
        <v>2024</v>
      </c>
    </row>
    <row r="192" spans="1:3" x14ac:dyDescent="0.25">
      <c r="A192" s="1">
        <v>45482</v>
      </c>
      <c r="B192" t="s">
        <v>34</v>
      </c>
      <c r="C192">
        <v>2024</v>
      </c>
    </row>
    <row r="193" spans="1:3" x14ac:dyDescent="0.25">
      <c r="A193" s="1">
        <v>45483</v>
      </c>
      <c r="B193" t="s">
        <v>34</v>
      </c>
      <c r="C193">
        <v>2024</v>
      </c>
    </row>
    <row r="194" spans="1:3" x14ac:dyDescent="0.25">
      <c r="A194" s="1">
        <v>45484</v>
      </c>
      <c r="B194" t="s">
        <v>34</v>
      </c>
      <c r="C194">
        <v>2024</v>
      </c>
    </row>
    <row r="195" spans="1:3" x14ac:dyDescent="0.25">
      <c r="A195" s="1">
        <v>45485</v>
      </c>
      <c r="B195" t="s">
        <v>34</v>
      </c>
      <c r="C195">
        <v>2024</v>
      </c>
    </row>
    <row r="196" spans="1:3" x14ac:dyDescent="0.25">
      <c r="A196" s="1">
        <v>45486</v>
      </c>
      <c r="B196" t="s">
        <v>34</v>
      </c>
      <c r="C196">
        <v>2024</v>
      </c>
    </row>
    <row r="197" spans="1:3" x14ac:dyDescent="0.25">
      <c r="A197" s="1">
        <v>45487</v>
      </c>
      <c r="B197" t="s">
        <v>34</v>
      </c>
      <c r="C197">
        <v>2024</v>
      </c>
    </row>
    <row r="198" spans="1:3" x14ac:dyDescent="0.25">
      <c r="A198" s="1">
        <v>45488</v>
      </c>
      <c r="B198" t="s">
        <v>34</v>
      </c>
      <c r="C198">
        <v>2024</v>
      </c>
    </row>
    <row r="199" spans="1:3" x14ac:dyDescent="0.25">
      <c r="A199" s="1">
        <v>45489</v>
      </c>
      <c r="B199" t="s">
        <v>34</v>
      </c>
      <c r="C199">
        <v>2024</v>
      </c>
    </row>
    <row r="200" spans="1:3" x14ac:dyDescent="0.25">
      <c r="A200" s="1">
        <v>45490</v>
      </c>
      <c r="B200" t="s">
        <v>34</v>
      </c>
      <c r="C200">
        <v>2024</v>
      </c>
    </row>
    <row r="201" spans="1:3" x14ac:dyDescent="0.25">
      <c r="A201" s="1">
        <v>45491</v>
      </c>
      <c r="B201" t="s">
        <v>34</v>
      </c>
      <c r="C201">
        <v>2024</v>
      </c>
    </row>
    <row r="202" spans="1:3" x14ac:dyDescent="0.25">
      <c r="A202" s="1">
        <v>45492</v>
      </c>
      <c r="B202" t="s">
        <v>34</v>
      </c>
      <c r="C202">
        <v>2024</v>
      </c>
    </row>
    <row r="203" spans="1:3" x14ac:dyDescent="0.25">
      <c r="A203" s="1">
        <v>45493</v>
      </c>
      <c r="B203" t="s">
        <v>34</v>
      </c>
      <c r="C203">
        <v>2024</v>
      </c>
    </row>
    <row r="204" spans="1:3" x14ac:dyDescent="0.25">
      <c r="A204" s="1">
        <v>45494</v>
      </c>
      <c r="B204" t="s">
        <v>34</v>
      </c>
      <c r="C204">
        <v>2024</v>
      </c>
    </row>
    <row r="205" spans="1:3" x14ac:dyDescent="0.25">
      <c r="A205" s="1">
        <v>45495</v>
      </c>
      <c r="B205" t="s">
        <v>34</v>
      </c>
      <c r="C205">
        <v>2024</v>
      </c>
    </row>
    <row r="206" spans="1:3" x14ac:dyDescent="0.25">
      <c r="A206" s="1">
        <v>45496</v>
      </c>
      <c r="B206" t="s">
        <v>34</v>
      </c>
      <c r="C206">
        <v>2024</v>
      </c>
    </row>
    <row r="207" spans="1:3" x14ac:dyDescent="0.25">
      <c r="A207" s="1">
        <v>45497</v>
      </c>
      <c r="B207" t="s">
        <v>34</v>
      </c>
      <c r="C207">
        <v>2024</v>
      </c>
    </row>
    <row r="208" spans="1:3" x14ac:dyDescent="0.25">
      <c r="A208" s="1">
        <v>45498</v>
      </c>
      <c r="B208" t="s">
        <v>34</v>
      </c>
      <c r="C208">
        <v>2024</v>
      </c>
    </row>
    <row r="209" spans="1:3" x14ac:dyDescent="0.25">
      <c r="A209" s="1">
        <v>45499</v>
      </c>
      <c r="B209" t="s">
        <v>34</v>
      </c>
      <c r="C209">
        <v>2024</v>
      </c>
    </row>
    <row r="210" spans="1:3" x14ac:dyDescent="0.25">
      <c r="A210" s="1">
        <v>45500</v>
      </c>
      <c r="B210" t="s">
        <v>34</v>
      </c>
      <c r="C210">
        <v>2024</v>
      </c>
    </row>
    <row r="211" spans="1:3" x14ac:dyDescent="0.25">
      <c r="A211" s="1">
        <v>45501</v>
      </c>
      <c r="B211" t="s">
        <v>34</v>
      </c>
      <c r="C211">
        <v>2024</v>
      </c>
    </row>
    <row r="212" spans="1:3" x14ac:dyDescent="0.25">
      <c r="A212" s="1">
        <v>45502</v>
      </c>
      <c r="B212" t="s">
        <v>34</v>
      </c>
      <c r="C212">
        <v>2024</v>
      </c>
    </row>
    <row r="213" spans="1:3" x14ac:dyDescent="0.25">
      <c r="A213" s="1">
        <v>45503</v>
      </c>
      <c r="B213" t="s">
        <v>34</v>
      </c>
      <c r="C213">
        <v>2024</v>
      </c>
    </row>
    <row r="214" spans="1:3" x14ac:dyDescent="0.25">
      <c r="A214" s="1">
        <v>45504</v>
      </c>
      <c r="B214" t="s">
        <v>34</v>
      </c>
      <c r="C214">
        <v>2024</v>
      </c>
    </row>
    <row r="215" spans="1:3" x14ac:dyDescent="0.25">
      <c r="A215" s="1">
        <v>45505</v>
      </c>
      <c r="B215" t="s">
        <v>35</v>
      </c>
      <c r="C215">
        <v>2024</v>
      </c>
    </row>
    <row r="216" spans="1:3" x14ac:dyDescent="0.25">
      <c r="A216" s="1">
        <v>45506</v>
      </c>
      <c r="B216" t="s">
        <v>35</v>
      </c>
      <c r="C216">
        <v>2024</v>
      </c>
    </row>
    <row r="217" spans="1:3" x14ac:dyDescent="0.25">
      <c r="A217" s="1">
        <v>45507</v>
      </c>
      <c r="B217" t="s">
        <v>35</v>
      </c>
      <c r="C217">
        <v>2024</v>
      </c>
    </row>
    <row r="218" spans="1:3" x14ac:dyDescent="0.25">
      <c r="A218" s="1">
        <v>45508</v>
      </c>
      <c r="B218" t="s">
        <v>35</v>
      </c>
      <c r="C218">
        <v>2024</v>
      </c>
    </row>
    <row r="219" spans="1:3" x14ac:dyDescent="0.25">
      <c r="A219" s="1">
        <v>45509</v>
      </c>
      <c r="B219" t="s">
        <v>35</v>
      </c>
      <c r="C219">
        <v>2024</v>
      </c>
    </row>
    <row r="220" spans="1:3" x14ac:dyDescent="0.25">
      <c r="A220" s="1">
        <v>45510</v>
      </c>
      <c r="B220" t="s">
        <v>35</v>
      </c>
      <c r="C220">
        <v>2024</v>
      </c>
    </row>
    <row r="221" spans="1:3" x14ac:dyDescent="0.25">
      <c r="A221" s="1">
        <v>45511</v>
      </c>
      <c r="B221" t="s">
        <v>35</v>
      </c>
      <c r="C221">
        <v>2024</v>
      </c>
    </row>
    <row r="222" spans="1:3" x14ac:dyDescent="0.25">
      <c r="A222" s="1">
        <v>45512</v>
      </c>
      <c r="B222" t="s">
        <v>35</v>
      </c>
      <c r="C222">
        <v>2024</v>
      </c>
    </row>
    <row r="223" spans="1:3" x14ac:dyDescent="0.25">
      <c r="A223" s="1">
        <v>45513</v>
      </c>
      <c r="B223" t="s">
        <v>35</v>
      </c>
      <c r="C223">
        <v>2024</v>
      </c>
    </row>
    <row r="224" spans="1:3" x14ac:dyDescent="0.25">
      <c r="A224" s="1">
        <v>45514</v>
      </c>
      <c r="B224" t="s">
        <v>35</v>
      </c>
      <c r="C224">
        <v>2024</v>
      </c>
    </row>
    <row r="225" spans="1:3" x14ac:dyDescent="0.25">
      <c r="A225" s="1">
        <v>45515</v>
      </c>
      <c r="B225" t="s">
        <v>35</v>
      </c>
      <c r="C225">
        <v>2024</v>
      </c>
    </row>
    <row r="226" spans="1:3" x14ac:dyDescent="0.25">
      <c r="A226" s="1">
        <v>45516</v>
      </c>
      <c r="B226" t="s">
        <v>35</v>
      </c>
      <c r="C226">
        <v>2024</v>
      </c>
    </row>
    <row r="227" spans="1:3" x14ac:dyDescent="0.25">
      <c r="A227" s="1">
        <v>45517</v>
      </c>
      <c r="B227" t="s">
        <v>35</v>
      </c>
      <c r="C227">
        <v>2024</v>
      </c>
    </row>
    <row r="228" spans="1:3" x14ac:dyDescent="0.25">
      <c r="A228" s="1">
        <v>45518</v>
      </c>
      <c r="B228" t="s">
        <v>35</v>
      </c>
      <c r="C228">
        <v>2024</v>
      </c>
    </row>
    <row r="229" spans="1:3" x14ac:dyDescent="0.25">
      <c r="A229" s="1">
        <v>45519</v>
      </c>
      <c r="B229" t="s">
        <v>35</v>
      </c>
      <c r="C229">
        <v>2024</v>
      </c>
    </row>
    <row r="230" spans="1:3" x14ac:dyDescent="0.25">
      <c r="A230" s="1">
        <v>45520</v>
      </c>
      <c r="B230" t="s">
        <v>35</v>
      </c>
      <c r="C230">
        <v>2024</v>
      </c>
    </row>
    <row r="231" spans="1:3" x14ac:dyDescent="0.25">
      <c r="A231" s="1">
        <v>45521</v>
      </c>
      <c r="B231" t="s">
        <v>35</v>
      </c>
      <c r="C231">
        <v>2024</v>
      </c>
    </row>
    <row r="232" spans="1:3" x14ac:dyDescent="0.25">
      <c r="A232" s="1">
        <v>45522</v>
      </c>
      <c r="B232" t="s">
        <v>35</v>
      </c>
      <c r="C232">
        <v>2024</v>
      </c>
    </row>
    <row r="233" spans="1:3" x14ac:dyDescent="0.25">
      <c r="A233" s="1">
        <v>45523</v>
      </c>
      <c r="B233" t="s">
        <v>35</v>
      </c>
      <c r="C233">
        <v>2024</v>
      </c>
    </row>
    <row r="234" spans="1:3" x14ac:dyDescent="0.25">
      <c r="A234" s="1">
        <v>45524</v>
      </c>
      <c r="B234" t="s">
        <v>35</v>
      </c>
      <c r="C234">
        <v>2024</v>
      </c>
    </row>
    <row r="235" spans="1:3" x14ac:dyDescent="0.25">
      <c r="A235" s="1">
        <v>45525</v>
      </c>
      <c r="B235" t="s">
        <v>35</v>
      </c>
      <c r="C235">
        <v>2024</v>
      </c>
    </row>
    <row r="236" spans="1:3" x14ac:dyDescent="0.25">
      <c r="A236" s="1">
        <v>45526</v>
      </c>
      <c r="B236" t="s">
        <v>35</v>
      </c>
      <c r="C236">
        <v>2024</v>
      </c>
    </row>
    <row r="237" spans="1:3" x14ac:dyDescent="0.25">
      <c r="A237" s="1">
        <v>45527</v>
      </c>
      <c r="B237" t="s">
        <v>35</v>
      </c>
      <c r="C237">
        <v>2024</v>
      </c>
    </row>
    <row r="238" spans="1:3" x14ac:dyDescent="0.25">
      <c r="A238" s="1">
        <v>45528</v>
      </c>
      <c r="B238" t="s">
        <v>35</v>
      </c>
      <c r="C238">
        <v>2024</v>
      </c>
    </row>
    <row r="239" spans="1:3" x14ac:dyDescent="0.25">
      <c r="A239" s="1">
        <v>45529</v>
      </c>
      <c r="B239" t="s">
        <v>35</v>
      </c>
      <c r="C239">
        <v>2024</v>
      </c>
    </row>
    <row r="240" spans="1:3" x14ac:dyDescent="0.25">
      <c r="A240" s="1">
        <v>45530</v>
      </c>
      <c r="B240" t="s">
        <v>35</v>
      </c>
      <c r="C240">
        <v>2024</v>
      </c>
    </row>
    <row r="241" spans="1:3" x14ac:dyDescent="0.25">
      <c r="A241" s="1">
        <v>45531</v>
      </c>
      <c r="B241" t="s">
        <v>35</v>
      </c>
      <c r="C241">
        <v>2024</v>
      </c>
    </row>
    <row r="242" spans="1:3" x14ac:dyDescent="0.25">
      <c r="A242" s="1">
        <v>45532</v>
      </c>
      <c r="B242" t="s">
        <v>35</v>
      </c>
      <c r="C242">
        <v>2024</v>
      </c>
    </row>
    <row r="243" spans="1:3" x14ac:dyDescent="0.25">
      <c r="A243" s="1">
        <v>45533</v>
      </c>
      <c r="B243" t="s">
        <v>35</v>
      </c>
      <c r="C243">
        <v>2024</v>
      </c>
    </row>
    <row r="244" spans="1:3" x14ac:dyDescent="0.25">
      <c r="A244" s="1">
        <v>45534</v>
      </c>
      <c r="B244" t="s">
        <v>35</v>
      </c>
      <c r="C244">
        <v>2024</v>
      </c>
    </row>
    <row r="245" spans="1:3" x14ac:dyDescent="0.25">
      <c r="A245" s="1">
        <v>45535</v>
      </c>
      <c r="B245" t="s">
        <v>35</v>
      </c>
      <c r="C245">
        <v>2024</v>
      </c>
    </row>
    <row r="246" spans="1:3" x14ac:dyDescent="0.25">
      <c r="A246" s="1">
        <v>45536</v>
      </c>
      <c r="B246" t="s">
        <v>36</v>
      </c>
      <c r="C246">
        <v>2024</v>
      </c>
    </row>
    <row r="247" spans="1:3" x14ac:dyDescent="0.25">
      <c r="A247" s="1">
        <v>45537</v>
      </c>
      <c r="B247" t="s">
        <v>36</v>
      </c>
      <c r="C247">
        <v>2024</v>
      </c>
    </row>
    <row r="248" spans="1:3" x14ac:dyDescent="0.25">
      <c r="A248" s="1">
        <v>45538</v>
      </c>
      <c r="B248" t="s">
        <v>36</v>
      </c>
      <c r="C248">
        <v>2024</v>
      </c>
    </row>
    <row r="249" spans="1:3" x14ac:dyDescent="0.25">
      <c r="A249" s="1">
        <v>45539</v>
      </c>
      <c r="B249" t="s">
        <v>36</v>
      </c>
      <c r="C249">
        <v>2024</v>
      </c>
    </row>
    <row r="250" spans="1:3" x14ac:dyDescent="0.25">
      <c r="A250" s="1">
        <v>45540</v>
      </c>
      <c r="B250" t="s">
        <v>36</v>
      </c>
      <c r="C250">
        <v>2024</v>
      </c>
    </row>
    <row r="251" spans="1:3" x14ac:dyDescent="0.25">
      <c r="A251" s="1">
        <v>45541</v>
      </c>
      <c r="B251" t="s">
        <v>36</v>
      </c>
      <c r="C251">
        <v>2024</v>
      </c>
    </row>
    <row r="252" spans="1:3" x14ac:dyDescent="0.25">
      <c r="A252" s="1">
        <v>45542</v>
      </c>
      <c r="B252" t="s">
        <v>36</v>
      </c>
      <c r="C252">
        <v>2024</v>
      </c>
    </row>
    <row r="253" spans="1:3" x14ac:dyDescent="0.25">
      <c r="A253" s="1">
        <v>45543</v>
      </c>
      <c r="B253" t="s">
        <v>36</v>
      </c>
      <c r="C253">
        <v>2024</v>
      </c>
    </row>
    <row r="254" spans="1:3" x14ac:dyDescent="0.25">
      <c r="A254" s="1">
        <v>45544</v>
      </c>
      <c r="B254" t="s">
        <v>36</v>
      </c>
      <c r="C254">
        <v>2024</v>
      </c>
    </row>
    <row r="255" spans="1:3" x14ac:dyDescent="0.25">
      <c r="A255" s="1">
        <v>45545</v>
      </c>
      <c r="B255" t="s">
        <v>36</v>
      </c>
      <c r="C255">
        <v>2024</v>
      </c>
    </row>
    <row r="256" spans="1:3" x14ac:dyDescent="0.25">
      <c r="A256" s="1">
        <v>45546</v>
      </c>
      <c r="B256" t="s">
        <v>36</v>
      </c>
      <c r="C256">
        <v>2024</v>
      </c>
    </row>
    <row r="257" spans="1:3" x14ac:dyDescent="0.25">
      <c r="A257" s="1">
        <v>45547</v>
      </c>
      <c r="B257" t="s">
        <v>36</v>
      </c>
      <c r="C257">
        <v>2024</v>
      </c>
    </row>
    <row r="258" spans="1:3" x14ac:dyDescent="0.25">
      <c r="A258" s="1">
        <v>45548</v>
      </c>
      <c r="B258" t="s">
        <v>36</v>
      </c>
      <c r="C258">
        <v>2024</v>
      </c>
    </row>
    <row r="259" spans="1:3" x14ac:dyDescent="0.25">
      <c r="A259" s="1">
        <v>45549</v>
      </c>
      <c r="B259" t="s">
        <v>36</v>
      </c>
      <c r="C259">
        <v>2024</v>
      </c>
    </row>
    <row r="260" spans="1:3" x14ac:dyDescent="0.25">
      <c r="A260" s="1">
        <v>45550</v>
      </c>
      <c r="B260" t="s">
        <v>36</v>
      </c>
      <c r="C260">
        <v>2024</v>
      </c>
    </row>
    <row r="261" spans="1:3" x14ac:dyDescent="0.25">
      <c r="A261" s="1">
        <v>45551</v>
      </c>
      <c r="B261" t="s">
        <v>36</v>
      </c>
      <c r="C261">
        <v>2024</v>
      </c>
    </row>
    <row r="262" spans="1:3" x14ac:dyDescent="0.25">
      <c r="A262" s="1">
        <v>45552</v>
      </c>
      <c r="B262" t="s">
        <v>36</v>
      </c>
      <c r="C262">
        <v>2024</v>
      </c>
    </row>
    <row r="263" spans="1:3" x14ac:dyDescent="0.25">
      <c r="A263" s="1">
        <v>45553</v>
      </c>
      <c r="B263" t="s">
        <v>36</v>
      </c>
      <c r="C263">
        <v>2024</v>
      </c>
    </row>
    <row r="264" spans="1:3" x14ac:dyDescent="0.25">
      <c r="A264" s="1">
        <v>45554</v>
      </c>
      <c r="B264" t="s">
        <v>36</v>
      </c>
      <c r="C264">
        <v>2024</v>
      </c>
    </row>
    <row r="265" spans="1:3" x14ac:dyDescent="0.25">
      <c r="A265" s="1">
        <v>45555</v>
      </c>
      <c r="B265" t="s">
        <v>36</v>
      </c>
      <c r="C265">
        <v>2024</v>
      </c>
    </row>
    <row r="266" spans="1:3" x14ac:dyDescent="0.25">
      <c r="A266" s="1">
        <v>45556</v>
      </c>
      <c r="B266" t="s">
        <v>36</v>
      </c>
      <c r="C266">
        <v>2024</v>
      </c>
    </row>
    <row r="267" spans="1:3" x14ac:dyDescent="0.25">
      <c r="A267" s="1">
        <v>45557</v>
      </c>
      <c r="B267" t="s">
        <v>36</v>
      </c>
      <c r="C267">
        <v>2024</v>
      </c>
    </row>
    <row r="268" spans="1:3" x14ac:dyDescent="0.25">
      <c r="A268" s="1">
        <v>45558</v>
      </c>
      <c r="B268" t="s">
        <v>36</v>
      </c>
      <c r="C268">
        <v>2024</v>
      </c>
    </row>
    <row r="269" spans="1:3" x14ac:dyDescent="0.25">
      <c r="A269" s="1">
        <v>45559</v>
      </c>
      <c r="B269" t="s">
        <v>36</v>
      </c>
      <c r="C269">
        <v>2024</v>
      </c>
    </row>
    <row r="270" spans="1:3" x14ac:dyDescent="0.25">
      <c r="A270" s="1">
        <v>45560</v>
      </c>
      <c r="B270" t="s">
        <v>36</v>
      </c>
      <c r="C270">
        <v>2024</v>
      </c>
    </row>
    <row r="271" spans="1:3" x14ac:dyDescent="0.25">
      <c r="A271" s="1">
        <v>45561</v>
      </c>
      <c r="B271" t="s">
        <v>36</v>
      </c>
      <c r="C271">
        <v>2024</v>
      </c>
    </row>
    <row r="272" spans="1:3" x14ac:dyDescent="0.25">
      <c r="A272" s="1">
        <v>45562</v>
      </c>
      <c r="B272" t="s">
        <v>36</v>
      </c>
      <c r="C272">
        <v>2024</v>
      </c>
    </row>
    <row r="273" spans="1:3" x14ac:dyDescent="0.25">
      <c r="A273" s="1">
        <v>45563</v>
      </c>
      <c r="B273" t="s">
        <v>36</v>
      </c>
      <c r="C273">
        <v>2024</v>
      </c>
    </row>
    <row r="274" spans="1:3" x14ac:dyDescent="0.25">
      <c r="A274" s="1">
        <v>45564</v>
      </c>
      <c r="B274" t="s">
        <v>36</v>
      </c>
      <c r="C274">
        <v>2024</v>
      </c>
    </row>
    <row r="275" spans="1:3" x14ac:dyDescent="0.25">
      <c r="A275" s="1">
        <v>45565</v>
      </c>
      <c r="B275" t="s">
        <v>36</v>
      </c>
      <c r="C275">
        <v>2024</v>
      </c>
    </row>
    <row r="276" spans="1:3" x14ac:dyDescent="0.25">
      <c r="A276" s="1">
        <v>45566</v>
      </c>
      <c r="B276" t="s">
        <v>37</v>
      </c>
      <c r="C276">
        <v>2024</v>
      </c>
    </row>
    <row r="277" spans="1:3" x14ac:dyDescent="0.25">
      <c r="A277" s="1">
        <v>45567</v>
      </c>
      <c r="B277" t="s">
        <v>37</v>
      </c>
      <c r="C277">
        <v>2024</v>
      </c>
    </row>
    <row r="278" spans="1:3" x14ac:dyDescent="0.25">
      <c r="A278" s="1">
        <v>45568</v>
      </c>
      <c r="B278" t="s">
        <v>37</v>
      </c>
      <c r="C278">
        <v>2024</v>
      </c>
    </row>
    <row r="279" spans="1:3" x14ac:dyDescent="0.25">
      <c r="A279" s="1">
        <v>45569</v>
      </c>
      <c r="B279" t="s">
        <v>37</v>
      </c>
      <c r="C279">
        <v>2024</v>
      </c>
    </row>
    <row r="280" spans="1:3" x14ac:dyDescent="0.25">
      <c r="A280" s="1">
        <v>45570</v>
      </c>
      <c r="B280" t="s">
        <v>37</v>
      </c>
      <c r="C280">
        <v>2024</v>
      </c>
    </row>
    <row r="281" spans="1:3" x14ac:dyDescent="0.25">
      <c r="A281" s="1">
        <v>45571</v>
      </c>
      <c r="B281" t="s">
        <v>37</v>
      </c>
      <c r="C281">
        <v>2024</v>
      </c>
    </row>
    <row r="282" spans="1:3" x14ac:dyDescent="0.25">
      <c r="A282" s="1">
        <v>45572</v>
      </c>
      <c r="B282" t="s">
        <v>37</v>
      </c>
      <c r="C282">
        <v>2024</v>
      </c>
    </row>
    <row r="283" spans="1:3" x14ac:dyDescent="0.25">
      <c r="A283" s="1">
        <v>45573</v>
      </c>
      <c r="B283" t="s">
        <v>37</v>
      </c>
      <c r="C283">
        <v>2024</v>
      </c>
    </row>
    <row r="284" spans="1:3" x14ac:dyDescent="0.25">
      <c r="A284" s="1">
        <v>45574</v>
      </c>
      <c r="B284" t="s">
        <v>37</v>
      </c>
      <c r="C284">
        <v>2024</v>
      </c>
    </row>
    <row r="285" spans="1:3" x14ac:dyDescent="0.25">
      <c r="A285" s="1">
        <v>45575</v>
      </c>
      <c r="B285" t="s">
        <v>37</v>
      </c>
      <c r="C285">
        <v>2024</v>
      </c>
    </row>
    <row r="286" spans="1:3" x14ac:dyDescent="0.25">
      <c r="A286" s="1">
        <v>45576</v>
      </c>
      <c r="B286" t="s">
        <v>37</v>
      </c>
      <c r="C286">
        <v>2024</v>
      </c>
    </row>
    <row r="287" spans="1:3" x14ac:dyDescent="0.25">
      <c r="A287" s="1">
        <v>45577</v>
      </c>
      <c r="B287" t="s">
        <v>37</v>
      </c>
      <c r="C287">
        <v>2024</v>
      </c>
    </row>
    <row r="288" spans="1:3" x14ac:dyDescent="0.25">
      <c r="A288" s="1">
        <v>45578</v>
      </c>
      <c r="B288" t="s">
        <v>37</v>
      </c>
      <c r="C288">
        <v>2024</v>
      </c>
    </row>
    <row r="289" spans="1:3" x14ac:dyDescent="0.25">
      <c r="A289" s="1">
        <v>45579</v>
      </c>
      <c r="B289" t="s">
        <v>37</v>
      </c>
      <c r="C289">
        <v>2024</v>
      </c>
    </row>
    <row r="290" spans="1:3" x14ac:dyDescent="0.25">
      <c r="A290" s="1">
        <v>45580</v>
      </c>
      <c r="B290" t="s">
        <v>37</v>
      </c>
      <c r="C290">
        <v>2024</v>
      </c>
    </row>
    <row r="291" spans="1:3" x14ac:dyDescent="0.25">
      <c r="A291" s="1">
        <v>45581</v>
      </c>
      <c r="B291" t="s">
        <v>37</v>
      </c>
      <c r="C291">
        <v>2024</v>
      </c>
    </row>
    <row r="292" spans="1:3" x14ac:dyDescent="0.25">
      <c r="A292" s="1">
        <v>45582</v>
      </c>
      <c r="B292" t="s">
        <v>37</v>
      </c>
      <c r="C292">
        <v>2024</v>
      </c>
    </row>
    <row r="293" spans="1:3" x14ac:dyDescent="0.25">
      <c r="A293" s="1">
        <v>45583</v>
      </c>
      <c r="B293" t="s">
        <v>37</v>
      </c>
      <c r="C293">
        <v>2024</v>
      </c>
    </row>
    <row r="294" spans="1:3" x14ac:dyDescent="0.25">
      <c r="A294" s="1">
        <v>45584</v>
      </c>
      <c r="B294" t="s">
        <v>37</v>
      </c>
      <c r="C294">
        <v>2024</v>
      </c>
    </row>
    <row r="295" spans="1:3" x14ac:dyDescent="0.25">
      <c r="A295" s="1">
        <v>45585</v>
      </c>
      <c r="B295" t="s">
        <v>37</v>
      </c>
      <c r="C295">
        <v>2024</v>
      </c>
    </row>
    <row r="296" spans="1:3" x14ac:dyDescent="0.25">
      <c r="A296" s="1">
        <v>45586</v>
      </c>
      <c r="B296" t="s">
        <v>37</v>
      </c>
      <c r="C296">
        <v>2024</v>
      </c>
    </row>
    <row r="297" spans="1:3" x14ac:dyDescent="0.25">
      <c r="A297" s="1">
        <v>45587</v>
      </c>
      <c r="B297" t="s">
        <v>37</v>
      </c>
      <c r="C297">
        <v>2024</v>
      </c>
    </row>
    <row r="298" spans="1:3" x14ac:dyDescent="0.25">
      <c r="A298" s="1">
        <v>45588</v>
      </c>
      <c r="B298" t="s">
        <v>37</v>
      </c>
      <c r="C298">
        <v>2024</v>
      </c>
    </row>
    <row r="299" spans="1:3" x14ac:dyDescent="0.25">
      <c r="A299" s="1">
        <v>45589</v>
      </c>
      <c r="B299" t="s">
        <v>37</v>
      </c>
      <c r="C299">
        <v>2024</v>
      </c>
    </row>
    <row r="300" spans="1:3" x14ac:dyDescent="0.25">
      <c r="A300" s="1">
        <v>45590</v>
      </c>
      <c r="B300" t="s">
        <v>37</v>
      </c>
      <c r="C300">
        <v>2024</v>
      </c>
    </row>
    <row r="301" spans="1:3" x14ac:dyDescent="0.25">
      <c r="A301" s="1">
        <v>45591</v>
      </c>
      <c r="B301" t="s">
        <v>37</v>
      </c>
      <c r="C301">
        <v>2024</v>
      </c>
    </row>
    <row r="302" spans="1:3" x14ac:dyDescent="0.25">
      <c r="A302" s="1">
        <v>45592</v>
      </c>
      <c r="B302" t="s">
        <v>37</v>
      </c>
      <c r="C302">
        <v>2024</v>
      </c>
    </row>
    <row r="303" spans="1:3" x14ac:dyDescent="0.25">
      <c r="A303" s="1">
        <v>45593</v>
      </c>
      <c r="B303" t="s">
        <v>37</v>
      </c>
      <c r="C303">
        <v>2024</v>
      </c>
    </row>
    <row r="304" spans="1:3" x14ac:dyDescent="0.25">
      <c r="A304" s="1">
        <v>45594</v>
      </c>
      <c r="B304" t="s">
        <v>37</v>
      </c>
      <c r="C304">
        <v>2024</v>
      </c>
    </row>
    <row r="305" spans="1:3" x14ac:dyDescent="0.25">
      <c r="A305" s="1">
        <v>45595</v>
      </c>
      <c r="B305" t="s">
        <v>37</v>
      </c>
      <c r="C305">
        <v>2024</v>
      </c>
    </row>
    <row r="306" spans="1:3" x14ac:dyDescent="0.25">
      <c r="A306" s="1">
        <v>45596</v>
      </c>
      <c r="B306" t="s">
        <v>37</v>
      </c>
      <c r="C306">
        <v>2024</v>
      </c>
    </row>
    <row r="307" spans="1:3" x14ac:dyDescent="0.25">
      <c r="A307" s="1">
        <v>45597</v>
      </c>
      <c r="B307" t="s">
        <v>38</v>
      </c>
      <c r="C307">
        <v>2024</v>
      </c>
    </row>
    <row r="308" spans="1:3" x14ac:dyDescent="0.25">
      <c r="A308" s="1">
        <v>45598</v>
      </c>
      <c r="B308" t="s">
        <v>38</v>
      </c>
      <c r="C308">
        <v>2024</v>
      </c>
    </row>
    <row r="309" spans="1:3" x14ac:dyDescent="0.25">
      <c r="A309" s="1">
        <v>45599</v>
      </c>
      <c r="B309" t="s">
        <v>38</v>
      </c>
      <c r="C309">
        <v>2024</v>
      </c>
    </row>
    <row r="310" spans="1:3" x14ac:dyDescent="0.25">
      <c r="A310" s="1">
        <v>45600</v>
      </c>
      <c r="B310" t="s">
        <v>38</v>
      </c>
      <c r="C310">
        <v>2024</v>
      </c>
    </row>
    <row r="311" spans="1:3" x14ac:dyDescent="0.25">
      <c r="A311" s="1">
        <v>45601</v>
      </c>
      <c r="B311" t="s">
        <v>38</v>
      </c>
      <c r="C311">
        <v>2024</v>
      </c>
    </row>
    <row r="312" spans="1:3" x14ac:dyDescent="0.25">
      <c r="A312" s="1">
        <v>45602</v>
      </c>
      <c r="B312" t="s">
        <v>38</v>
      </c>
      <c r="C312">
        <v>2024</v>
      </c>
    </row>
    <row r="313" spans="1:3" x14ac:dyDescent="0.25">
      <c r="A313" s="1">
        <v>45603</v>
      </c>
      <c r="B313" t="s">
        <v>38</v>
      </c>
      <c r="C313">
        <v>2024</v>
      </c>
    </row>
    <row r="314" spans="1:3" x14ac:dyDescent="0.25">
      <c r="A314" s="1">
        <v>45604</v>
      </c>
      <c r="B314" t="s">
        <v>38</v>
      </c>
      <c r="C314">
        <v>2024</v>
      </c>
    </row>
    <row r="315" spans="1:3" x14ac:dyDescent="0.25">
      <c r="A315" s="1">
        <v>45605</v>
      </c>
      <c r="B315" t="s">
        <v>38</v>
      </c>
      <c r="C315">
        <v>2024</v>
      </c>
    </row>
    <row r="316" spans="1:3" x14ac:dyDescent="0.25">
      <c r="A316" s="1">
        <v>45606</v>
      </c>
      <c r="B316" t="s">
        <v>38</v>
      </c>
      <c r="C316">
        <v>2024</v>
      </c>
    </row>
    <row r="317" spans="1:3" x14ac:dyDescent="0.25">
      <c r="A317" s="1">
        <v>45607</v>
      </c>
      <c r="B317" t="s">
        <v>38</v>
      </c>
      <c r="C317">
        <v>2024</v>
      </c>
    </row>
    <row r="318" spans="1:3" x14ac:dyDescent="0.25">
      <c r="A318" s="1">
        <v>45608</v>
      </c>
      <c r="B318" t="s">
        <v>38</v>
      </c>
      <c r="C318">
        <v>2024</v>
      </c>
    </row>
    <row r="319" spans="1:3" x14ac:dyDescent="0.25">
      <c r="A319" s="1">
        <v>45609</v>
      </c>
      <c r="B319" t="s">
        <v>38</v>
      </c>
      <c r="C319">
        <v>2024</v>
      </c>
    </row>
    <row r="320" spans="1:3" x14ac:dyDescent="0.25">
      <c r="A320" s="1">
        <v>45610</v>
      </c>
      <c r="B320" t="s">
        <v>38</v>
      </c>
      <c r="C320">
        <v>2024</v>
      </c>
    </row>
    <row r="321" spans="1:3" x14ac:dyDescent="0.25">
      <c r="A321" s="1">
        <v>45611</v>
      </c>
      <c r="B321" t="s">
        <v>38</v>
      </c>
      <c r="C321">
        <v>2024</v>
      </c>
    </row>
    <row r="322" spans="1:3" x14ac:dyDescent="0.25">
      <c r="A322" s="1">
        <v>45612</v>
      </c>
      <c r="B322" t="s">
        <v>38</v>
      </c>
      <c r="C322">
        <v>2024</v>
      </c>
    </row>
    <row r="323" spans="1:3" x14ac:dyDescent="0.25">
      <c r="A323" s="1">
        <v>45613</v>
      </c>
      <c r="B323" t="s">
        <v>38</v>
      </c>
      <c r="C323">
        <v>2024</v>
      </c>
    </row>
    <row r="324" spans="1:3" x14ac:dyDescent="0.25">
      <c r="A324" s="1">
        <v>45614</v>
      </c>
      <c r="B324" t="s">
        <v>38</v>
      </c>
      <c r="C324">
        <v>2024</v>
      </c>
    </row>
    <row r="325" spans="1:3" x14ac:dyDescent="0.25">
      <c r="A325" s="1">
        <v>45615</v>
      </c>
      <c r="B325" t="s">
        <v>38</v>
      </c>
      <c r="C325">
        <v>2024</v>
      </c>
    </row>
    <row r="326" spans="1:3" x14ac:dyDescent="0.25">
      <c r="A326" s="1">
        <v>45616</v>
      </c>
      <c r="B326" t="s">
        <v>38</v>
      </c>
      <c r="C326">
        <v>2024</v>
      </c>
    </row>
    <row r="327" spans="1:3" x14ac:dyDescent="0.25">
      <c r="A327" s="1">
        <v>45617</v>
      </c>
      <c r="B327" t="s">
        <v>38</v>
      </c>
      <c r="C327">
        <v>2024</v>
      </c>
    </row>
    <row r="328" spans="1:3" x14ac:dyDescent="0.25">
      <c r="A328" s="1">
        <v>45618</v>
      </c>
      <c r="B328" t="s">
        <v>38</v>
      </c>
      <c r="C328">
        <v>2024</v>
      </c>
    </row>
    <row r="329" spans="1:3" x14ac:dyDescent="0.25">
      <c r="A329" s="1">
        <v>45619</v>
      </c>
      <c r="B329" t="s">
        <v>38</v>
      </c>
      <c r="C329">
        <v>2024</v>
      </c>
    </row>
    <row r="330" spans="1:3" x14ac:dyDescent="0.25">
      <c r="A330" s="1">
        <v>45620</v>
      </c>
      <c r="B330" t="s">
        <v>38</v>
      </c>
      <c r="C330">
        <v>2024</v>
      </c>
    </row>
    <row r="331" spans="1:3" x14ac:dyDescent="0.25">
      <c r="A331" s="1">
        <v>45621</v>
      </c>
      <c r="B331" t="s">
        <v>38</v>
      </c>
      <c r="C331">
        <v>2024</v>
      </c>
    </row>
    <row r="332" spans="1:3" x14ac:dyDescent="0.25">
      <c r="A332" s="1">
        <v>45622</v>
      </c>
      <c r="B332" t="s">
        <v>38</v>
      </c>
      <c r="C332">
        <v>2024</v>
      </c>
    </row>
    <row r="333" spans="1:3" x14ac:dyDescent="0.25">
      <c r="A333" s="1">
        <v>45623</v>
      </c>
      <c r="B333" t="s">
        <v>38</v>
      </c>
      <c r="C333">
        <v>2024</v>
      </c>
    </row>
    <row r="334" spans="1:3" x14ac:dyDescent="0.25">
      <c r="A334" s="1">
        <v>45624</v>
      </c>
      <c r="B334" t="s">
        <v>38</v>
      </c>
      <c r="C334">
        <v>2024</v>
      </c>
    </row>
    <row r="335" spans="1:3" x14ac:dyDescent="0.25">
      <c r="A335" s="1">
        <v>45625</v>
      </c>
      <c r="B335" t="s">
        <v>38</v>
      </c>
      <c r="C335">
        <v>2024</v>
      </c>
    </row>
    <row r="336" spans="1:3" x14ac:dyDescent="0.25">
      <c r="A336" s="1">
        <v>45626</v>
      </c>
      <c r="B336" t="s">
        <v>38</v>
      </c>
      <c r="C336">
        <v>2024</v>
      </c>
    </row>
    <row r="337" spans="1:3" x14ac:dyDescent="0.25">
      <c r="A337" s="1">
        <v>45627</v>
      </c>
      <c r="B337" t="s">
        <v>39</v>
      </c>
      <c r="C337">
        <v>2024</v>
      </c>
    </row>
    <row r="338" spans="1:3" x14ac:dyDescent="0.25">
      <c r="A338" s="1">
        <v>45628</v>
      </c>
      <c r="B338" t="s">
        <v>39</v>
      </c>
      <c r="C338">
        <v>2024</v>
      </c>
    </row>
    <row r="339" spans="1:3" x14ac:dyDescent="0.25">
      <c r="A339" s="1">
        <v>45629</v>
      </c>
      <c r="B339" t="s">
        <v>39</v>
      </c>
      <c r="C339">
        <v>2024</v>
      </c>
    </row>
    <row r="340" spans="1:3" x14ac:dyDescent="0.25">
      <c r="A340" s="1">
        <v>45630</v>
      </c>
      <c r="B340" t="s">
        <v>39</v>
      </c>
      <c r="C340">
        <v>2024</v>
      </c>
    </row>
    <row r="341" spans="1:3" x14ac:dyDescent="0.25">
      <c r="A341" s="1">
        <v>45631</v>
      </c>
      <c r="B341" t="s">
        <v>39</v>
      </c>
      <c r="C341">
        <v>2024</v>
      </c>
    </row>
    <row r="342" spans="1:3" x14ac:dyDescent="0.25">
      <c r="A342" s="1">
        <v>45632</v>
      </c>
      <c r="B342" t="s">
        <v>39</v>
      </c>
      <c r="C342">
        <v>2024</v>
      </c>
    </row>
    <row r="343" spans="1:3" x14ac:dyDescent="0.25">
      <c r="A343" s="1">
        <v>45633</v>
      </c>
      <c r="B343" t="s">
        <v>39</v>
      </c>
      <c r="C343">
        <v>2024</v>
      </c>
    </row>
    <row r="344" spans="1:3" x14ac:dyDescent="0.25">
      <c r="A344" s="1">
        <v>45634</v>
      </c>
      <c r="B344" t="s">
        <v>39</v>
      </c>
      <c r="C344">
        <v>2024</v>
      </c>
    </row>
    <row r="345" spans="1:3" x14ac:dyDescent="0.25">
      <c r="A345" s="1">
        <v>45635</v>
      </c>
      <c r="B345" t="s">
        <v>39</v>
      </c>
      <c r="C345">
        <v>2024</v>
      </c>
    </row>
    <row r="346" spans="1:3" x14ac:dyDescent="0.25">
      <c r="A346" s="1">
        <v>45636</v>
      </c>
      <c r="B346" t="s">
        <v>39</v>
      </c>
      <c r="C346">
        <v>2024</v>
      </c>
    </row>
    <row r="347" spans="1:3" x14ac:dyDescent="0.25">
      <c r="A347" s="1">
        <v>45637</v>
      </c>
      <c r="B347" t="s">
        <v>39</v>
      </c>
      <c r="C347">
        <v>2024</v>
      </c>
    </row>
    <row r="348" spans="1:3" x14ac:dyDescent="0.25">
      <c r="A348" s="1">
        <v>45638</v>
      </c>
      <c r="B348" t="s">
        <v>39</v>
      </c>
      <c r="C348">
        <v>2024</v>
      </c>
    </row>
    <row r="349" spans="1:3" x14ac:dyDescent="0.25">
      <c r="A349" s="1">
        <v>45639</v>
      </c>
      <c r="B349" t="s">
        <v>39</v>
      </c>
      <c r="C349">
        <v>2024</v>
      </c>
    </row>
    <row r="350" spans="1:3" x14ac:dyDescent="0.25">
      <c r="A350" s="1">
        <v>45640</v>
      </c>
      <c r="B350" t="s">
        <v>39</v>
      </c>
      <c r="C350">
        <v>2024</v>
      </c>
    </row>
    <row r="351" spans="1:3" x14ac:dyDescent="0.25">
      <c r="A351" s="1">
        <v>45641</v>
      </c>
      <c r="B351" t="s">
        <v>39</v>
      </c>
      <c r="C351">
        <v>2024</v>
      </c>
    </row>
    <row r="352" spans="1:3" x14ac:dyDescent="0.25">
      <c r="A352" s="1">
        <v>45642</v>
      </c>
      <c r="B352" t="s">
        <v>39</v>
      </c>
      <c r="C352">
        <v>2024</v>
      </c>
    </row>
    <row r="353" spans="1:3" x14ac:dyDescent="0.25">
      <c r="A353" s="1">
        <v>45643</v>
      </c>
      <c r="B353" t="s">
        <v>39</v>
      </c>
      <c r="C353">
        <v>2024</v>
      </c>
    </row>
    <row r="354" spans="1:3" x14ac:dyDescent="0.25">
      <c r="A354" s="1">
        <v>45644</v>
      </c>
      <c r="B354" t="s">
        <v>39</v>
      </c>
      <c r="C354">
        <v>2024</v>
      </c>
    </row>
    <row r="355" spans="1:3" x14ac:dyDescent="0.25">
      <c r="A355" s="1">
        <v>45645</v>
      </c>
      <c r="B355" t="s">
        <v>39</v>
      </c>
      <c r="C355">
        <v>2024</v>
      </c>
    </row>
    <row r="356" spans="1:3" x14ac:dyDescent="0.25">
      <c r="A356" s="1">
        <v>45646</v>
      </c>
      <c r="B356" t="s">
        <v>39</v>
      </c>
      <c r="C356">
        <v>2024</v>
      </c>
    </row>
    <row r="357" spans="1:3" x14ac:dyDescent="0.25">
      <c r="A357" s="1">
        <v>45647</v>
      </c>
      <c r="B357" t="s">
        <v>39</v>
      </c>
      <c r="C357">
        <v>2024</v>
      </c>
    </row>
    <row r="358" spans="1:3" x14ac:dyDescent="0.25">
      <c r="A358" s="1">
        <v>45648</v>
      </c>
      <c r="B358" t="s">
        <v>39</v>
      </c>
      <c r="C358">
        <v>2024</v>
      </c>
    </row>
    <row r="359" spans="1:3" x14ac:dyDescent="0.25">
      <c r="A359" s="1">
        <v>45649</v>
      </c>
      <c r="B359" t="s">
        <v>39</v>
      </c>
      <c r="C359">
        <v>2024</v>
      </c>
    </row>
    <row r="360" spans="1:3" x14ac:dyDescent="0.25">
      <c r="A360" s="1">
        <v>45650</v>
      </c>
      <c r="B360" t="s">
        <v>39</v>
      </c>
      <c r="C360">
        <v>2024</v>
      </c>
    </row>
    <row r="361" spans="1:3" x14ac:dyDescent="0.25">
      <c r="A361" s="1">
        <v>45651</v>
      </c>
      <c r="B361" t="s">
        <v>39</v>
      </c>
      <c r="C361">
        <v>2024</v>
      </c>
    </row>
    <row r="362" spans="1:3" x14ac:dyDescent="0.25">
      <c r="A362" s="1">
        <v>45652</v>
      </c>
      <c r="B362" t="s">
        <v>39</v>
      </c>
      <c r="C362">
        <v>2024</v>
      </c>
    </row>
    <row r="363" spans="1:3" x14ac:dyDescent="0.25">
      <c r="A363" s="1">
        <v>45653</v>
      </c>
      <c r="B363" t="s">
        <v>39</v>
      </c>
      <c r="C363">
        <v>2024</v>
      </c>
    </row>
    <row r="364" spans="1:3" x14ac:dyDescent="0.25">
      <c r="A364" s="1">
        <v>45654</v>
      </c>
      <c r="B364" t="s">
        <v>39</v>
      </c>
      <c r="C364">
        <v>2024</v>
      </c>
    </row>
    <row r="365" spans="1:3" x14ac:dyDescent="0.25">
      <c r="A365" s="1">
        <v>45655</v>
      </c>
      <c r="B365" t="s">
        <v>39</v>
      </c>
      <c r="C365">
        <v>2024</v>
      </c>
    </row>
    <row r="366" spans="1:3" x14ac:dyDescent="0.25">
      <c r="A366" s="1">
        <v>45656</v>
      </c>
      <c r="B366" t="s">
        <v>39</v>
      </c>
      <c r="C366">
        <v>2024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Products</vt:lpstr>
      <vt:lpstr>Sales_Agents</vt:lpstr>
      <vt:lpstr>PIVOT TABLE</vt:lpstr>
      <vt:lpstr>DASHBOARD</vt:lpstr>
      <vt:lpstr>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Olatunde</cp:lastModifiedBy>
  <dcterms:created xsi:type="dcterms:W3CDTF">2025-12-31T09:03:09Z</dcterms:created>
  <dcterms:modified xsi:type="dcterms:W3CDTF">2026-02-14T20:30:33Z</dcterms:modified>
</cp:coreProperties>
</file>